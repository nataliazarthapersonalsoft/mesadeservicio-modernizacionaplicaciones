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sonalsoftsas-my.sharepoint.com/personal/eymarin_personalsoft_com/Documents/Soporte Sura/Informes/"/>
    </mc:Choice>
  </mc:AlternateContent>
  <xr:revisionPtr revIDLastSave="1" documentId="8_{8C5A4B4A-B1AA-4810-9FE1-3C98CC2390DE}" xr6:coauthVersionLast="47" xr6:coauthVersionMax="47" xr10:uidLastSave="{CBDEB44A-DCA7-43BA-8EFD-ED07DA1114BD}"/>
  <bookViews>
    <workbookView xWindow="28680" yWindow="-120" windowWidth="20640" windowHeight="11040" xr2:uid="{2EF8CC1C-D157-4F75-8543-1FD61BD12BEB}"/>
  </bookViews>
  <sheets>
    <sheet name="Hoja1" sheetId="1" r:id="rId1"/>
    <sheet name="Detalle 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/>
  <c r="E2" i="1"/>
  <c r="B2" i="1"/>
</calcChain>
</file>

<file path=xl/sharedStrings.xml><?xml version="1.0" encoding="utf-8"?>
<sst xmlns="http://schemas.openxmlformats.org/spreadsheetml/2006/main" count="82" uniqueCount="33">
  <si>
    <t>MÉTRICA</t>
  </si>
  <si>
    <t>Cantidad  de Tickets / mes (total)</t>
  </si>
  <si>
    <t>Cantidad  de Incidentes / mes</t>
  </si>
  <si>
    <t>Cantidad de Requerimientos / mes</t>
  </si>
  <si>
    <t>Cambios / mes</t>
  </si>
  <si>
    <t>First Call Resolution (FCR %)</t>
  </si>
  <si>
    <t>Mean Time to Resolve (MTTR horas)</t>
  </si>
  <si>
    <t>SLA Cumplimiento (%)</t>
  </si>
  <si>
    <t>Backlog promedio (tickets abiertos)</t>
  </si>
  <si>
    <t>Tickets resueltos por agente/mes</t>
  </si>
  <si>
    <t>Costo estimado por ticket (USD)</t>
  </si>
  <si>
    <t>Agentes FTE totales</t>
  </si>
  <si>
    <t>% Tickets autoservicio / N0</t>
  </si>
  <si>
    <t>Meta SLA</t>
  </si>
  <si>
    <t>92% por categoria de criticidad ( alto y critico 9, Medio 12. bajo 18)</t>
  </si>
  <si>
    <t>ene</t>
  </si>
  <si>
    <t>feb</t>
  </si>
  <si>
    <t>mar</t>
  </si>
  <si>
    <t>abr</t>
  </si>
  <si>
    <t>may</t>
  </si>
  <si>
    <t>jun</t>
  </si>
  <si>
    <t>Operacion Automatizacion</t>
  </si>
  <si>
    <t>Operacion Canal Digital Venta</t>
  </si>
  <si>
    <t>Operacion Canales Masivos</t>
  </si>
  <si>
    <t>Operacion Plataformas Suscripcion</t>
  </si>
  <si>
    <t>Total general</t>
  </si>
  <si>
    <t>Incidentes</t>
  </si>
  <si>
    <t>Requerimientos</t>
  </si>
  <si>
    <t>No se tiene dato</t>
  </si>
  <si>
    <t>N/A</t>
  </si>
  <si>
    <t>Mean Time to Resolve</t>
  </si>
  <si>
    <t>SLA</t>
  </si>
  <si>
    <t>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</si>
</sst>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1016-8E96-40C1-B05A-08645C01E844}">
  <dimension ref="A1:E14"/>
  <sheetViews>
    <sheetView tabSelected="1" workbookViewId="0">
      <selection activeCell="A5" sqref="A5"/>
    </sheetView>
  </sheetViews>
  <sheetFormatPr baseColWidth="10" defaultRowHeight="14.5" x14ac:dyDescent="0.35"/>
  <cols>
    <col min="1" max="1" width="51.7265625" customWidth="1"/>
    <col min="2" max="2" width="21.1796875" customWidth="1"/>
    <col min="3" max="3" width="15.54296875" customWidth="1"/>
    <col min="4" max="4" width="13.90625" customWidth="1"/>
    <col min="5" max="5" width="24.6328125" bestFit="1" customWidth="1"/>
  </cols>
  <sheetData>
    <row r="1" spans="1:5" ht="43.5" x14ac:dyDescent="0.35">
      <c r="A1" s="2" t="s">
        <v>0</v>
      </c>
      <c r="B1" s="2" t="s">
        <v>24</v>
      </c>
      <c r="C1" s="2" t="s">
        <v>22</v>
      </c>
      <c r="D1" s="2" t="s">
        <v>21</v>
      </c>
      <c r="E1" s="2" t="s">
        <v>23</v>
      </c>
    </row>
    <row r="2" spans="1:5" x14ac:dyDescent="0.35">
      <c r="A2" s="15" t="s">
        <v>1</v>
      </c>
      <c r="B2" s="12">
        <f>B3+B4</f>
        <v>668</v>
      </c>
      <c r="C2" s="12">
        <f t="shared" ref="C2:E2" si="0">C3+C4</f>
        <v>174</v>
      </c>
      <c r="D2" s="12">
        <f t="shared" si="0"/>
        <v>512</v>
      </c>
      <c r="E2" s="12">
        <f t="shared" si="0"/>
        <v>171</v>
      </c>
    </row>
    <row r="3" spans="1:5" x14ac:dyDescent="0.35">
      <c r="A3" s="15" t="s">
        <v>2</v>
      </c>
      <c r="B3" s="12">
        <v>667</v>
      </c>
      <c r="C3" s="3">
        <v>174</v>
      </c>
      <c r="D3" s="3">
        <v>333</v>
      </c>
      <c r="E3" s="3">
        <v>163</v>
      </c>
    </row>
    <row r="4" spans="1:5" x14ac:dyDescent="0.35">
      <c r="A4" s="15" t="s">
        <v>3</v>
      </c>
      <c r="B4" s="3">
        <v>1</v>
      </c>
      <c r="C4" s="3">
        <v>0</v>
      </c>
      <c r="D4" s="12">
        <v>179</v>
      </c>
      <c r="E4" s="3">
        <v>8</v>
      </c>
    </row>
    <row r="5" spans="1:5" x14ac:dyDescent="0.35">
      <c r="A5" s="15" t="s">
        <v>4</v>
      </c>
      <c r="B5" s="12" t="s">
        <v>29</v>
      </c>
      <c r="C5" s="12" t="s">
        <v>29</v>
      </c>
      <c r="D5" s="12" t="s">
        <v>29</v>
      </c>
      <c r="E5" s="12" t="s">
        <v>29</v>
      </c>
    </row>
    <row r="6" spans="1:5" x14ac:dyDescent="0.35">
      <c r="A6" s="15" t="s">
        <v>5</v>
      </c>
      <c r="B6" s="12" t="s">
        <v>28</v>
      </c>
      <c r="C6" s="12" t="s">
        <v>28</v>
      </c>
      <c r="D6" s="12" t="s">
        <v>28</v>
      </c>
      <c r="E6" s="12" t="s">
        <v>28</v>
      </c>
    </row>
    <row r="7" spans="1:5" x14ac:dyDescent="0.35">
      <c r="A7" s="15" t="s">
        <v>6</v>
      </c>
      <c r="B7" s="12">
        <v>24.58</v>
      </c>
      <c r="C7" s="3">
        <v>12.38</v>
      </c>
      <c r="D7" s="3">
        <v>2.98</v>
      </c>
      <c r="E7" s="3">
        <v>17.920000000000002</v>
      </c>
    </row>
    <row r="8" spans="1:5" ht="87" x14ac:dyDescent="0.35">
      <c r="A8" s="15" t="s">
        <v>13</v>
      </c>
      <c r="B8" s="13" t="s">
        <v>14</v>
      </c>
      <c r="C8" s="13" t="s">
        <v>14</v>
      </c>
      <c r="D8" s="13" t="s">
        <v>14</v>
      </c>
      <c r="E8" s="13" t="s">
        <v>14</v>
      </c>
    </row>
    <row r="9" spans="1:5" x14ac:dyDescent="0.35">
      <c r="A9" s="15" t="s">
        <v>7</v>
      </c>
      <c r="B9" s="11">
        <v>0.7</v>
      </c>
      <c r="C9" s="11">
        <v>0.74</v>
      </c>
      <c r="D9" s="11">
        <v>0.98</v>
      </c>
      <c r="E9" s="14">
        <v>0.72</v>
      </c>
    </row>
    <row r="10" spans="1:5" x14ac:dyDescent="0.35">
      <c r="A10" s="15" t="s">
        <v>8</v>
      </c>
      <c r="B10" s="12">
        <v>65</v>
      </c>
      <c r="C10" s="3">
        <v>12</v>
      </c>
      <c r="D10" s="3">
        <v>9</v>
      </c>
      <c r="E10" s="3">
        <v>11</v>
      </c>
    </row>
    <row r="11" spans="1:5" x14ac:dyDescent="0.35">
      <c r="A11" s="15" t="s">
        <v>9</v>
      </c>
      <c r="B11" s="12">
        <v>150</v>
      </c>
      <c r="C11" s="3">
        <v>77</v>
      </c>
      <c r="D11" s="3">
        <v>80</v>
      </c>
      <c r="E11" s="3">
        <v>142</v>
      </c>
    </row>
    <row r="12" spans="1:5" x14ac:dyDescent="0.35">
      <c r="A12" s="15" t="s">
        <v>10</v>
      </c>
      <c r="B12" s="12" t="s">
        <v>32</v>
      </c>
      <c r="C12" s="12" t="s">
        <v>32</v>
      </c>
      <c r="D12" s="12" t="s">
        <v>32</v>
      </c>
      <c r="E12" s="12" t="s">
        <v>32</v>
      </c>
    </row>
    <row r="13" spans="1:5" x14ac:dyDescent="0.35">
      <c r="A13" s="15" t="s">
        <v>11</v>
      </c>
      <c r="B13" s="3">
        <v>8</v>
      </c>
      <c r="C13" s="3">
        <v>2</v>
      </c>
      <c r="D13" s="3">
        <v>6</v>
      </c>
      <c r="E13" s="3">
        <v>1</v>
      </c>
    </row>
    <row r="14" spans="1:5" x14ac:dyDescent="0.35">
      <c r="A14" s="15" t="s">
        <v>12</v>
      </c>
      <c r="B14" s="12">
        <v>0</v>
      </c>
      <c r="C14" s="3">
        <v>0</v>
      </c>
      <c r="D14" s="3">
        <v>0</v>
      </c>
      <c r="E1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70A2-0079-4CBB-8F2E-996CE7263B77}">
  <dimension ref="A1:H34"/>
  <sheetViews>
    <sheetView topLeftCell="A13" workbookViewId="0">
      <selection activeCell="K23" sqref="K23"/>
    </sheetView>
  </sheetViews>
  <sheetFormatPr baseColWidth="10" defaultRowHeight="14.5" x14ac:dyDescent="0.35"/>
  <cols>
    <col min="1" max="1" width="31.453125" bestFit="1" customWidth="1"/>
    <col min="2" max="4" width="6.36328125" bestFit="1" customWidth="1"/>
    <col min="5" max="7" width="5.36328125" bestFit="1" customWidth="1"/>
    <col min="8" max="8" width="11.81640625" bestFit="1" customWidth="1"/>
  </cols>
  <sheetData>
    <row r="1" spans="1:7" x14ac:dyDescent="0.35">
      <c r="A1" s="4" t="s">
        <v>26</v>
      </c>
      <c r="B1" s="4"/>
      <c r="C1" s="4"/>
      <c r="D1" s="4"/>
      <c r="E1" s="4"/>
      <c r="F1" s="4"/>
      <c r="G1" s="4"/>
    </row>
    <row r="2" spans="1:7" x14ac:dyDescent="0.35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</row>
    <row r="3" spans="1:7" x14ac:dyDescent="0.35">
      <c r="A3" s="1" t="s">
        <v>21</v>
      </c>
      <c r="B3" s="3">
        <v>341</v>
      </c>
      <c r="C3" s="3">
        <v>335</v>
      </c>
      <c r="D3" s="3">
        <v>361</v>
      </c>
      <c r="E3" s="3">
        <v>336</v>
      </c>
      <c r="F3" s="3">
        <v>366</v>
      </c>
      <c r="G3" s="3">
        <v>259</v>
      </c>
    </row>
    <row r="4" spans="1:7" x14ac:dyDescent="0.35">
      <c r="A4" s="1" t="s">
        <v>22</v>
      </c>
      <c r="B4" s="3">
        <v>191</v>
      </c>
      <c r="C4" s="3">
        <v>148</v>
      </c>
      <c r="D4" s="3">
        <v>195</v>
      </c>
      <c r="E4" s="3">
        <v>183</v>
      </c>
      <c r="F4" s="3">
        <v>131</v>
      </c>
      <c r="G4" s="3">
        <v>201</v>
      </c>
    </row>
    <row r="5" spans="1:7" x14ac:dyDescent="0.35">
      <c r="A5" s="1" t="s">
        <v>23</v>
      </c>
      <c r="B5" s="3">
        <v>116</v>
      </c>
      <c r="C5" s="3">
        <v>148</v>
      </c>
      <c r="D5" s="3">
        <v>228</v>
      </c>
      <c r="E5" s="3">
        <v>213</v>
      </c>
      <c r="F5" s="3">
        <v>162</v>
      </c>
      <c r="G5" s="3">
        <v>115</v>
      </c>
    </row>
    <row r="6" spans="1:7" x14ac:dyDescent="0.35">
      <c r="A6" s="1" t="s">
        <v>24</v>
      </c>
      <c r="B6" s="3">
        <v>711</v>
      </c>
      <c r="C6" s="3">
        <v>796</v>
      </c>
      <c r="D6" s="3">
        <v>817</v>
      </c>
      <c r="E6" s="3">
        <v>651</v>
      </c>
      <c r="F6" s="3">
        <v>523</v>
      </c>
      <c r="G6" s="3">
        <v>505</v>
      </c>
    </row>
    <row r="7" spans="1:7" x14ac:dyDescent="0.35">
      <c r="A7" s="1" t="s">
        <v>25</v>
      </c>
      <c r="B7" s="3">
        <v>1359</v>
      </c>
      <c r="C7" s="3">
        <v>1427</v>
      </c>
      <c r="D7" s="3">
        <v>1601</v>
      </c>
      <c r="E7" s="3">
        <v>1383</v>
      </c>
      <c r="F7" s="3">
        <v>1182</v>
      </c>
      <c r="G7" s="3">
        <v>1080</v>
      </c>
    </row>
    <row r="10" spans="1:7" x14ac:dyDescent="0.35">
      <c r="A10" s="5" t="s">
        <v>27</v>
      </c>
      <c r="B10" s="5"/>
      <c r="C10" s="5"/>
      <c r="D10" s="5"/>
      <c r="E10" s="5"/>
      <c r="F10" s="5"/>
      <c r="G10" s="5"/>
    </row>
    <row r="11" spans="1:7" x14ac:dyDescent="0.35">
      <c r="A11" s="1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</row>
    <row r="12" spans="1:7" x14ac:dyDescent="0.35">
      <c r="A12" s="1" t="s">
        <v>21</v>
      </c>
      <c r="B12" s="3">
        <v>153</v>
      </c>
      <c r="C12" s="3">
        <v>193</v>
      </c>
      <c r="D12" s="3">
        <v>212</v>
      </c>
      <c r="E12" s="3">
        <v>149</v>
      </c>
      <c r="F12" s="3">
        <v>176</v>
      </c>
      <c r="G12" s="3">
        <v>195</v>
      </c>
    </row>
    <row r="13" spans="1:7" x14ac:dyDescent="0.35">
      <c r="A13" s="1" t="s">
        <v>22</v>
      </c>
      <c r="B13" s="3"/>
      <c r="C13" s="3"/>
      <c r="D13" s="3"/>
      <c r="E13" s="3"/>
      <c r="F13" s="3"/>
      <c r="G13" s="3">
        <v>1</v>
      </c>
    </row>
    <row r="14" spans="1:7" x14ac:dyDescent="0.35">
      <c r="A14" s="1" t="s">
        <v>23</v>
      </c>
      <c r="B14" s="3">
        <v>4</v>
      </c>
      <c r="C14" s="3">
        <v>7</v>
      </c>
      <c r="D14" s="3">
        <v>7</v>
      </c>
      <c r="E14" s="3">
        <v>8</v>
      </c>
      <c r="F14" s="3">
        <v>10</v>
      </c>
      <c r="G14" s="3">
        <v>17</v>
      </c>
    </row>
    <row r="15" spans="1:7" x14ac:dyDescent="0.35">
      <c r="A15" s="1" t="s">
        <v>24</v>
      </c>
      <c r="B15" s="3">
        <v>1</v>
      </c>
      <c r="C15" s="3">
        <v>2</v>
      </c>
      <c r="D15" s="3"/>
      <c r="E15" s="3">
        <v>2</v>
      </c>
      <c r="F15" s="3">
        <v>2</v>
      </c>
      <c r="G15" s="3"/>
    </row>
    <row r="16" spans="1:7" x14ac:dyDescent="0.35">
      <c r="A16" s="1" t="s">
        <v>25</v>
      </c>
      <c r="B16" s="3">
        <v>158</v>
      </c>
      <c r="C16" s="3">
        <v>202</v>
      </c>
      <c r="D16" s="3">
        <v>219</v>
      </c>
      <c r="E16" s="3">
        <v>159</v>
      </c>
      <c r="F16" s="3">
        <v>188</v>
      </c>
      <c r="G16" s="3">
        <v>213</v>
      </c>
    </row>
    <row r="17" spans="1:8" x14ac:dyDescent="0.35">
      <c r="A17" s="9"/>
      <c r="B17" s="10"/>
      <c r="C17" s="10"/>
      <c r="D17" s="10"/>
      <c r="E17" s="10"/>
      <c r="F17" s="10"/>
      <c r="G17" s="10"/>
    </row>
    <row r="19" spans="1:8" x14ac:dyDescent="0.35">
      <c r="A19" s="5" t="s">
        <v>30</v>
      </c>
      <c r="B19" s="5"/>
      <c r="C19" s="5"/>
      <c r="D19" s="5"/>
      <c r="E19" s="5"/>
      <c r="F19" s="5"/>
      <c r="G19" s="5"/>
    </row>
    <row r="20" spans="1:8" x14ac:dyDescent="0.35">
      <c r="A20" s="1"/>
      <c r="B20" s="8" t="s">
        <v>15</v>
      </c>
      <c r="C20" s="8" t="s">
        <v>16</v>
      </c>
      <c r="D20" s="8" t="s">
        <v>17</v>
      </c>
      <c r="E20" s="8" t="s">
        <v>18</v>
      </c>
      <c r="F20" s="8" t="s">
        <v>19</v>
      </c>
      <c r="G20" s="8" t="s">
        <v>20</v>
      </c>
    </row>
    <row r="21" spans="1:8" x14ac:dyDescent="0.35">
      <c r="A21" s="1" t="s">
        <v>21</v>
      </c>
      <c r="B21" s="7">
        <v>1.8448869436201771</v>
      </c>
      <c r="C21" s="7">
        <v>2.3305553571428583</v>
      </c>
      <c r="D21" s="7">
        <v>4.8556038781163462</v>
      </c>
      <c r="E21" s="7">
        <v>2.8303747058823512</v>
      </c>
      <c r="F21" s="7">
        <v>2.6656237602179824</v>
      </c>
      <c r="G21" s="7">
        <v>3.3405392156862739</v>
      </c>
      <c r="H21" s="6"/>
    </row>
    <row r="22" spans="1:8" x14ac:dyDescent="0.35">
      <c r="A22" s="1" t="s">
        <v>22</v>
      </c>
      <c r="B22" s="7">
        <v>9.4211264367816074</v>
      </c>
      <c r="C22" s="7">
        <v>13.830496688741718</v>
      </c>
      <c r="D22" s="7">
        <v>19.689025773195876</v>
      </c>
      <c r="E22" s="7">
        <v>13.49830808080808</v>
      </c>
      <c r="F22" s="7">
        <v>8.4350135593220372</v>
      </c>
      <c r="G22" s="7">
        <v>9.4233355191256845</v>
      </c>
      <c r="H22" s="6"/>
    </row>
    <row r="23" spans="1:8" x14ac:dyDescent="0.35">
      <c r="A23" s="1" t="s">
        <v>23</v>
      </c>
      <c r="B23" s="7">
        <v>10.863318584070793</v>
      </c>
      <c r="C23" s="7">
        <v>14.067120300751883</v>
      </c>
      <c r="D23" s="7">
        <v>30.899234449760787</v>
      </c>
      <c r="E23" s="7">
        <v>17.873151260504194</v>
      </c>
      <c r="F23" s="7">
        <v>12.21596794871795</v>
      </c>
      <c r="G23" s="7">
        <v>21.619239999999991</v>
      </c>
      <c r="H23" s="6"/>
    </row>
    <row r="24" spans="1:8" x14ac:dyDescent="0.35">
      <c r="A24" s="1" t="s">
        <v>24</v>
      </c>
      <c r="B24" s="7">
        <v>18.185555599326602</v>
      </c>
      <c r="C24" s="7">
        <v>22.071118038167938</v>
      </c>
      <c r="D24" s="7">
        <v>27.498774803921552</v>
      </c>
      <c r="E24" s="7">
        <v>27.641114763736244</v>
      </c>
      <c r="F24" s="7">
        <v>26.294514775160611</v>
      </c>
      <c r="G24" s="7">
        <v>25.782091170825371</v>
      </c>
      <c r="H24" s="6"/>
    </row>
    <row r="25" spans="1:8" x14ac:dyDescent="0.35">
      <c r="A25" s="1" t="s">
        <v>25</v>
      </c>
      <c r="B25" s="7">
        <v>11.732986802955674</v>
      </c>
      <c r="C25" s="7">
        <v>15.711449059743966</v>
      </c>
      <c r="D25" s="7">
        <v>21.81612926582282</v>
      </c>
      <c r="E25" s="7">
        <v>18.62469012499999</v>
      </c>
      <c r="F25" s="7">
        <v>14.583795054151636</v>
      </c>
      <c r="G25" s="7">
        <v>17.261238376383762</v>
      </c>
      <c r="H25" s="6"/>
    </row>
    <row r="28" spans="1:8" x14ac:dyDescent="0.35">
      <c r="A28" s="5" t="s">
        <v>31</v>
      </c>
      <c r="B28" s="5"/>
      <c r="C28" s="5"/>
      <c r="D28" s="5"/>
      <c r="E28" s="5"/>
      <c r="F28" s="5"/>
      <c r="G28" s="5"/>
    </row>
    <row r="29" spans="1:8" x14ac:dyDescent="0.35">
      <c r="A29" s="1"/>
      <c r="B29" s="8" t="s">
        <v>15</v>
      </c>
      <c r="C29" s="8" t="s">
        <v>16</v>
      </c>
      <c r="D29" s="8" t="s">
        <v>17</v>
      </c>
      <c r="E29" s="8" t="s">
        <v>18</v>
      </c>
      <c r="F29" s="8" t="s">
        <v>19</v>
      </c>
      <c r="G29" s="8" t="s">
        <v>20</v>
      </c>
    </row>
    <row r="30" spans="1:8" x14ac:dyDescent="0.35">
      <c r="A30" s="1" t="s">
        <v>21</v>
      </c>
      <c r="B30" s="11">
        <v>0.98</v>
      </c>
      <c r="C30" s="11">
        <v>0.97</v>
      </c>
      <c r="D30" s="11">
        <v>0.99</v>
      </c>
      <c r="E30" s="11">
        <v>0.99</v>
      </c>
      <c r="F30" s="11">
        <v>0.99</v>
      </c>
      <c r="G30" s="11">
        <v>0.96</v>
      </c>
    </row>
    <row r="31" spans="1:8" x14ac:dyDescent="0.35">
      <c r="A31" s="1" t="s">
        <v>22</v>
      </c>
      <c r="B31" s="11">
        <v>0.72</v>
      </c>
      <c r="C31" s="11">
        <v>0.79</v>
      </c>
      <c r="D31" s="11">
        <v>0.47</v>
      </c>
      <c r="E31" s="11">
        <v>0.78</v>
      </c>
      <c r="F31" s="11">
        <v>0.81</v>
      </c>
      <c r="G31" s="11">
        <v>0.89</v>
      </c>
    </row>
    <row r="32" spans="1:8" x14ac:dyDescent="0.35">
      <c r="A32" s="1" t="s">
        <v>23</v>
      </c>
      <c r="B32" s="11">
        <v>0.6</v>
      </c>
      <c r="C32" s="11">
        <v>0.89</v>
      </c>
      <c r="D32" s="11">
        <v>0.53</v>
      </c>
      <c r="E32" s="11">
        <v>0.74</v>
      </c>
      <c r="F32" s="11">
        <v>0.88</v>
      </c>
      <c r="G32" s="11">
        <v>0.66</v>
      </c>
    </row>
    <row r="33" spans="1:7" x14ac:dyDescent="0.35">
      <c r="A33" s="1" t="s">
        <v>24</v>
      </c>
      <c r="B33" s="11">
        <v>0.59</v>
      </c>
      <c r="C33" s="11">
        <v>0.61</v>
      </c>
      <c r="D33" s="11">
        <v>0.56999999999999995</v>
      </c>
      <c r="E33" s="11">
        <v>0.73</v>
      </c>
      <c r="F33" s="11">
        <v>0.83</v>
      </c>
      <c r="G33" s="11">
        <v>0.84</v>
      </c>
    </row>
    <row r="34" spans="1:7" x14ac:dyDescent="0.35">
      <c r="A34" s="1" t="s">
        <v>25</v>
      </c>
      <c r="B34" s="11"/>
      <c r="C34" s="11"/>
      <c r="D34" s="11"/>
      <c r="E34" s="11"/>
      <c r="F34" s="11"/>
      <c r="G34" s="11"/>
    </row>
  </sheetData>
  <mergeCells count="4">
    <mergeCell ref="A1:G1"/>
    <mergeCell ref="A10:G10"/>
    <mergeCell ref="A19:G19"/>
    <mergeCell ref="A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Detalle 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Elsy Yulieth Marin Serna</dc:creator>
  <cp:lastModifiedBy>Elsy Yulieth Marin Serna</cp:lastModifiedBy>
  <dcterms:created xsi:type="dcterms:W3CDTF">2026-07-07T14:56:59Z</dcterms:created>
  <dcterms:modified xsi:type="dcterms:W3CDTF">2026-07-07T18:06:35Z</dcterms:modified>
</cp:coreProperties>
</file>