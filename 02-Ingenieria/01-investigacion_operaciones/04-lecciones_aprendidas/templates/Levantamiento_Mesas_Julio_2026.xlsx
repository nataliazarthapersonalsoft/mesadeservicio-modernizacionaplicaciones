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6289D920-122C-40A0-8DD9-0ACDFB3F9E61}" xr6:coauthVersionLast="47" xr6:coauthVersionMax="47" xr10:uidLastSave="{00000000-0000-0000-0000-000000000000}"/>
  <bookViews>
    <workbookView xWindow="-110" yWindow="-110" windowWidth="19420" windowHeight="11500" tabRatio="500" firstSheet="2" activeTab="2" xr2:uid="{00000000-000D-0000-FFFF-FFFF00000000}"/>
  </bookViews>
  <sheets>
    <sheet name="Control de Cambios" sheetId="1" r:id="rId1"/>
    <sheet name="Instrucciones" sheetId="2" r:id="rId2"/>
    <sheet name="Listas" sheetId="3" r:id="rId3"/>
    <sheet name="Dashboard" sheetId="4" r:id="rId4"/>
    <sheet name="Graficas" sheetId="5" r:id="rId5"/>
    <sheet name="SURA Cotizadores" sheetId="6" r:id="rId6"/>
    <sheet name="SURA Venta Digital" sheetId="7" r:id="rId7"/>
    <sheet name="SURA Torre Control" sheetId="8" r:id="rId8"/>
    <sheet name="SURA Mesa 4" sheetId="9" r:id="rId9"/>
    <sheet name="BCO Gioti 1" sheetId="10" r:id="rId10"/>
    <sheet name="BCO Gioti 2" sheetId="11" r:id="rId11"/>
    <sheet name="BCO Gioti 3" sheetId="12" r:id="rId12"/>
    <sheet name="BCO Gioti 4" sheetId="13" r:id="rId13"/>
    <sheet name="ChartData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0" i="14" l="1"/>
  <c r="D49" i="14"/>
  <c r="C41" i="14"/>
  <c r="H34" i="14"/>
  <c r="G34" i="14"/>
  <c r="F34" i="14"/>
  <c r="E34" i="14"/>
  <c r="D34" i="14"/>
  <c r="C34" i="14"/>
  <c r="B34" i="14"/>
  <c r="I34" i="14" s="1"/>
  <c r="H33" i="14"/>
  <c r="G33" i="14"/>
  <c r="F33" i="14"/>
  <c r="E33" i="14"/>
  <c r="D33" i="14"/>
  <c r="C33" i="14"/>
  <c r="B33" i="14"/>
  <c r="I33" i="14" s="1"/>
  <c r="H32" i="14"/>
  <c r="G32" i="14"/>
  <c r="F32" i="14"/>
  <c r="E32" i="14"/>
  <c r="D32" i="14"/>
  <c r="C32" i="14"/>
  <c r="B32" i="14"/>
  <c r="I32" i="14" s="1"/>
  <c r="H31" i="14"/>
  <c r="G31" i="14"/>
  <c r="F31" i="14"/>
  <c r="E31" i="14"/>
  <c r="D31" i="14"/>
  <c r="C31" i="14"/>
  <c r="B31" i="14"/>
  <c r="I31" i="14" s="1"/>
  <c r="H30" i="14"/>
  <c r="G30" i="14"/>
  <c r="F30" i="14"/>
  <c r="E30" i="14"/>
  <c r="D30" i="14"/>
  <c r="C30" i="14"/>
  <c r="B30" i="14"/>
  <c r="I30" i="14" s="1"/>
  <c r="H29" i="14"/>
  <c r="G29" i="14"/>
  <c r="F29" i="14"/>
  <c r="E29" i="14"/>
  <c r="D29" i="14"/>
  <c r="C29" i="14"/>
  <c r="B29" i="14"/>
  <c r="I29" i="14" s="1"/>
  <c r="H28" i="14"/>
  <c r="G28" i="14"/>
  <c r="F28" i="14"/>
  <c r="E28" i="14"/>
  <c r="D28" i="14"/>
  <c r="C28" i="14"/>
  <c r="B28" i="14"/>
  <c r="I28" i="14" s="1"/>
  <c r="H27" i="14"/>
  <c r="H36" i="14" s="1"/>
  <c r="G27" i="14"/>
  <c r="G36" i="14" s="1"/>
  <c r="F27" i="14"/>
  <c r="F36" i="14" s="1"/>
  <c r="E27" i="14"/>
  <c r="E36" i="14" s="1"/>
  <c r="D27" i="14"/>
  <c r="D36" i="14" s="1"/>
  <c r="C27" i="14"/>
  <c r="C36" i="14" s="1"/>
  <c r="B27" i="14"/>
  <c r="I27" i="14" s="1"/>
  <c r="E22" i="14"/>
  <c r="D22" i="14"/>
  <c r="C22" i="14"/>
  <c r="B22" i="14"/>
  <c r="E21" i="14"/>
  <c r="D21" i="14"/>
  <c r="C21" i="14"/>
  <c r="B21" i="14"/>
  <c r="E20" i="14"/>
  <c r="D20" i="14"/>
  <c r="C43" i="14" s="1"/>
  <c r="C20" i="14"/>
  <c r="C42" i="14" s="1"/>
  <c r="B20" i="14"/>
  <c r="E19" i="14"/>
  <c r="C44" i="14" s="1"/>
  <c r="D19" i="14"/>
  <c r="C19" i="14"/>
  <c r="B19" i="14"/>
  <c r="F18" i="14"/>
  <c r="E18" i="14"/>
  <c r="D18" i="14"/>
  <c r="C18" i="14"/>
  <c r="B18" i="14"/>
  <c r="E17" i="14"/>
  <c r="D17" i="14"/>
  <c r="C17" i="14"/>
  <c r="B17" i="14"/>
  <c r="E16" i="14"/>
  <c r="D16" i="14"/>
  <c r="C16" i="14"/>
  <c r="B16" i="14"/>
  <c r="E15" i="14"/>
  <c r="B44" i="14" s="1"/>
  <c r="D15" i="14"/>
  <c r="B43" i="14" s="1"/>
  <c r="C15" i="14"/>
  <c r="B42" i="14" s="1"/>
  <c r="B15" i="14"/>
  <c r="B41" i="14" s="1"/>
  <c r="C10" i="14"/>
  <c r="B10" i="14"/>
  <c r="C9" i="14"/>
  <c r="B9" i="14"/>
  <c r="C8" i="14"/>
  <c r="B8" i="14"/>
  <c r="C7" i="14"/>
  <c r="B7" i="14"/>
  <c r="C6" i="14"/>
  <c r="B6" i="14"/>
  <c r="C5" i="14"/>
  <c r="B5" i="14"/>
  <c r="C4" i="14"/>
  <c r="B4" i="14"/>
  <c r="C3" i="14"/>
  <c r="B3" i="14"/>
  <c r="E43" i="13"/>
  <c r="F22" i="14" s="1"/>
  <c r="D43" i="13"/>
  <c r="D43" i="12"/>
  <c r="E43" i="12" s="1"/>
  <c r="D43" i="11"/>
  <c r="E43" i="11" s="1"/>
  <c r="D43" i="10"/>
  <c r="E43" i="10" s="1"/>
  <c r="E43" i="9"/>
  <c r="D43" i="9"/>
  <c r="D43" i="8"/>
  <c r="E43" i="8" s="1"/>
  <c r="D43" i="7"/>
  <c r="E43" i="7" s="1"/>
  <c r="D43" i="6"/>
  <c r="E43" i="6" s="1"/>
  <c r="K45" i="4"/>
  <c r="J45" i="4"/>
  <c r="I45" i="4"/>
  <c r="H45" i="4"/>
  <c r="G45" i="4"/>
  <c r="F45" i="4"/>
  <c r="E45" i="4"/>
  <c r="D45" i="4"/>
  <c r="C45" i="4"/>
  <c r="K44" i="4"/>
  <c r="J44" i="4"/>
  <c r="I44" i="4"/>
  <c r="H44" i="4"/>
  <c r="G44" i="4"/>
  <c r="F44" i="4"/>
  <c r="E44" i="4"/>
  <c r="D44" i="4"/>
  <c r="C44" i="4"/>
  <c r="K43" i="4"/>
  <c r="J43" i="4"/>
  <c r="I43" i="4"/>
  <c r="H43" i="4"/>
  <c r="G43" i="4"/>
  <c r="F43" i="4"/>
  <c r="E43" i="4"/>
  <c r="D43" i="4"/>
  <c r="C43" i="4"/>
  <c r="K42" i="4"/>
  <c r="J42" i="4"/>
  <c r="I42" i="4"/>
  <c r="H42" i="4"/>
  <c r="G42" i="4"/>
  <c r="F42" i="4"/>
  <c r="E42" i="4"/>
  <c r="D42" i="4"/>
  <c r="C42" i="4"/>
  <c r="K41" i="4"/>
  <c r="J41" i="4"/>
  <c r="I41" i="4"/>
  <c r="H41" i="4"/>
  <c r="G41" i="4"/>
  <c r="F41" i="4"/>
  <c r="E41" i="4"/>
  <c r="D41" i="4"/>
  <c r="C41" i="4"/>
  <c r="K40" i="4"/>
  <c r="J40" i="4"/>
  <c r="I40" i="4"/>
  <c r="H40" i="4"/>
  <c r="G40" i="4"/>
  <c r="F40" i="4"/>
  <c r="E40" i="4"/>
  <c r="D40" i="4"/>
  <c r="C40" i="4"/>
  <c r="K39" i="4"/>
  <c r="J39" i="4"/>
  <c r="I39" i="4"/>
  <c r="H39" i="4"/>
  <c r="G39" i="4"/>
  <c r="F39" i="4"/>
  <c r="E39" i="4"/>
  <c r="D39" i="4"/>
  <c r="C39" i="4"/>
  <c r="E35" i="4"/>
  <c r="D35" i="4"/>
  <c r="C35" i="4"/>
  <c r="D34" i="4"/>
  <c r="C34" i="4"/>
  <c r="D33" i="4"/>
  <c r="C33" i="4"/>
  <c r="E32" i="4"/>
  <c r="D32" i="4"/>
  <c r="C32" i="4"/>
  <c r="D31" i="4"/>
  <c r="C31" i="4"/>
  <c r="D30" i="4"/>
  <c r="C30" i="4"/>
  <c r="D29" i="4"/>
  <c r="C29" i="4"/>
  <c r="D28" i="4"/>
  <c r="C28" i="4"/>
  <c r="I14" i="4"/>
  <c r="H14" i="4"/>
  <c r="G14" i="4"/>
  <c r="F14" i="4"/>
  <c r="E14" i="4"/>
  <c r="D14" i="4"/>
  <c r="C14" i="4"/>
  <c r="I13" i="4"/>
  <c r="H13" i="4"/>
  <c r="G13" i="4"/>
  <c r="F13" i="4"/>
  <c r="E13" i="4"/>
  <c r="C13" i="4"/>
  <c r="I12" i="4"/>
  <c r="H12" i="4"/>
  <c r="G12" i="4"/>
  <c r="F12" i="4"/>
  <c r="E12" i="4"/>
  <c r="C12" i="4"/>
  <c r="I11" i="4"/>
  <c r="H11" i="4"/>
  <c r="G11" i="4"/>
  <c r="F11" i="4"/>
  <c r="E11" i="4"/>
  <c r="C11" i="4"/>
  <c r="I10" i="4"/>
  <c r="H10" i="4"/>
  <c r="G10" i="4"/>
  <c r="F10" i="4"/>
  <c r="E10" i="4"/>
  <c r="D10" i="4"/>
  <c r="C10" i="4"/>
  <c r="I9" i="4"/>
  <c r="H9" i="4"/>
  <c r="E21" i="4" s="1"/>
  <c r="G9" i="4"/>
  <c r="F9" i="4"/>
  <c r="E9" i="4"/>
  <c r="C9" i="4"/>
  <c r="I8" i="4"/>
  <c r="H8" i="4"/>
  <c r="G8" i="4"/>
  <c r="F8" i="4"/>
  <c r="E8" i="4"/>
  <c r="C8" i="4"/>
  <c r="I7" i="4"/>
  <c r="H7" i="4"/>
  <c r="G7" i="4"/>
  <c r="F7" i="4"/>
  <c r="E7" i="4"/>
  <c r="C7" i="4"/>
  <c r="F20" i="14" l="1"/>
  <c r="E34" i="4"/>
  <c r="D12" i="4"/>
  <c r="F21" i="14"/>
  <c r="D13" i="4"/>
  <c r="D7" i="4"/>
  <c r="F15" i="14"/>
  <c r="E29" i="4"/>
  <c r="E28" i="4"/>
  <c r="D8" i="4"/>
  <c r="F16" i="14"/>
  <c r="E30" i="4"/>
  <c r="D9" i="4"/>
  <c r="F17" i="14"/>
  <c r="E31" i="4"/>
  <c r="E33" i="4"/>
  <c r="D11" i="4"/>
  <c r="F19" i="14"/>
  <c r="B36" i="14"/>
  <c r="E20" i="4" l="1"/>
  <c r="E19" i="4"/>
  <c r="E18" i="4"/>
</calcChain>
</file>

<file path=xl/sharedStrings.xml><?xml version="1.0" encoding="utf-8"?>
<sst xmlns="http://schemas.openxmlformats.org/spreadsheetml/2006/main" count="1718" uniqueCount="388">
  <si>
    <t>LEVANTAMIENTO DE MESA DE SERVICIOS</t>
  </si>
  <si>
    <t>Caracterización y Diagnóstico de Mesas Actuales — Gen Next</t>
  </si>
  <si>
    <t>Versión:</t>
  </si>
  <si>
    <t>1.0</t>
  </si>
  <si>
    <t>NOMBRE</t>
  </si>
  <si>
    <t>Elaboró</t>
  </si>
  <si>
    <t>Revisó</t>
  </si>
  <si>
    <t>Aprobó</t>
  </si>
  <si>
    <t>Fecha</t>
  </si>
  <si>
    <t>Versión</t>
  </si>
  <si>
    <t>GUÍA DE LEVANTAMIENTO — MESA DE SERVICIOS GEN NEXT</t>
  </si>
  <si>
    <t>Esta herramienta permite caracterizar la mesa de servicios actual en todas sus dimensiones para diseñar el futuro servicio Gen Next</t>
  </si>
  <si>
    <t xml:space="preserve">  AGENDA DE LA SESIÓN DE LEVANTAMIENTO (~60 minutos)</t>
  </si>
  <si>
    <t>#</t>
  </si>
  <si>
    <t>BLOQUE</t>
  </si>
  <si>
    <t>TIEMPO</t>
  </si>
  <si>
    <t>DESCRIPCIÓN</t>
  </si>
  <si>
    <t>①</t>
  </si>
  <si>
    <t>IDENTIFICACIÓN GENERAL</t>
  </si>
  <si>
    <t>5 min</t>
  </si>
  <si>
    <t>Datos básicos de la mesa: nombre, cliente, líder, ubicación, modelo de contrato</t>
  </si>
  <si>
    <t>②</t>
  </si>
  <si>
    <t>NIVEL DE MADUREZ ACTUAL</t>
  </si>
  <si>
    <t>Autoevaluación N0–N5 de la mesa con el cliente o líder de servicio</t>
  </si>
  <si>
    <t>③</t>
  </si>
  <si>
    <t>17 PRÁCTICAS ITIL v4 + DIMENSIONES</t>
  </si>
  <si>
    <t>15 min</t>
  </si>
  <si>
    <t>Evaluar cumplimiento (Sí / Parcial / No) de cada práctica por las 4 dimensiones</t>
  </si>
  <si>
    <t>④</t>
  </si>
  <si>
    <t>7 DOLORES CRÍTICOS</t>
  </si>
  <si>
    <t>20 min</t>
  </si>
  <si>
    <t>Identificar dolores actuales, impacto y evidencias concretas</t>
  </si>
  <si>
    <t>⑤</t>
  </si>
  <si>
    <t>ROTACIÓN &amp; TALENTO</t>
  </si>
  <si>
    <t>10 min</t>
  </si>
  <si>
    <t>Rotación, perfiles críticos, clima de equipo</t>
  </si>
  <si>
    <t>⑥</t>
  </si>
  <si>
    <t>TECNOLOGÍA &amp; HERRAMIENTAS</t>
  </si>
  <si>
    <t>Stack actual, brechas, integraciones</t>
  </si>
  <si>
    <t>⑦</t>
  </si>
  <si>
    <t>VISIÓN PARA EL NUEVO SERVICIO</t>
  </si>
  <si>
    <t>¿Qué debería mejorar? ¿Qué conservar? Aspiraciones del cliente</t>
  </si>
  <si>
    <t xml:space="preserve">  ESCALA DE MADUREZ — N0 a N5</t>
  </si>
  <si>
    <t>NIVEL</t>
  </si>
  <si>
    <t>N0</t>
  </si>
  <si>
    <t>Reactivo / Sin estructura</t>
  </si>
  <si>
    <t>No existe proceso formal. Todo es manual y reactivo. Sin CMDB ni catálogo.</t>
  </si>
  <si>
    <t>N1</t>
  </si>
  <si>
    <t>Inicial / Ad hoc</t>
  </si>
  <si>
    <t>Procesos básicos documentados. Herramientas mínimas. Cumplimiento inconsistente.</t>
  </si>
  <si>
    <t>N2</t>
  </si>
  <si>
    <t>Definido</t>
  </si>
  <si>
    <t>Procesos ITIL definidos y seguidos. Métricas básicas (SLA, FCR). Equipo estable.</t>
  </si>
  <si>
    <t>N3</t>
  </si>
  <si>
    <t>Gestionado</t>
  </si>
  <si>
    <t>Métricas avanzadas. Automatización parcial. Gestión proactiva de problemas.</t>
  </si>
  <si>
    <t>N4</t>
  </si>
  <si>
    <t>Optimizado</t>
  </si>
  <si>
    <t>Autoservicio maduro. IA/ML básico. XLA medidos. Mejora continua activa.</t>
  </si>
  <si>
    <t>N5</t>
  </si>
  <si>
    <t>Innovador / Diferenciador</t>
  </si>
  <si>
    <t>IA generativa, predicción, hiper-automatización. Referente del sector.</t>
  </si>
  <si>
    <t xml:space="preserve">  LEYENDA DE RESPUESTAS — PRÁCTICAS ITIL</t>
  </si>
  <si>
    <t>RESPUESTA</t>
  </si>
  <si>
    <t>SIGNIFICADO</t>
  </si>
  <si>
    <t>COLOR</t>
  </si>
  <si>
    <t>PUNTAJE</t>
  </si>
  <si>
    <t>Sí</t>
  </si>
  <si>
    <t>Cumplimiento completo y documentado</t>
  </si>
  <si>
    <t>1F7A4D</t>
  </si>
  <si>
    <t>Parcial</t>
  </si>
  <si>
    <t>Cumplimiento parcial o en proceso</t>
  </si>
  <si>
    <t>E07B26</t>
  </si>
  <si>
    <t>0.5</t>
  </si>
  <si>
    <t>No</t>
  </si>
  <si>
    <t>No existe o no se cumple</t>
  </si>
  <si>
    <t>C0392B</t>
  </si>
  <si>
    <t>0.0</t>
  </si>
  <si>
    <t>N/A</t>
  </si>
  <si>
    <t>No aplica a esta mesa</t>
  </si>
  <si>
    <t>D9D9D9</t>
  </si>
  <si>
    <t>—</t>
  </si>
  <si>
    <t xml:space="preserve">  LISTAS DE VALIDACIÓN (no modificar)</t>
  </si>
  <si>
    <t>Respuestas Prácticas</t>
  </si>
  <si>
    <t>Nivel Madurez</t>
  </si>
  <si>
    <t>Criticidad Dolor</t>
  </si>
  <si>
    <t>Modelo Contrato</t>
  </si>
  <si>
    <t>Tipo Incidente</t>
  </si>
  <si>
    <t>Riesgo Churn</t>
  </si>
  <si>
    <t>Alta</t>
  </si>
  <si>
    <t>FTE dedicado</t>
  </si>
  <si>
    <t>Incidente</t>
  </si>
  <si>
    <t>Alto</t>
  </si>
  <si>
    <t>Media</t>
  </si>
  <si>
    <t>Capacidad</t>
  </si>
  <si>
    <t>Requerimiento</t>
  </si>
  <si>
    <t>Medio</t>
  </si>
  <si>
    <t>Baja</t>
  </si>
  <si>
    <t>Bolsa de horas</t>
  </si>
  <si>
    <t>Cambio</t>
  </si>
  <si>
    <t>Bajo</t>
  </si>
  <si>
    <t>Output/ticket</t>
  </si>
  <si>
    <t>Problema</t>
  </si>
  <si>
    <t>Mixto</t>
  </si>
  <si>
    <t>Consulta</t>
  </si>
  <si>
    <t>DASHBOARD — LEVANTAMIENTO DE MESAS GEN NEXT</t>
  </si>
  <si>
    <t>Resumen consolidado · Julio 2026 · PersonalSoft</t>
  </si>
  <si>
    <t xml:space="preserve">  RESUMEN POR MESA DE SERVICIOS</t>
  </si>
  <si>
    <t>MESA</t>
  </si>
  <si>
    <t>Nivel
Madurez</t>
  </si>
  <si>
    <t>Score
Prácticas</t>
  </si>
  <si>
    <t>FCR
(%)</t>
  </si>
  <si>
    <t>SLA
(%)</t>
  </si>
  <si>
    <t>NPS</t>
  </si>
  <si>
    <t>FTEs</t>
  </si>
  <si>
    <t>Dolores
Activos</t>
  </si>
  <si>
    <t>Prioridad
Global</t>
  </si>
  <si>
    <t>SURA Cotizadores</t>
  </si>
  <si>
    <t>SURA Venta Digital</t>
  </si>
  <si>
    <t>SURA Torre Control</t>
  </si>
  <si>
    <t>SURA Mesa 4</t>
  </si>
  <si>
    <t>BCO Gioti 1</t>
  </si>
  <si>
    <t>BCO Gioti 2</t>
  </si>
  <si>
    <t>BCO Gioti 3</t>
  </si>
  <si>
    <t>BCO Gioti 4</t>
  </si>
  <si>
    <t xml:space="preserve">  ESTADÍSTICAS DE CONSOLIDADO</t>
  </si>
  <si>
    <t>Promedio Score Prácticas ITIL:</t>
  </si>
  <si>
    <t>Score Mínimo (mesa más débil):</t>
  </si>
  <si>
    <t>Score Máximo (mesa más fuerte):</t>
  </si>
  <si>
    <t>Total FTEs evaluados:</t>
  </si>
  <si>
    <t>⚠ INSTRUCCIONES: Diligenciar cada hoja de mesa antes de interpretar este dashboard. Las celdas en azul se diligencian manualmente; las en teal se calculan automáticamente.</t>
  </si>
  <si>
    <t xml:space="preserve">  SEMÁFORO DE MADUREZ — ESTADO POR MESA</t>
  </si>
  <si>
    <t>Nivel</t>
  </si>
  <si>
    <t>Descripción del Nivel</t>
  </si>
  <si>
    <t>Fortaleza Identificada</t>
  </si>
  <si>
    <t>Brecha Principal</t>
  </si>
  <si>
    <t>Acción Recomendada Gen Next</t>
  </si>
  <si>
    <t xml:space="preserve">  DOLORES ACTIVOS POR MESA — CONTEO CONSOLIDADO (✓=Sí · ~=Parcial)</t>
  </si>
  <si>
    <t>DOLOR</t>
  </si>
  <si>
    <t>SURA
Cotiz.</t>
  </si>
  <si>
    <t>SURA
Venta D.</t>
  </si>
  <si>
    <t>SURA
Torre</t>
  </si>
  <si>
    <t>SURA
Mesa 4</t>
  </si>
  <si>
    <t>BCO
Gioti 1</t>
  </si>
  <si>
    <t>BCO
Gioti 2</t>
  </si>
  <si>
    <t>BCO
Gioti 3</t>
  </si>
  <si>
    <t>BCO
Gioti 4</t>
  </si>
  <si>
    <t>TOTAL</t>
  </si>
  <si>
    <t>D1: Rotación excesiva de personal</t>
  </si>
  <si>
    <t>D2: SLAs incumplidos / penalizaciones</t>
  </si>
  <si>
    <t>D3: Sin autoservicio (todo por call)</t>
  </si>
  <si>
    <t>D4: Herramientas fragmentadas</t>
  </si>
  <si>
    <t>D5: Baja satisfacción usuario (NPS&lt;30)</t>
  </si>
  <si>
    <t>D6: Escalamientos excesivos a N2/N3</t>
  </si>
  <si>
    <t>D7: Sin visibilidad en tiempo real</t>
  </si>
  <si>
    <t xml:space="preserve">  VISUALIZACIONES RÁPIDAS — VER HOJA 'GRAFICAS' PARA ANÁLISIS COMPLETO</t>
  </si>
  <si>
    <t>ANÁLISIS VISUAL — LEVANTAMIENTO MESAS GEN NEXT</t>
  </si>
  <si>
    <t>Dashboard de madurez · prácticas · dolores · industria vs benchmark · Gen Next</t>
  </si>
  <si>
    <t xml:space="preserve">  ① NIVEL DE MADUREZ ACTUAL POR MESA (N0–N5)</t>
  </si>
  <si>
    <t xml:space="preserve">  ② SCORE POR DIMENSIÓN ITIL (%) — 8 MESAS</t>
  </si>
  <si>
    <t xml:space="preserve">  ③ RADAR: SURA vs BCO — MADUREZ POR DIMENSIÓN</t>
  </si>
  <si>
    <t xml:space="preserve">  ④ DOLORES MÁS FRECUENTES (total de mesas afectadas)</t>
  </si>
  <si>
    <t xml:space="preserve">  ⑤ BENCHMARKS CLAVE: MESAS ACTUALES vs INDUSTRIA vs OBJETIVO GEN NEXT</t>
  </si>
  <si>
    <t>LEVANTAMIENTO DE MESA DE SERVICIOS — SURA COTIZADORES</t>
  </si>
  <si>
    <t>⚠ DATOS DE EJEMPLO — Diligenciar con información real de la mesa</t>
  </si>
  <si>
    <t xml:space="preserve">  ① IDENTIFICACIÓN GENERAL DE LA MESA</t>
  </si>
  <si>
    <t>Cliente:</t>
  </si>
  <si>
    <t>Nombre de la Mesa:</t>
  </si>
  <si>
    <t>Líder / Coordinador:</t>
  </si>
  <si>
    <t>Ubicación / Modalidad:</t>
  </si>
  <si>
    <t>N° de Agentes (FTE):</t>
  </si>
  <si>
    <t>Fecha del Levantamiento:</t>
  </si>
  <si>
    <t>Participantes en la Sesión:</t>
  </si>
  <si>
    <t>Modelo de Contrato:</t>
  </si>
  <si>
    <t>Herramienta de Ticketing:</t>
  </si>
  <si>
    <t>Nivel Madurez Actual:</t>
  </si>
  <si>
    <t>(N0 Reactivo → N5 Innovador)</t>
  </si>
  <si>
    <t xml:space="preserve">  ③ EVALUACIÓN DE PRÁCTICAS ITIL v4 — 4 DIMENSIONES</t>
  </si>
  <si>
    <t>PRÁCTICA</t>
  </si>
  <si>
    <t>¿Se cumple?</t>
  </si>
  <si>
    <t>Observaciones / Evidencia</t>
  </si>
  <si>
    <t>Responsable</t>
  </si>
  <si>
    <t>Prioridad Mejora</t>
  </si>
  <si>
    <t xml:space="preserve">  D1 — Organización y Personas</t>
  </si>
  <si>
    <t>1.1</t>
  </si>
  <si>
    <t>Gestión de la Fuerza Laboral — Headcount, perfiles, competencias</t>
  </si>
  <si>
    <t>1.2</t>
  </si>
  <si>
    <t>Gestión del Conocimiento — KB, documentación, onboarding</t>
  </si>
  <si>
    <t>1.3</t>
  </si>
  <si>
    <t>Gestión del Talento — Rotación, desarrollo, retención</t>
  </si>
  <si>
    <t>1.4</t>
  </si>
  <si>
    <t>Gestión del Desempeño — Metas individuales, feedback, KPIs de agente</t>
  </si>
  <si>
    <t>1.5</t>
  </si>
  <si>
    <t>Cultura de Servicio — Orientación al usuario, empatía, NPS interno</t>
  </si>
  <si>
    <t xml:space="preserve">  D2 — Información y Tecnología</t>
  </si>
  <si>
    <t>2.1</t>
  </si>
  <si>
    <t>Gestión de Incidentes — Proceso, tiempos, escalamiento</t>
  </si>
  <si>
    <t>2.2</t>
  </si>
  <si>
    <t>Gestión de Requerimientos — Catálogo de servicios, flujos</t>
  </si>
  <si>
    <t>2.3</t>
  </si>
  <si>
    <t>Gestión de Problemas — RCA, errores conocidos, KEDB</t>
  </si>
  <si>
    <t>2.4</t>
  </si>
  <si>
    <t>Gestión de Cambios — CAB, RFC, ventanas de mantenimiento</t>
  </si>
  <si>
    <t>2.5</t>
  </si>
  <si>
    <t>Gestión de la Configuración — CMDB, assets, CIs</t>
  </si>
  <si>
    <t>2.6</t>
  </si>
  <si>
    <t>Monitoreo y Eventos — Alertas, observabilidad, integración</t>
  </si>
  <si>
    <t>2.7</t>
  </si>
  <si>
    <t>Mesa de Servicio (Service Desk) — Canal único, autoservicio, chatbot</t>
  </si>
  <si>
    <t xml:space="preserve">  D3 — Socios y Proveedores</t>
  </si>
  <si>
    <t>3.1</t>
  </si>
  <si>
    <t>Gestión de Proveedores — SLAs tercerizados, contratos, evaluación</t>
  </si>
  <si>
    <t>3.2</t>
  </si>
  <si>
    <t>Gestión de Niveles de Servicio — SLA, OLA, XLA definidos y medidos</t>
  </si>
  <si>
    <t>3.3</t>
  </si>
  <si>
    <t>Gestión de Capacidad y Disponibilidad — Picos, contingencia</t>
  </si>
  <si>
    <t xml:space="preserve">  D4 — Flujos de Valor y Mejora</t>
  </si>
  <si>
    <t>4.1</t>
  </si>
  <si>
    <t>Mejora Continua — Ciclos PDCA, retros, backlogs de mejora</t>
  </si>
  <si>
    <t>4.2</t>
  </si>
  <si>
    <t>Medición y Reporte — Dashboards, informes ejecutivos, tendencias</t>
  </si>
  <si>
    <t>SCORE GENERAL DE PRÁCTICAS ITIL:</t>
  </si>
  <si>
    <t xml:space="preserve">  ④ VOLUMETRÍA Y KPIs OPERATIVOS</t>
  </si>
  <si>
    <t>MÉTRICA</t>
  </si>
  <si>
    <t>Valor Actual</t>
  </si>
  <si>
    <t>Meta / SLA</t>
  </si>
  <si>
    <t>Tendencia</t>
  </si>
  <si>
    <t>Fuente del Dato</t>
  </si>
  <si>
    <t>Comentario</t>
  </si>
  <si>
    <t>Tickets / mes (total)</t>
  </si>
  <si>
    <t>Incidentes / mes</t>
  </si>
  <si>
    <t>Requerimientos / mes</t>
  </si>
  <si>
    <t>Cambios / mes</t>
  </si>
  <si>
    <t>First Call Resolution (FCR %)</t>
  </si>
  <si>
    <t>Mean Time to Resolve (MTTR horas)</t>
  </si>
  <si>
    <t>SLA Cumplimiento (%)</t>
  </si>
  <si>
    <t>Backlog promedio (tickets abiertos)</t>
  </si>
  <si>
    <t>Tickets resueltos por agente/mes</t>
  </si>
  <si>
    <t>Costo estimado por ticket (USD)</t>
  </si>
  <si>
    <t>Agentes FTE totales</t>
  </si>
  <si>
    <t>% Tickets autoservicio / N0</t>
  </si>
  <si>
    <t xml:space="preserve">  ④b DISTRIBUCIÓN DE INCIDENTES POR CATEGORÍA</t>
  </si>
  <si>
    <t>CATEGORÍA</t>
  </si>
  <si>
    <t>Tickets/mes</t>
  </si>
  <si>
    <t>% del Total</t>
  </si>
  <si>
    <t>Tiempo Prom. Resolución (h)</t>
  </si>
  <si>
    <t>Observaciones</t>
  </si>
  <si>
    <t>Accesos / Permisos</t>
  </si>
  <si>
    <t>Red / Conectividad</t>
  </si>
  <si>
    <t>Aplicaciones de negocio</t>
  </si>
  <si>
    <t>Hardware / Equipos</t>
  </si>
  <si>
    <t>Correo / Office 365</t>
  </si>
  <si>
    <t>ERP / SAP</t>
  </si>
  <si>
    <t>Seguridad / Ciberseguridad</t>
  </si>
  <si>
    <t>Otra categoría</t>
  </si>
  <si>
    <t xml:space="preserve">  ⑤ EXPERIENCIA DEL USUARIO — XLA / DEX</t>
  </si>
  <si>
    <t>INDICADOR XLA</t>
  </si>
  <si>
    <t>Meta</t>
  </si>
  <si>
    <t>Método de Medición</t>
  </si>
  <si>
    <t>NPS (Net Promoter Score) de la mesa</t>
  </si>
  <si>
    <t>CSAT (Satisfacción del cliente) — escala 1-5</t>
  </si>
  <si>
    <t>CES (Customer Effort Score)</t>
  </si>
  <si>
    <t>Encuestas post-ticket (tasa de respuesta %)</t>
  </si>
  <si>
    <t>Percepción de calidad (top 3 palabras del usuario)</t>
  </si>
  <si>
    <t>Quejas escaladas / mes</t>
  </si>
  <si>
    <t>Tiempo promedio de espera en canal (minutos)</t>
  </si>
  <si>
    <t xml:space="preserve">  ⑥ DOLORES CRÍTICOS DE LA MESA (D1–D7)</t>
  </si>
  <si>
    <t>¿Existe?</t>
  </si>
  <si>
    <t>Descripción / Evidencia</t>
  </si>
  <si>
    <t>Impacto (1-5)</t>
  </si>
  <si>
    <t>Criticidad</t>
  </si>
  <si>
    <t>Iniciativa sugerida</t>
  </si>
  <si>
    <t>D1</t>
  </si>
  <si>
    <t>Rotación excesiva de personal — pérdida de conocimiento</t>
  </si>
  <si>
    <t>D2</t>
  </si>
  <si>
    <t>SLAs incumplidos / penalizaciones contractuales</t>
  </si>
  <si>
    <t>D3</t>
  </si>
  <si>
    <t>Ausencia de autoservicio — todo llega por call/correo</t>
  </si>
  <si>
    <t>D4</t>
  </si>
  <si>
    <t>Herramientas fragmentadas / sin integración</t>
  </si>
  <si>
    <t>D5</t>
  </si>
  <si>
    <t>Baja satisfacción del usuario (NPS &lt; 30)</t>
  </si>
  <si>
    <t>D6</t>
  </si>
  <si>
    <t>Escalamientos excesivos a N2/N3</t>
  </si>
  <si>
    <t>D7</t>
  </si>
  <si>
    <t>Falta de visibilidad en tiempo real (sin dashboard)</t>
  </si>
  <si>
    <t xml:space="preserve">  ⑦ ROTACIÓN Y TALENTO</t>
  </si>
  <si>
    <t>ASPECTO</t>
  </si>
  <si>
    <t>Detalle / Valor</t>
  </si>
  <si>
    <t>Tasa de rotación anual (%):</t>
  </si>
  <si>
    <t>Perfiles más críticos / difíciles de reemplazar:</t>
  </si>
  <si>
    <t>Tiempo promedio de onboarding (días):</t>
  </si>
  <si>
    <t>¿Existe plan de carrera para agentes?:</t>
  </si>
  <si>
    <t>Clima laboral — percepción del equipo (1-5):</t>
  </si>
  <si>
    <t>Herramienta de formación / capacitación usada:</t>
  </si>
  <si>
    <t>Turnos de trabajo (mañana / tarde / noche / 7x24):</t>
  </si>
  <si>
    <t xml:space="preserve">  ⑧ TECNOLOGÍA Y HERRAMIENTAS</t>
  </si>
  <si>
    <t>HERRAMIENTA / COMPONENTE</t>
  </si>
  <si>
    <t>Nombre / Versión</t>
  </si>
  <si>
    <t>¿Integrado?</t>
  </si>
  <si>
    <t>Brecha Identificada</t>
  </si>
  <si>
    <t>Prioridad</t>
  </si>
  <si>
    <t>Mesa de ayuda / ITSM (ticketing)</t>
  </si>
  <si>
    <t>Monitoreo / Observabilidad</t>
  </si>
  <si>
    <t>Chat / Bot de autoservicio</t>
  </si>
  <si>
    <t>Base de conocimiento (KB)</t>
  </si>
  <si>
    <t>CMDB / Inventario de activos</t>
  </si>
  <si>
    <t>Telefonía / IVR / Call Center</t>
  </si>
  <si>
    <t>Analítica / Dashboard / BI</t>
  </si>
  <si>
    <t>Gestión de identidades / IAM</t>
  </si>
  <si>
    <t>Colaboración (Teams, Slack, etc.)</t>
  </si>
  <si>
    <t>Otras integraciones clave</t>
  </si>
  <si>
    <t xml:space="preserve">  ⑨ MODELO ECONÓMICO ACTUAL</t>
  </si>
  <si>
    <t>ASPECTO ECONÓMICO</t>
  </si>
  <si>
    <t>Valor / Descripción</t>
  </si>
  <si>
    <t>Modelo de facturación actual:</t>
  </si>
  <si>
    <t>Costo total mensual del servicio (USD / COP):</t>
  </si>
  <si>
    <t>Costo por FTE/mes:</t>
  </si>
  <si>
    <t>Costo estimado por ticket:</t>
  </si>
  <si>
    <t>Cláusulas de penalización por SLA:</t>
  </si>
  <si>
    <t>Fecha de vencimiento del contrato:</t>
  </si>
  <si>
    <t>Oportunidades de optimización de costo:</t>
  </si>
  <si>
    <t xml:space="preserve">  ⑩ VISIÓN PARA EL NUEVO SERVICIO — ¿QUÉ DEBERÍA CAMBIAR?</t>
  </si>
  <si>
    <t>PREGUNTA DE CIERRE</t>
  </si>
  <si>
    <t>Respuesta / Notas</t>
  </si>
  <si>
    <t>¿Qué funciona bien y se debe conservar?:</t>
  </si>
  <si>
    <t>¿Qué es lo que más frustra al usuario hoy?:</t>
  </si>
  <si>
    <t>¿Qué cambiaría el cliente si pudiera mañana?:</t>
  </si>
  <si>
    <t>Capacidades que quisieran tener (top 3):</t>
  </si>
  <si>
    <t>Riesgo de churn / señales de alerta:</t>
  </si>
  <si>
    <t>¿Existe interés en IA / automatización?:</t>
  </si>
  <si>
    <t>Expectativa del cliente para Gen Next:</t>
  </si>
  <si>
    <t>LEVANTAMIENTO DE MESA DE SERVICIOS — SURA VENTA DIGITAL</t>
  </si>
  <si>
    <t>LEVANTAMIENTO DE MESA DE SERVICIOS — SURA TORRE CONTROL</t>
  </si>
  <si>
    <t>LEVANTAMIENTO DE MESA DE SERVICIOS — SURA MESA 4</t>
  </si>
  <si>
    <t>LEVANTAMIENTO DE MESA DE SERVICIOS — BCO GIOTI 1</t>
  </si>
  <si>
    <t>LEVANTAMIENTO DE MESA DE SERVICIOS — BCO GIOTI 2</t>
  </si>
  <si>
    <t>LEVANTAMIENTO DE MESA DE SERVICIOS — BCO GIOTI 3</t>
  </si>
  <si>
    <t>LEVANTAMIENTO DE MESA DE SERVICIOS — BCO GIOTI 4</t>
  </si>
  <si>
    <t>TABLA 1 — MADUREZ NUMÉRICA (N0-N5)</t>
  </si>
  <si>
    <t>Mesa</t>
  </si>
  <si>
    <t>Nivel Madurez (texto)</t>
  </si>
  <si>
    <t>Madurez Numérica (0-5)</t>
  </si>
  <si>
    <t>Meta (N3)</t>
  </si>
  <si>
    <t>SURA Cotiz.</t>
  </si>
  <si>
    <t>SURA V.Dig.</t>
  </si>
  <si>
    <t>SURA Torre</t>
  </si>
  <si>
    <t>SURA Mesa4</t>
  </si>
  <si>
    <t>BCO Gioti1</t>
  </si>
  <si>
    <t>BCO Gioti2</t>
  </si>
  <si>
    <t>BCO Gioti3</t>
  </si>
  <si>
    <t>BCO Gioti4</t>
  </si>
  <si>
    <t>TABLA 2 — SCORE PRÁCTICAS POR DIMENSIÓN (%)</t>
  </si>
  <si>
    <t>D1 Org/Personas</t>
  </si>
  <si>
    <t>D2 Info/Tecnología</t>
  </si>
  <si>
    <t>D3 Socios/Proveed.</t>
  </si>
  <si>
    <t>D4 Valor/Mejora</t>
  </si>
  <si>
    <t>Score Global</t>
  </si>
  <si>
    <t>TABLA 3 — DOLORES ACTIVOS POR MESA</t>
  </si>
  <si>
    <t>D1 Rotación</t>
  </si>
  <si>
    <t>D2 SLAs</t>
  </si>
  <si>
    <t>D3 Autoservicio</t>
  </si>
  <si>
    <t>D4 Herramientas</t>
  </si>
  <si>
    <t>D5 NPS bajo</t>
  </si>
  <si>
    <t>D6 Escalamientos</t>
  </si>
  <si>
    <t>D7 Sin dashboard</t>
  </si>
  <si>
    <t>Total dolores</t>
  </si>
  <si>
    <t>Total por dolor (todas mesas)</t>
  </si>
  <si>
    <t>TABLA 4 — RADAR SURA vs BCO — PROMEDIO DIMENSIONES</t>
  </si>
  <si>
    <t>Dimensión</t>
  </si>
  <si>
    <t>SURA (prom)</t>
  </si>
  <si>
    <t>BCO (prom)</t>
  </si>
  <si>
    <t>Meta (100%)</t>
  </si>
  <si>
    <t>TABLA 5 — KPI BENCHMARK INDUSTRIA vs MESAS</t>
  </si>
  <si>
    <t>KPI</t>
  </si>
  <si>
    <t>Benchmark Industria</t>
  </si>
  <si>
    <t>Objetivo Gen Next</t>
  </si>
  <si>
    <t>Promedio Mesas Actuales</t>
  </si>
  <si>
    <t>FCR (%)</t>
  </si>
  <si>
    <t>Rotación anual (%)</t>
  </si>
  <si>
    <t>% Autoservicio</t>
  </si>
  <si>
    <t>Costo/ticket (USD)</t>
  </si>
  <si>
    <t>Versión inicial; levantamiento de información esto actuales mesas de servicio</t>
  </si>
  <si>
    <t>Descripción</t>
  </si>
  <si>
    <t>Natalia Zartha
Junior Architect</t>
  </si>
  <si>
    <t>2026/07/03</t>
  </si>
  <si>
    <r>
      <t xml:space="preserve">Fecha: </t>
    </r>
    <r>
      <rPr>
        <sz val="11"/>
        <color rgb="FF1A1A1A"/>
        <rFont val="Calibri Light"/>
        <family val="2"/>
      </rPr>
      <t>2026/07/03</t>
    </r>
  </si>
  <si>
    <r>
      <t xml:space="preserve">Clasificación: </t>
    </r>
    <r>
      <rPr>
        <sz val="11"/>
        <color rgb="FF1A1A1A"/>
        <rFont val="Calibri Light"/>
        <family val="2"/>
      </rPr>
      <t>Interna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</si>
</sst>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3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color theme="1"/>
      <name val="Calibri Light"/>
      <family val="2"/>
    </font>
    <font>
      <b/>
      <sz val="18"/>
      <color rgb="FFFFFFFF"/>
      <name val="Calibri Light"/>
      <family val="2"/>
    </font>
    <font>
      <b/>
      <sz val="16"/>
      <color rgb="FF0072BC"/>
      <name val="Calibri Light"/>
      <family val="2"/>
    </font>
    <font>
      <i/>
      <sz val="12"/>
      <color rgb="FF1A1A1A"/>
      <name val="Calibri Light"/>
      <family val="2"/>
    </font>
    <font>
      <b/>
      <sz val="11"/>
      <color rgb="FF1A1A1A"/>
      <name val="Calibri Light"/>
      <family val="2"/>
    </font>
    <font>
      <sz val="11"/>
      <color rgb="FF1A1A1A"/>
      <name val="Calibri Light"/>
      <family val="2"/>
    </font>
    <font>
      <b/>
      <sz val="11"/>
      <color rgb="FFFFFFFF"/>
      <name val="Calibri Light"/>
      <family val="2"/>
    </font>
    <font>
      <b/>
      <sz val="12"/>
      <color rgb="FFFFFFFF"/>
      <name val="Calibri Light"/>
      <family val="2"/>
    </font>
    <font>
      <b/>
      <sz val="12"/>
      <color theme="0"/>
      <name val="Calibri Light"/>
      <family val="2"/>
    </font>
    <font>
      <sz val="12"/>
      <name val="Calibri Light"/>
      <family val="2"/>
    </font>
    <font>
      <b/>
      <sz val="16"/>
      <color rgb="FFFFFFFF"/>
      <name val="Calibri Light"/>
      <family val="2"/>
    </font>
    <font>
      <b/>
      <sz val="14"/>
      <color rgb="FF0072BC"/>
      <name val="Calibri Light"/>
      <family val="2"/>
    </font>
    <font>
      <sz val="11"/>
      <color rgb="FF017490"/>
      <name val="Calibri Light"/>
      <family val="2"/>
    </font>
    <font>
      <b/>
      <sz val="13"/>
      <color rgb="FFFFFFFF"/>
      <name val="Calibri Light"/>
      <family val="2"/>
    </font>
    <font>
      <sz val="11"/>
      <color rgb="FFFFFFFF"/>
      <name val="Calibri Light"/>
      <family val="2"/>
    </font>
    <font>
      <sz val="11"/>
      <name val="Calibri Light"/>
      <family val="2"/>
    </font>
    <font>
      <i/>
      <sz val="12"/>
      <color rgb="FF017490"/>
      <name val="Calibri Light"/>
      <family val="2"/>
    </font>
    <font>
      <b/>
      <sz val="12"/>
      <color rgb="FF1A1A1A"/>
      <name val="Calibri Light"/>
      <family val="2"/>
    </font>
    <font>
      <b/>
      <sz val="12"/>
      <color rgb="FF017490"/>
      <name val="Calibri Light"/>
      <family val="2"/>
    </font>
    <font>
      <b/>
      <sz val="12"/>
      <color rgb="FFC0392B"/>
      <name val="Calibri Light"/>
      <family val="2"/>
    </font>
    <font>
      <b/>
      <sz val="14"/>
      <color rgb="FF017490"/>
      <name val="Calibri Light"/>
      <family val="2"/>
    </font>
    <font>
      <b/>
      <sz val="14"/>
      <color rgb="FFC0392B"/>
      <name val="Calibri Light"/>
      <family val="2"/>
    </font>
    <font>
      <b/>
      <sz val="14"/>
      <color rgb="FF1F7A4D"/>
      <name val="Calibri Light"/>
      <family val="2"/>
    </font>
    <font>
      <b/>
      <sz val="14"/>
      <color rgb="FF132346"/>
      <name val="Calibri Light"/>
      <family val="2"/>
    </font>
    <font>
      <i/>
      <sz val="10"/>
      <color rgb="FF888888"/>
      <name val="Calibri Light"/>
      <family val="2"/>
    </font>
    <font>
      <b/>
      <sz val="11"/>
      <name val="Calibri Light"/>
      <family val="2"/>
    </font>
    <font>
      <b/>
      <sz val="12"/>
      <color rgb="FF132346"/>
      <name val="Calibri Light"/>
      <family val="2"/>
    </font>
    <font>
      <i/>
      <sz val="11"/>
      <name val="Calibri Light"/>
      <family val="2"/>
    </font>
    <font>
      <b/>
      <sz val="13"/>
      <color rgb="FF017490"/>
      <name val="Calibri Light"/>
      <family val="2"/>
    </font>
    <font>
      <b/>
      <sz val="13"/>
      <color rgb="FFC0392B"/>
      <name val="Calibri Light"/>
      <family val="2"/>
    </font>
    <font>
      <b/>
      <sz val="13"/>
      <color rgb="FFD4A017"/>
      <name val="Calibri Light"/>
      <family val="2"/>
    </font>
    <font>
      <b/>
      <sz val="14"/>
      <color rgb="FFFFFFFF"/>
      <name val="Calibri Light"/>
      <family val="2"/>
    </font>
    <font>
      <i/>
      <sz val="10"/>
      <color rgb="FFE07B26"/>
      <name val="Calibri Light"/>
      <family val="2"/>
    </font>
    <font>
      <b/>
      <sz val="11"/>
      <color rgb="FF132346"/>
      <name val="Calibri Light"/>
      <family val="2"/>
    </font>
    <font>
      <b/>
      <sz val="14"/>
      <color rgb="FFD4A017"/>
      <name val="Calibri Light"/>
      <family val="2"/>
    </font>
  </fonts>
  <fills count="15">
    <fill>
      <patternFill patternType="none"/>
    </fill>
    <fill>
      <patternFill patternType="gray125"/>
    </fill>
    <fill>
      <patternFill patternType="solid">
        <fgColor rgb="FF132346"/>
        <bgColor rgb="FF1A1A1A"/>
      </patternFill>
    </fill>
    <fill>
      <patternFill patternType="solid">
        <fgColor rgb="FF0072BC"/>
        <bgColor rgb="FF017490"/>
      </patternFill>
    </fill>
    <fill>
      <patternFill patternType="solid">
        <fgColor rgb="FFF2F2F2"/>
        <bgColor rgb="FFE8F0FB"/>
      </patternFill>
    </fill>
    <fill>
      <patternFill patternType="solid">
        <fgColor rgb="FFFFFFFF"/>
        <bgColor rgb="FFF2F2F2"/>
      </patternFill>
    </fill>
    <fill>
      <patternFill patternType="solid">
        <fgColor rgb="FFC0392B"/>
        <bgColor rgb="FF993366"/>
      </patternFill>
    </fill>
    <fill>
      <patternFill patternType="solid">
        <fgColor rgb="FFE07B26"/>
        <bgColor rgb="FFD4A017"/>
      </patternFill>
    </fill>
    <fill>
      <patternFill patternType="solid">
        <fgColor rgb="FFD4A017"/>
        <bgColor rgb="FFE07B26"/>
      </patternFill>
    </fill>
    <fill>
      <patternFill patternType="solid">
        <fgColor rgb="FF017490"/>
        <bgColor rgb="FF0072BC"/>
      </patternFill>
    </fill>
    <fill>
      <patternFill patternType="solid">
        <fgColor rgb="FF1F7A4D"/>
        <bgColor rgb="FF339966"/>
      </patternFill>
    </fill>
    <fill>
      <patternFill patternType="solid">
        <fgColor rgb="FFD9D9D9"/>
        <bgColor rgb="FFE8E8E8"/>
      </patternFill>
    </fill>
    <fill>
      <patternFill patternType="solid">
        <fgColor rgb="FFE8F0FB"/>
        <bgColor rgb="FFF2F2F2"/>
      </patternFill>
    </fill>
    <fill>
      <patternFill patternType="solid">
        <fgColor theme="0"/>
        <bgColor rgb="FF1A1A1A"/>
      </patternFill>
    </fill>
    <fill>
      <patternFill patternType="solid">
        <fgColor rgb="FF0072BC"/>
        <bgColor indexed="64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/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/>
      <top/>
      <bottom/>
      <diagonal/>
    </border>
    <border>
      <left/>
      <right style="thin">
        <color rgb="FF0070C0"/>
      </right>
      <top/>
      <bottom/>
      <diagonal/>
    </border>
    <border>
      <left style="thin">
        <color rgb="FF0070C0"/>
      </left>
      <right/>
      <top/>
      <bottom style="thin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thin">
        <color rgb="FF0070C0"/>
      </top>
      <bottom/>
      <diagonal/>
    </border>
    <border>
      <left/>
      <right/>
      <top/>
      <bottom style="thin">
        <color rgb="FF0070C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</borders>
  <cellStyleXfs count="2">
    <xf numFmtId="0" fontId="0" fillId="0" borderId="0"/>
    <xf numFmtId="0" fontId="1" fillId="0" borderId="0"/>
  </cellStyleXfs>
  <cellXfs count="133">
    <xf numFmtId="0" fontId="0" fillId="0" borderId="0" xfId="0"/>
    <xf numFmtId="0" fontId="2" fillId="0" borderId="0" xfId="0" applyFont="1"/>
    <xf numFmtId="0" fontId="3" fillId="13" borderId="4" xfId="0" applyFont="1" applyFill="1" applyBorder="1" applyAlignment="1">
      <alignment horizontal="center" vertical="center"/>
    </xf>
    <xf numFmtId="0" fontId="3" fillId="13" borderId="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3" fillId="13" borderId="6" xfId="0" applyFont="1" applyFill="1" applyBorder="1" applyAlignment="1">
      <alignment horizontal="center" vertical="center"/>
    </xf>
    <xf numFmtId="0" fontId="3" fillId="13" borderId="7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6" fillId="0" borderId="6" xfId="0" applyFont="1" applyBorder="1" applyAlignment="1">
      <alignment horizontal="right" vertical="center"/>
    </xf>
    <xf numFmtId="0" fontId="7" fillId="0" borderId="0" xfId="0" applyFont="1" applyBorder="1" applyAlignment="1">
      <alignment horizontal="left" vertical="center"/>
    </xf>
    <xf numFmtId="0" fontId="2" fillId="0" borderId="0" xfId="0" applyFont="1" applyBorder="1"/>
    <xf numFmtId="0" fontId="3" fillId="13" borderId="8" xfId="0" applyFont="1" applyFill="1" applyBorder="1" applyAlignment="1">
      <alignment horizontal="center" vertical="center"/>
    </xf>
    <xf numFmtId="0" fontId="3" fillId="13" borderId="9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right" vertical="center"/>
    </xf>
    <xf numFmtId="0" fontId="7" fillId="0" borderId="11" xfId="0" applyFont="1" applyBorder="1" applyAlignment="1">
      <alignment horizontal="left" vertical="center"/>
    </xf>
    <xf numFmtId="0" fontId="2" fillId="0" borderId="11" xfId="0" applyFont="1" applyBorder="1"/>
    <xf numFmtId="0" fontId="7" fillId="0" borderId="1" xfId="0" applyFont="1" applyBorder="1" applyAlignment="1">
      <alignment horizontal="left" vertical="center" wrapText="1"/>
    </xf>
    <xf numFmtId="0" fontId="9" fillId="2" borderId="2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0" fillId="14" borderId="3" xfId="1" applyFont="1" applyFill="1" applyBorder="1" applyAlignment="1">
      <alignment horizontal="center" vertical="center"/>
    </xf>
    <xf numFmtId="0" fontId="11" fillId="0" borderId="3" xfId="1" applyFont="1" applyBorder="1" applyAlignment="1">
      <alignment horizontal="center" vertical="center" wrapText="1"/>
    </xf>
    <xf numFmtId="0" fontId="11" fillId="0" borderId="3" xfId="1" applyFont="1" applyBorder="1" applyAlignment="1">
      <alignment horizontal="center" vertical="center"/>
    </xf>
    <xf numFmtId="14" fontId="11" fillId="0" borderId="12" xfId="1" applyNumberFormat="1" applyFont="1" applyBorder="1" applyAlignment="1">
      <alignment horizontal="center"/>
    </xf>
    <xf numFmtId="14" fontId="11" fillId="0" borderId="13" xfId="1" applyNumberFormat="1" applyFont="1" applyBorder="1" applyAlignment="1">
      <alignment horizontal="center"/>
    </xf>
    <xf numFmtId="0" fontId="11" fillId="0" borderId="0" xfId="1" applyFont="1"/>
    <xf numFmtId="0" fontId="10" fillId="14" borderId="3" xfId="1" applyFont="1" applyFill="1" applyBorder="1" applyAlignment="1">
      <alignment horizontal="center" vertical="center"/>
    </xf>
    <xf numFmtId="49" fontId="11" fillId="0" borderId="3" xfId="1" applyNumberFormat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3" xfId="1" applyFont="1" applyBorder="1" applyAlignment="1">
      <alignment horizontal="left" vertical="center"/>
    </xf>
    <xf numFmtId="0" fontId="11" fillId="0" borderId="3" xfId="1" applyFont="1" applyBorder="1" applyAlignment="1">
      <alignment horizontal="left" vertical="center" wrapText="1"/>
    </xf>
    <xf numFmtId="0" fontId="11" fillId="0" borderId="14" xfId="1" applyFont="1" applyBorder="1" applyAlignment="1">
      <alignment horizontal="left" vertical="center" wrapText="1"/>
    </xf>
    <xf numFmtId="0" fontId="11" fillId="0" borderId="13" xfId="1" applyFont="1" applyBorder="1" applyAlignment="1">
      <alignment horizontal="left" vertical="center" wrapText="1"/>
    </xf>
    <xf numFmtId="14" fontId="11" fillId="0" borderId="3" xfId="1" applyNumberFormat="1" applyFont="1" applyBorder="1" applyAlignment="1">
      <alignment horizontal="left" vertical="center"/>
    </xf>
    <xf numFmtId="0" fontId="2" fillId="0" borderId="15" xfId="0" applyFont="1" applyBorder="1"/>
    <xf numFmtId="0" fontId="2" fillId="0" borderId="16" xfId="0" applyFont="1" applyBorder="1"/>
    <xf numFmtId="0" fontId="6" fillId="0" borderId="16" xfId="0" applyFont="1" applyBorder="1" applyAlignment="1">
      <alignment horizontal="right" vertical="center"/>
    </xf>
    <xf numFmtId="0" fontId="6" fillId="0" borderId="17" xfId="0" applyFont="1" applyBorder="1" applyAlignment="1">
      <alignment horizontal="right" vertical="center"/>
    </xf>
    <xf numFmtId="0" fontId="12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14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15" fillId="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16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left" vertical="center"/>
    </xf>
    <xf numFmtId="0" fontId="17" fillId="5" borderId="1" xfId="0" applyFont="1" applyFill="1" applyBorder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19" fillId="4" borderId="1" xfId="0" applyFont="1" applyFill="1" applyBorder="1" applyAlignment="1">
      <alignment horizontal="center" vertical="center"/>
    </xf>
    <xf numFmtId="164" fontId="20" fillId="4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3" fontId="7" fillId="4" borderId="1" xfId="0" applyNumberFormat="1" applyFont="1" applyFill="1" applyBorder="1" applyAlignment="1">
      <alignment horizontal="center" vertical="center"/>
    </xf>
    <xf numFmtId="3" fontId="21" fillId="4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64" fontId="20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3" fontId="7" fillId="5" borderId="1" xfId="0" applyNumberFormat="1" applyFont="1" applyFill="1" applyBorder="1" applyAlignment="1">
      <alignment horizontal="center" vertical="center"/>
    </xf>
    <xf numFmtId="3" fontId="21" fillId="5" borderId="1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4" fontId="22" fillId="0" borderId="1" xfId="0" applyNumberFormat="1" applyFont="1" applyBorder="1" applyAlignment="1">
      <alignment horizontal="center" vertical="center"/>
    </xf>
    <xf numFmtId="164" fontId="23" fillId="0" borderId="1" xfId="0" applyNumberFormat="1" applyFont="1" applyBorder="1" applyAlignment="1">
      <alignment horizontal="center" vertical="center"/>
    </xf>
    <xf numFmtId="164" fontId="24" fillId="0" borderId="1" xfId="0" applyNumberFormat="1" applyFont="1" applyBorder="1" applyAlignment="1">
      <alignment horizontal="center" vertical="center"/>
    </xf>
    <xf numFmtId="3" fontId="25" fillId="0" borderId="1" xfId="0" applyNumberFormat="1" applyFont="1" applyBorder="1" applyAlignment="1">
      <alignment horizontal="center" vertical="center"/>
    </xf>
    <xf numFmtId="0" fontId="26" fillId="0" borderId="0" xfId="0" applyFont="1" applyAlignment="1">
      <alignment horizontal="left" vertical="center" wrapText="1"/>
    </xf>
    <xf numFmtId="0" fontId="27" fillId="4" borderId="1" xfId="0" applyFont="1" applyFill="1" applyBorder="1" applyAlignment="1">
      <alignment horizontal="left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left" vertical="center" wrapText="1"/>
    </xf>
    <xf numFmtId="164" fontId="30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left" vertical="center" wrapText="1"/>
    </xf>
    <xf numFmtId="0" fontId="27" fillId="5" borderId="1" xfId="0" applyFont="1" applyFill="1" applyBorder="1" applyAlignment="1">
      <alignment horizontal="left" vertical="center"/>
    </xf>
    <xf numFmtId="0" fontId="28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left" vertical="center" wrapText="1"/>
    </xf>
    <xf numFmtId="164" fontId="30" fillId="5" borderId="1" xfId="0" applyNumberFormat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left" vertical="center" wrapText="1"/>
    </xf>
    <xf numFmtId="0" fontId="31" fillId="4" borderId="1" xfId="0" applyFont="1" applyFill="1" applyBorder="1" applyAlignment="1">
      <alignment horizontal="center" vertical="center"/>
    </xf>
    <xf numFmtId="0" fontId="32" fillId="4" borderId="1" xfId="0" applyFont="1" applyFill="1" applyBorder="1" applyAlignment="1">
      <alignment horizontal="center" vertical="center"/>
    </xf>
    <xf numFmtId="3" fontId="31" fillId="0" borderId="1" xfId="0" applyNumberFormat="1" applyFont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32" fillId="5" borderId="1" xfId="0" applyFont="1" applyFill="1" applyBorder="1" applyAlignment="1">
      <alignment horizontal="center" vertical="center"/>
    </xf>
    <xf numFmtId="0" fontId="9" fillId="9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33" fillId="2" borderId="0" xfId="0" applyFont="1" applyFill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right" vertical="center"/>
    </xf>
    <xf numFmtId="0" fontId="7" fillId="0" borderId="2" xfId="0" applyFont="1" applyBorder="1" applyAlignment="1">
      <alignment horizontal="left" vertical="center"/>
    </xf>
    <xf numFmtId="0" fontId="25" fillId="12" borderId="1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9" fillId="9" borderId="2" xfId="0" applyFont="1" applyFill="1" applyBorder="1" applyAlignment="1">
      <alignment horizontal="left" vertical="center"/>
    </xf>
    <xf numFmtId="0" fontId="35" fillId="5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9" fontId="7" fillId="4" borderId="1" xfId="0" applyNumberFormat="1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35" fillId="0" borderId="0" xfId="0" applyFont="1"/>
    <xf numFmtId="0" fontId="6" fillId="0" borderId="0" xfId="0" applyFont="1"/>
    <xf numFmtId="9" fontId="2" fillId="0" borderId="0" xfId="0" applyNumberFormat="1" applyFont="1"/>
    <xf numFmtId="165" fontId="2" fillId="0" borderId="0" xfId="0" applyNumberFormat="1" applyFont="1"/>
  </cellXfs>
  <cellStyles count="2">
    <cellStyle name="Normal" xfId="0" builtinId="0"/>
    <cellStyle name="Normal 13" xfId="1" xr:uid="{E7444F27-1B4E-4DE7-8C59-EE058D2FBC89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7490"/>
      <rgbColor rgb="FFB3B3B3"/>
      <rgbColor rgb="FF888888"/>
      <rgbColor rgb="FF9999FF"/>
      <rgbColor rgb="FFA01780"/>
      <rgbColor rgb="FFF2F2F2"/>
      <rgbColor rgb="FFE8F0FB"/>
      <rgbColor rgb="FF660066"/>
      <rgbColor rgb="FFFF8080"/>
      <rgbColor rgb="FF0072BC"/>
      <rgbColor rgb="FFD9D9D9"/>
      <rgbColor rgb="FF000080"/>
      <rgbColor rgb="FFFF00FF"/>
      <rgbColor rgb="FFFFFF00"/>
      <rgbColor rgb="FF00FFFF"/>
      <rgbColor rgb="FF800080"/>
      <rgbColor rgb="FF800000"/>
      <rgbColor rgb="FF1F7A4D"/>
      <rgbColor rgb="FF0000FF"/>
      <rgbColor rgb="FF00CCFF"/>
      <rgbColor rgb="FFE8E8E8"/>
      <rgbColor rgb="FFCCFFCC"/>
      <rgbColor rgb="FFE8E88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A017"/>
      <rgbColor rgb="FFE07B26"/>
      <rgbColor rgb="FF666699"/>
      <rgbColor rgb="FF749080"/>
      <rgbColor rgb="FF132346"/>
      <rgbColor rgb="FF339966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CO" sz="1800" b="1" u="none" strike="noStrike">
                <a:solidFill>
                  <a:srgbClr val="000000"/>
                </a:solidFill>
                <a:uFillTx/>
                <a:latin typeface="Calibri"/>
              </a:rPr>
              <a:t>Nivel Madurez por Mesa (actual vs meta N3)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ChartData!$C$2</c:f>
              <c:strCache>
                <c:ptCount val="1"/>
                <c:pt idx="0">
                  <c:v>Madurez Numérica (0-5)</c:v>
                </c:pt>
              </c:strCache>
            </c:strRef>
          </c:tx>
          <c:spPr>
            <a:solidFill>
              <a:srgbClr val="017490"/>
            </a:solidFill>
            <a:ln w="12600">
              <a:solidFill>
                <a:srgbClr val="01749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17490"/>
                      </a:solidFill>
                    </a:ln>
                  </c:spPr>
                </c15:leaderLines>
              </c:ext>
            </c:extLst>
          </c:dLbls>
          <c:cat>
            <c:strRef>
              <c:f>ChartData!$A$3:$A$10</c:f>
              <c:strCache>
                <c:ptCount val="8"/>
                <c:pt idx="0">
                  <c:v>SURA Cotiz.</c:v>
                </c:pt>
                <c:pt idx="1">
                  <c:v>SURA V.Dig.</c:v>
                </c:pt>
                <c:pt idx="2">
                  <c:v>SURA Torre</c:v>
                </c:pt>
                <c:pt idx="3">
                  <c:v>SURA Mesa4</c:v>
                </c:pt>
                <c:pt idx="4">
                  <c:v>BCO Gioti1</c:v>
                </c:pt>
                <c:pt idx="5">
                  <c:v>BCO Gioti2</c:v>
                </c:pt>
                <c:pt idx="6">
                  <c:v>BCO Gioti3</c:v>
                </c:pt>
                <c:pt idx="7">
                  <c:v>BCO Gioti4</c:v>
                </c:pt>
              </c:strCache>
            </c:strRef>
          </c:cat>
          <c:val>
            <c:numRef>
              <c:f>ChartData!$C$3:$C$10</c:f>
              <c:numCache>
                <c:formatCode>General</c:formatCode>
                <c:ptCount val="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86-4282-8312-DCDE41503982}"/>
            </c:ext>
          </c:extLst>
        </c:ser>
        <c:ser>
          <c:idx val="1"/>
          <c:order val="1"/>
          <c:tx>
            <c:strRef>
              <c:f>ChartData!$D$2</c:f>
              <c:strCache>
                <c:ptCount val="1"/>
                <c:pt idx="0">
                  <c:v>Meta (N3)</c:v>
                </c:pt>
              </c:strCache>
            </c:strRef>
          </c:tx>
          <c:spPr>
            <a:solidFill>
              <a:srgbClr val="D4A017"/>
            </a:solidFill>
            <a:ln w="12600">
              <a:solidFill>
                <a:srgbClr val="D4A017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D4A017"/>
                      </a:solidFill>
                    </a:ln>
                  </c:spPr>
                </c15:leaderLines>
              </c:ext>
            </c:extLst>
          </c:dLbls>
          <c:cat>
            <c:strRef>
              <c:f>ChartData!$A$3:$A$10</c:f>
              <c:strCache>
                <c:ptCount val="8"/>
                <c:pt idx="0">
                  <c:v>SURA Cotiz.</c:v>
                </c:pt>
                <c:pt idx="1">
                  <c:v>SURA V.Dig.</c:v>
                </c:pt>
                <c:pt idx="2">
                  <c:v>SURA Torre</c:v>
                </c:pt>
                <c:pt idx="3">
                  <c:v>SURA Mesa4</c:v>
                </c:pt>
                <c:pt idx="4">
                  <c:v>BCO Gioti1</c:v>
                </c:pt>
                <c:pt idx="5">
                  <c:v>BCO Gioti2</c:v>
                </c:pt>
                <c:pt idx="6">
                  <c:v>BCO Gioti3</c:v>
                </c:pt>
                <c:pt idx="7">
                  <c:v>BCO Gioti4</c:v>
                </c:pt>
              </c:strCache>
            </c:strRef>
          </c:cat>
          <c:val>
            <c:numRef>
              <c:f>ChartData!$D$3:$D$10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86-4282-8312-DCDE41503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104791"/>
        <c:axId val="43977224"/>
      </c:barChart>
      <c:catAx>
        <c:axId val="6710479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43977224"/>
        <c:crosses val="autoZero"/>
        <c:auto val="1"/>
        <c:lblAlgn val="ctr"/>
        <c:lblOffset val="100"/>
        <c:noMultiLvlLbl val="0"/>
      </c:catAx>
      <c:valAx>
        <c:axId val="43977224"/>
        <c:scaling>
          <c:orientation val="minMax"/>
          <c:max val="5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67104791"/>
        <c:crosses val="autoZero"/>
        <c:crossBetween val="between"/>
        <c:majorUnit val="1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CO" sz="1800" b="1" u="none" strike="noStrike">
                <a:solidFill>
                  <a:srgbClr val="000000"/>
                </a:solidFill>
                <a:uFillTx/>
                <a:latin typeface="Calibri"/>
              </a:rPr>
              <a:t>Score Global Prácticas ITIL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ChartData!$F$14</c:f>
              <c:strCache>
                <c:ptCount val="1"/>
                <c:pt idx="0">
                  <c:v>Score Global</c:v>
                </c:pt>
              </c:strCache>
            </c:strRef>
          </c:tx>
          <c:spPr>
            <a:solidFill>
              <a:srgbClr val="132346"/>
            </a:solidFill>
            <a:ln w="12600">
              <a:solidFill>
                <a:srgbClr val="13234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132346"/>
                      </a:solidFill>
                    </a:ln>
                  </c:spPr>
                </c15:leaderLines>
              </c:ext>
            </c:extLst>
          </c:dLbls>
          <c:cat>
            <c:strRef>
              <c:f>ChartData!$A$15:$A$22</c:f>
              <c:strCache>
                <c:ptCount val="8"/>
                <c:pt idx="0">
                  <c:v>SURA Cotiz.</c:v>
                </c:pt>
                <c:pt idx="1">
                  <c:v>SURA V.Dig.</c:v>
                </c:pt>
                <c:pt idx="2">
                  <c:v>SURA Torre</c:v>
                </c:pt>
                <c:pt idx="3">
                  <c:v>SURA Mesa4</c:v>
                </c:pt>
                <c:pt idx="4">
                  <c:v>BCO Gioti1</c:v>
                </c:pt>
                <c:pt idx="5">
                  <c:v>BCO Gioti2</c:v>
                </c:pt>
                <c:pt idx="6">
                  <c:v>BCO Gioti3</c:v>
                </c:pt>
                <c:pt idx="7">
                  <c:v>BCO Gioti4</c:v>
                </c:pt>
              </c:strCache>
            </c:strRef>
          </c:cat>
          <c:val>
            <c:numRef>
              <c:f>ChartData!$F$15:$F$22</c:f>
              <c:numCache>
                <c:formatCode>0%</c:formatCode>
                <c:ptCount val="8"/>
                <c:pt idx="0">
                  <c:v>0.5</c:v>
                </c:pt>
                <c:pt idx="1">
                  <c:v>0.17647058823529413</c:v>
                </c:pt>
                <c:pt idx="2">
                  <c:v>0</c:v>
                </c:pt>
                <c:pt idx="3">
                  <c:v>0</c:v>
                </c:pt>
                <c:pt idx="4">
                  <c:v>0.79411764705882348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5-404D-876E-2978A7E7B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067435"/>
        <c:axId val="86757877"/>
      </c:barChart>
      <c:catAx>
        <c:axId val="2806743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86757877"/>
        <c:crosses val="autoZero"/>
        <c:auto val="1"/>
        <c:lblAlgn val="ctr"/>
        <c:lblOffset val="100"/>
        <c:noMultiLvlLbl val="0"/>
      </c:catAx>
      <c:valAx>
        <c:axId val="86757877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2806743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ChartData!$C$2</c:f>
              <c:strCache>
                <c:ptCount val="1"/>
                <c:pt idx="0">
                  <c:v>Madurez Numérica (0-5)</c:v>
                </c:pt>
              </c:strCache>
            </c:strRef>
          </c:tx>
          <c:spPr>
            <a:solidFill>
              <a:srgbClr val="017490"/>
            </a:solidFill>
            <a:ln w="12600">
              <a:solidFill>
                <a:srgbClr val="01749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17490"/>
                      </a:solidFill>
                    </a:ln>
                  </c:spPr>
                </c15:leaderLines>
              </c:ext>
            </c:extLst>
          </c:dLbls>
          <c:cat>
            <c:strRef>
              <c:f>ChartData!$A$3:$A$10</c:f>
              <c:strCache>
                <c:ptCount val="8"/>
                <c:pt idx="0">
                  <c:v>SURA Cotiz.</c:v>
                </c:pt>
                <c:pt idx="1">
                  <c:v>SURA V.Dig.</c:v>
                </c:pt>
                <c:pt idx="2">
                  <c:v>SURA Torre</c:v>
                </c:pt>
                <c:pt idx="3">
                  <c:v>SURA Mesa4</c:v>
                </c:pt>
                <c:pt idx="4">
                  <c:v>BCO Gioti1</c:v>
                </c:pt>
                <c:pt idx="5">
                  <c:v>BCO Gioti2</c:v>
                </c:pt>
                <c:pt idx="6">
                  <c:v>BCO Gioti3</c:v>
                </c:pt>
                <c:pt idx="7">
                  <c:v>BCO Gioti4</c:v>
                </c:pt>
              </c:strCache>
            </c:strRef>
          </c:cat>
          <c:val>
            <c:numRef>
              <c:f>ChartData!$C$3:$C$10</c:f>
              <c:numCache>
                <c:formatCode>General</c:formatCode>
                <c:ptCount val="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BB-4919-91D5-4987453A6D20}"/>
            </c:ext>
          </c:extLst>
        </c:ser>
        <c:ser>
          <c:idx val="1"/>
          <c:order val="1"/>
          <c:tx>
            <c:strRef>
              <c:f>ChartData!$D$2</c:f>
              <c:strCache>
                <c:ptCount val="1"/>
                <c:pt idx="0">
                  <c:v>Meta (N3)</c:v>
                </c:pt>
              </c:strCache>
            </c:strRef>
          </c:tx>
          <c:spPr>
            <a:solidFill>
              <a:srgbClr val="D4A017"/>
            </a:solidFill>
            <a:ln w="12600">
              <a:solidFill>
                <a:srgbClr val="D4A017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D4A017"/>
                      </a:solidFill>
                    </a:ln>
                  </c:spPr>
                </c15:leaderLines>
              </c:ext>
            </c:extLst>
          </c:dLbls>
          <c:cat>
            <c:strRef>
              <c:f>ChartData!$A$3:$A$10</c:f>
              <c:strCache>
                <c:ptCount val="8"/>
                <c:pt idx="0">
                  <c:v>SURA Cotiz.</c:v>
                </c:pt>
                <c:pt idx="1">
                  <c:v>SURA V.Dig.</c:v>
                </c:pt>
                <c:pt idx="2">
                  <c:v>SURA Torre</c:v>
                </c:pt>
                <c:pt idx="3">
                  <c:v>SURA Mesa4</c:v>
                </c:pt>
                <c:pt idx="4">
                  <c:v>BCO Gioti1</c:v>
                </c:pt>
                <c:pt idx="5">
                  <c:v>BCO Gioti2</c:v>
                </c:pt>
                <c:pt idx="6">
                  <c:v>BCO Gioti3</c:v>
                </c:pt>
                <c:pt idx="7">
                  <c:v>BCO Gioti4</c:v>
                </c:pt>
              </c:strCache>
            </c:strRef>
          </c:cat>
          <c:val>
            <c:numRef>
              <c:f>ChartData!$D$3:$D$10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BB-4919-91D5-4987453A6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2891"/>
        <c:axId val="65519525"/>
      </c:barChart>
      <c:catAx>
        <c:axId val="126289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65519525"/>
        <c:crosses val="autoZero"/>
        <c:auto val="1"/>
        <c:lblAlgn val="ctr"/>
        <c:lblOffset val="100"/>
        <c:noMultiLvlLbl val="0"/>
      </c:catAx>
      <c:valAx>
        <c:axId val="65519525"/>
        <c:scaling>
          <c:orientation val="minMax"/>
          <c:max val="5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CO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Nivel de Madurez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1262891"/>
        <c:crosses val="autoZero"/>
        <c:crossBetween val="between"/>
        <c:majorUnit val="1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ChartData!$B$14</c:f>
              <c:strCache>
                <c:ptCount val="1"/>
                <c:pt idx="0">
                  <c:v>D1 Org/Personas</c:v>
                </c:pt>
              </c:strCache>
            </c:strRef>
          </c:tx>
          <c:spPr>
            <a:solidFill>
              <a:srgbClr val="132346"/>
            </a:solidFill>
            <a:ln w="12600">
              <a:solidFill>
                <a:srgbClr val="13234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132346"/>
                      </a:solidFill>
                    </a:ln>
                  </c:spPr>
                </c15:leaderLines>
              </c:ext>
            </c:extLst>
          </c:dLbls>
          <c:cat>
            <c:strRef>
              <c:f>ChartData!$A$15:$A$22</c:f>
              <c:strCache>
                <c:ptCount val="8"/>
                <c:pt idx="0">
                  <c:v>SURA Cotiz.</c:v>
                </c:pt>
                <c:pt idx="1">
                  <c:v>SURA V.Dig.</c:v>
                </c:pt>
                <c:pt idx="2">
                  <c:v>SURA Torre</c:v>
                </c:pt>
                <c:pt idx="3">
                  <c:v>SURA Mesa4</c:v>
                </c:pt>
                <c:pt idx="4">
                  <c:v>BCO Gioti1</c:v>
                </c:pt>
                <c:pt idx="5">
                  <c:v>BCO Gioti2</c:v>
                </c:pt>
                <c:pt idx="6">
                  <c:v>BCO Gioti3</c:v>
                </c:pt>
                <c:pt idx="7">
                  <c:v>BCO Gioti4</c:v>
                </c:pt>
              </c:strCache>
            </c:strRef>
          </c:cat>
          <c:val>
            <c:numRef>
              <c:f>ChartData!$B$15:$B$22</c:f>
              <c:numCache>
                <c:formatCode>0%</c:formatCode>
                <c:ptCount val="8"/>
                <c:pt idx="0">
                  <c:v>0.6</c:v>
                </c:pt>
                <c:pt idx="1">
                  <c:v>0.2</c:v>
                </c:pt>
                <c:pt idx="2">
                  <c:v>0</c:v>
                </c:pt>
                <c:pt idx="3">
                  <c:v>0</c:v>
                </c:pt>
                <c:pt idx="4">
                  <c:v>0.8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11-402A-BCC4-371175753FA8}"/>
            </c:ext>
          </c:extLst>
        </c:ser>
        <c:ser>
          <c:idx val="1"/>
          <c:order val="1"/>
          <c:tx>
            <c:strRef>
              <c:f>ChartData!$C$14</c:f>
              <c:strCache>
                <c:ptCount val="1"/>
                <c:pt idx="0">
                  <c:v>D2 Info/Tecnología</c:v>
                </c:pt>
              </c:strCache>
            </c:strRef>
          </c:tx>
          <c:spPr>
            <a:solidFill>
              <a:srgbClr val="0072BC"/>
            </a:solidFill>
            <a:ln w="12600">
              <a:solidFill>
                <a:srgbClr val="0072BC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72BC"/>
                      </a:solidFill>
                    </a:ln>
                  </c:spPr>
                </c15:leaderLines>
              </c:ext>
            </c:extLst>
          </c:dLbls>
          <c:cat>
            <c:strRef>
              <c:f>ChartData!$A$15:$A$22</c:f>
              <c:strCache>
                <c:ptCount val="8"/>
                <c:pt idx="0">
                  <c:v>SURA Cotiz.</c:v>
                </c:pt>
                <c:pt idx="1">
                  <c:v>SURA V.Dig.</c:v>
                </c:pt>
                <c:pt idx="2">
                  <c:v>SURA Torre</c:v>
                </c:pt>
                <c:pt idx="3">
                  <c:v>SURA Mesa4</c:v>
                </c:pt>
                <c:pt idx="4">
                  <c:v>BCO Gioti1</c:v>
                </c:pt>
                <c:pt idx="5">
                  <c:v>BCO Gioti2</c:v>
                </c:pt>
                <c:pt idx="6">
                  <c:v>BCO Gioti3</c:v>
                </c:pt>
                <c:pt idx="7">
                  <c:v>BCO Gioti4</c:v>
                </c:pt>
              </c:strCache>
            </c:strRef>
          </c:cat>
          <c:val>
            <c:numRef>
              <c:f>ChartData!$C$15:$C$22</c:f>
              <c:numCache>
                <c:formatCode>0%</c:formatCode>
                <c:ptCount val="8"/>
                <c:pt idx="0">
                  <c:v>0.5</c:v>
                </c:pt>
                <c:pt idx="1">
                  <c:v>0.21428571428571427</c:v>
                </c:pt>
                <c:pt idx="2">
                  <c:v>0</c:v>
                </c:pt>
                <c:pt idx="3">
                  <c:v>0</c:v>
                </c:pt>
                <c:pt idx="4">
                  <c:v>0.7857142857142857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11-402A-BCC4-371175753FA8}"/>
            </c:ext>
          </c:extLst>
        </c:ser>
        <c:ser>
          <c:idx val="2"/>
          <c:order val="2"/>
          <c:tx>
            <c:strRef>
              <c:f>ChartData!$D$14</c:f>
              <c:strCache>
                <c:ptCount val="1"/>
                <c:pt idx="0">
                  <c:v>D3 Socios/Proveed.</c:v>
                </c:pt>
              </c:strCache>
            </c:strRef>
          </c:tx>
          <c:spPr>
            <a:solidFill>
              <a:srgbClr val="017490"/>
            </a:solidFill>
            <a:ln w="12600">
              <a:solidFill>
                <a:srgbClr val="01749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17490"/>
                      </a:solidFill>
                    </a:ln>
                  </c:spPr>
                </c15:leaderLines>
              </c:ext>
            </c:extLst>
          </c:dLbls>
          <c:cat>
            <c:strRef>
              <c:f>ChartData!$A$15:$A$22</c:f>
              <c:strCache>
                <c:ptCount val="8"/>
                <c:pt idx="0">
                  <c:v>SURA Cotiz.</c:v>
                </c:pt>
                <c:pt idx="1">
                  <c:v>SURA V.Dig.</c:v>
                </c:pt>
                <c:pt idx="2">
                  <c:v>SURA Torre</c:v>
                </c:pt>
                <c:pt idx="3">
                  <c:v>SURA Mesa4</c:v>
                </c:pt>
                <c:pt idx="4">
                  <c:v>BCO Gioti1</c:v>
                </c:pt>
                <c:pt idx="5">
                  <c:v>BCO Gioti2</c:v>
                </c:pt>
                <c:pt idx="6">
                  <c:v>BCO Gioti3</c:v>
                </c:pt>
                <c:pt idx="7">
                  <c:v>BCO Gioti4</c:v>
                </c:pt>
              </c:strCache>
            </c:strRef>
          </c:cat>
          <c:val>
            <c:numRef>
              <c:f>ChartData!$D$15:$D$22</c:f>
              <c:numCache>
                <c:formatCode>0%</c:formatCode>
                <c:ptCount val="8"/>
                <c:pt idx="0">
                  <c:v>0.5</c:v>
                </c:pt>
                <c:pt idx="1">
                  <c:v>0.16666666666666666</c:v>
                </c:pt>
                <c:pt idx="2">
                  <c:v>0</c:v>
                </c:pt>
                <c:pt idx="3">
                  <c:v>0</c:v>
                </c:pt>
                <c:pt idx="4">
                  <c:v>0.83333333333333337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11-402A-BCC4-371175753FA8}"/>
            </c:ext>
          </c:extLst>
        </c:ser>
        <c:ser>
          <c:idx val="3"/>
          <c:order val="3"/>
          <c:tx>
            <c:strRef>
              <c:f>ChartData!$E$14</c:f>
              <c:strCache>
                <c:ptCount val="1"/>
                <c:pt idx="0">
                  <c:v>D4 Valor/Mejora</c:v>
                </c:pt>
              </c:strCache>
            </c:strRef>
          </c:tx>
          <c:spPr>
            <a:solidFill>
              <a:srgbClr val="D4A017"/>
            </a:solidFill>
            <a:ln w="12600">
              <a:solidFill>
                <a:srgbClr val="D4A017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D4A017"/>
                      </a:solidFill>
                    </a:ln>
                  </c:spPr>
                </c15:leaderLines>
              </c:ext>
            </c:extLst>
          </c:dLbls>
          <c:cat>
            <c:strRef>
              <c:f>ChartData!$A$15:$A$22</c:f>
              <c:strCache>
                <c:ptCount val="8"/>
                <c:pt idx="0">
                  <c:v>SURA Cotiz.</c:v>
                </c:pt>
                <c:pt idx="1">
                  <c:v>SURA V.Dig.</c:v>
                </c:pt>
                <c:pt idx="2">
                  <c:v>SURA Torre</c:v>
                </c:pt>
                <c:pt idx="3">
                  <c:v>SURA Mesa4</c:v>
                </c:pt>
                <c:pt idx="4">
                  <c:v>BCO Gioti1</c:v>
                </c:pt>
                <c:pt idx="5">
                  <c:v>BCO Gioti2</c:v>
                </c:pt>
                <c:pt idx="6">
                  <c:v>BCO Gioti3</c:v>
                </c:pt>
                <c:pt idx="7">
                  <c:v>BCO Gioti4</c:v>
                </c:pt>
              </c:strCache>
            </c:strRef>
          </c:cat>
          <c:val>
            <c:numRef>
              <c:f>ChartData!$E$15:$E$22</c:f>
              <c:numCache>
                <c:formatCode>0%</c:formatCode>
                <c:ptCount val="8"/>
                <c:pt idx="0">
                  <c:v>0.25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0.75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011-402A-BCC4-371175753F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877333"/>
        <c:axId val="73065990"/>
      </c:barChart>
      <c:catAx>
        <c:axId val="148773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73065990"/>
        <c:crosses val="autoZero"/>
        <c:auto val="1"/>
        <c:lblAlgn val="ctr"/>
        <c:lblOffset val="100"/>
        <c:noMultiLvlLbl val="0"/>
      </c:catAx>
      <c:valAx>
        <c:axId val="7306599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CO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Cumplimiento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14877333"/>
        <c:crosses val="autoZero"/>
        <c:crossBetween val="between"/>
        <c:majorUnit val="0.25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radarChart>
        <c:radarStyle val="filled"/>
        <c:varyColors val="0"/>
        <c:ser>
          <c:idx val="0"/>
          <c:order val="0"/>
          <c:tx>
            <c:strRef>
              <c:f>ChartData!$B$40</c:f>
              <c:strCache>
                <c:ptCount val="1"/>
                <c:pt idx="0">
                  <c:v>SURA (prom)</c:v>
                </c:pt>
              </c:strCache>
            </c:strRef>
          </c:tx>
          <c:spPr>
            <a:solidFill>
              <a:srgbClr val="749080"/>
            </a:solidFill>
            <a:ln w="12600">
              <a:solidFill>
                <a:srgbClr val="017490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17490"/>
                      </a:solidFill>
                    </a:ln>
                  </c:spPr>
                </c15:leaderLines>
              </c:ext>
            </c:extLst>
          </c:dLbls>
          <c:cat>
            <c:strRef>
              <c:f>ChartData!$A$41:$A$44</c:f>
              <c:strCache>
                <c:ptCount val="4"/>
                <c:pt idx="0">
                  <c:v>D1 Org/Personas</c:v>
                </c:pt>
                <c:pt idx="1">
                  <c:v>D2 Info/Tecnología</c:v>
                </c:pt>
                <c:pt idx="2">
                  <c:v>D3 Socios/Proveed.</c:v>
                </c:pt>
                <c:pt idx="3">
                  <c:v>D4 Valor/Mejora</c:v>
                </c:pt>
              </c:strCache>
            </c:strRef>
          </c:cat>
          <c:val>
            <c:numRef>
              <c:f>ChartData!$B$41:$B$44</c:f>
              <c:numCache>
                <c:formatCode>0%</c:formatCode>
                <c:ptCount val="4"/>
                <c:pt idx="0">
                  <c:v>0.2</c:v>
                </c:pt>
                <c:pt idx="1">
                  <c:v>0.17857142857142858</c:v>
                </c:pt>
                <c:pt idx="2">
                  <c:v>0.16666666666666666</c:v>
                </c:pt>
                <c:pt idx="3">
                  <c:v>6.25E-2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B4-44C4-AFAE-DED664B4CD09}"/>
            </c:ext>
          </c:extLst>
        </c:ser>
        <c:ser>
          <c:idx val="1"/>
          <c:order val="1"/>
          <c:tx>
            <c:strRef>
              <c:f>ChartData!$C$40</c:f>
              <c:strCache>
                <c:ptCount val="1"/>
                <c:pt idx="0">
                  <c:v>BCO (prom)</c:v>
                </c:pt>
              </c:strCache>
            </c:strRef>
          </c:tx>
          <c:spPr>
            <a:solidFill>
              <a:srgbClr val="A01780"/>
            </a:solidFill>
            <a:ln w="12600">
              <a:solidFill>
                <a:srgbClr val="D4A017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D4A017"/>
                      </a:solidFill>
                    </a:ln>
                  </c:spPr>
                </c15:leaderLines>
              </c:ext>
            </c:extLst>
          </c:dLbls>
          <c:cat>
            <c:strRef>
              <c:f>ChartData!$A$41:$A$44</c:f>
              <c:strCache>
                <c:ptCount val="4"/>
                <c:pt idx="0">
                  <c:v>D1 Org/Personas</c:v>
                </c:pt>
                <c:pt idx="1">
                  <c:v>D2 Info/Tecnología</c:v>
                </c:pt>
                <c:pt idx="2">
                  <c:v>D3 Socios/Proveed.</c:v>
                </c:pt>
                <c:pt idx="3">
                  <c:v>D4 Valor/Mejora</c:v>
                </c:pt>
              </c:strCache>
            </c:strRef>
          </c:cat>
          <c:val>
            <c:numRef>
              <c:f>ChartData!$C$41:$C$44</c:f>
              <c:numCache>
                <c:formatCode>0%</c:formatCode>
                <c:ptCount val="4"/>
                <c:pt idx="0">
                  <c:v>0.2</c:v>
                </c:pt>
                <c:pt idx="1">
                  <c:v>0.19642857142857142</c:v>
                </c:pt>
                <c:pt idx="2">
                  <c:v>0.20833333333333334</c:v>
                </c:pt>
                <c:pt idx="3">
                  <c:v>0.1875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B4-44C4-AFAE-DED664B4CD09}"/>
            </c:ext>
          </c:extLst>
        </c:ser>
        <c:ser>
          <c:idx val="2"/>
          <c:order val="2"/>
          <c:tx>
            <c:strRef>
              <c:f>ChartData!$D$40</c:f>
              <c:strCache>
                <c:ptCount val="1"/>
                <c:pt idx="0">
                  <c:v>Meta (100%)</c:v>
                </c:pt>
              </c:strCache>
            </c:strRef>
          </c:tx>
          <c:spPr>
            <a:solidFill>
              <a:srgbClr val="E8E880"/>
            </a:solidFill>
            <a:ln w="12600">
              <a:solidFill>
                <a:srgbClr val="E8E8E8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E8E8E8"/>
                      </a:solidFill>
                    </a:ln>
                  </c:spPr>
                </c15:leaderLines>
              </c:ext>
            </c:extLst>
          </c:dLbls>
          <c:cat>
            <c:strRef>
              <c:f>ChartData!$A$41:$A$44</c:f>
              <c:strCache>
                <c:ptCount val="4"/>
                <c:pt idx="0">
                  <c:v>D1 Org/Personas</c:v>
                </c:pt>
                <c:pt idx="1">
                  <c:v>D2 Info/Tecnología</c:v>
                </c:pt>
                <c:pt idx="2">
                  <c:v>D3 Socios/Proveed.</c:v>
                </c:pt>
                <c:pt idx="3">
                  <c:v>D4 Valor/Mejora</c:v>
                </c:pt>
              </c:strCache>
            </c:strRef>
          </c:cat>
          <c:val>
            <c:numRef>
              <c:f>ChartData!$D$41:$D$44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B4-44C4-AFAE-DED664B4CD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190061"/>
        <c:axId val="65316457"/>
      </c:radarChart>
      <c:catAx>
        <c:axId val="67190061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65316457"/>
        <c:crosses val="autoZero"/>
        <c:auto val="1"/>
        <c:lblAlgn val="ctr"/>
        <c:lblOffset val="100"/>
        <c:noMultiLvlLbl val="0"/>
      </c:catAx>
      <c:valAx>
        <c:axId val="653164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671900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D1 Rotación</c:v>
          </c:tx>
          <c:spPr>
            <a:solidFill>
              <a:srgbClr val="C0392B"/>
            </a:solidFill>
            <a:ln w="12600">
              <a:solidFill>
                <a:srgbClr val="C0392B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C0392B"/>
                      </a:solidFill>
                    </a:ln>
                  </c:spPr>
                </c15:leaderLines>
              </c:ext>
            </c:extLst>
          </c:dLbls>
          <c:val>
            <c:numRef>
              <c:f>ChartData!$B$36</c:f>
              <c:numCache>
                <c:formatCode>General</c:formatCode>
                <c:ptCount val="1"/>
                <c:pt idx="0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C4-44A8-9DDC-912656D4038E}"/>
            </c:ext>
          </c:extLst>
        </c:ser>
        <c:ser>
          <c:idx val="1"/>
          <c:order val="1"/>
          <c:tx>
            <c:v>D2 SLAs</c:v>
          </c:tx>
          <c:spPr>
            <a:solidFill>
              <a:srgbClr val="E07B26"/>
            </a:solidFill>
            <a:ln w="12600">
              <a:solidFill>
                <a:srgbClr val="E07B2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E07B26"/>
                      </a:solidFill>
                    </a:ln>
                  </c:spPr>
                </c15:leaderLines>
              </c:ext>
            </c:extLst>
          </c:dLbls>
          <c:val>
            <c:numRef>
              <c:f>ChartData!$C$36</c:f>
              <c:numCache>
                <c:formatCode>General</c:formatCode>
                <c:ptCount val="1"/>
                <c:pt idx="0">
                  <c:v>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C4-44A8-9DDC-912656D4038E}"/>
            </c:ext>
          </c:extLst>
        </c:ser>
        <c:ser>
          <c:idx val="2"/>
          <c:order val="2"/>
          <c:tx>
            <c:v>D3 Autoserv.</c:v>
          </c:tx>
          <c:spPr>
            <a:solidFill>
              <a:srgbClr val="D4A017"/>
            </a:solidFill>
            <a:ln w="12600">
              <a:solidFill>
                <a:srgbClr val="D4A017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D4A017"/>
                      </a:solidFill>
                    </a:ln>
                  </c:spPr>
                </c15:leaderLines>
              </c:ext>
            </c:extLst>
          </c:dLbls>
          <c:val>
            <c:numRef>
              <c:f>ChartData!$D$36</c:f>
              <c:numCache>
                <c:formatCode>General</c:formatCode>
                <c:ptCount val="1"/>
                <c:pt idx="0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C4-44A8-9DDC-912656D4038E}"/>
            </c:ext>
          </c:extLst>
        </c:ser>
        <c:ser>
          <c:idx val="3"/>
          <c:order val="3"/>
          <c:tx>
            <c:v>D4 Herram.</c:v>
          </c:tx>
          <c:spPr>
            <a:solidFill>
              <a:srgbClr val="0072BC"/>
            </a:solidFill>
            <a:ln w="12600">
              <a:solidFill>
                <a:srgbClr val="0072BC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72BC"/>
                      </a:solidFill>
                    </a:ln>
                  </c:spPr>
                </c15:leaderLines>
              </c:ext>
            </c:extLst>
          </c:dLbls>
          <c:val>
            <c:numRef>
              <c:f>ChartData!$E$36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C4-44A8-9DDC-912656D4038E}"/>
            </c:ext>
          </c:extLst>
        </c:ser>
        <c:ser>
          <c:idx val="4"/>
          <c:order val="4"/>
          <c:tx>
            <c:v>D5 NPS bajo</c:v>
          </c:tx>
          <c:spPr>
            <a:solidFill>
              <a:srgbClr val="017490"/>
            </a:solidFill>
            <a:ln w="12600">
              <a:solidFill>
                <a:srgbClr val="01749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17490"/>
                      </a:solidFill>
                    </a:ln>
                  </c:spPr>
                </c15:leaderLines>
              </c:ext>
            </c:extLst>
          </c:dLbls>
          <c:val>
            <c:numRef>
              <c:f>ChartData!$F$36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C4-44A8-9DDC-912656D4038E}"/>
            </c:ext>
          </c:extLst>
        </c:ser>
        <c:ser>
          <c:idx val="5"/>
          <c:order val="5"/>
          <c:tx>
            <c:v>D6 Escalm.</c:v>
          </c:tx>
          <c:spPr>
            <a:solidFill>
              <a:srgbClr val="1F7A4D"/>
            </a:solidFill>
            <a:ln w="12600">
              <a:solidFill>
                <a:srgbClr val="1F7A4D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1F7A4D"/>
                      </a:solidFill>
                    </a:ln>
                  </c:spPr>
                </c15:leaderLines>
              </c:ext>
            </c:extLst>
          </c:dLbls>
          <c:val>
            <c:numRef>
              <c:f>ChartData!$G$36</c:f>
              <c:numCache>
                <c:formatCode>General</c:formatCode>
                <c:ptCount val="1"/>
                <c:pt idx="0">
                  <c:v>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C4-44A8-9DDC-912656D4038E}"/>
            </c:ext>
          </c:extLst>
        </c:ser>
        <c:ser>
          <c:idx val="6"/>
          <c:order val="6"/>
          <c:tx>
            <c:v>D7 Dashboard</c:v>
          </c:tx>
          <c:spPr>
            <a:solidFill>
              <a:srgbClr val="132346"/>
            </a:solidFill>
            <a:ln w="12600">
              <a:solidFill>
                <a:srgbClr val="13234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132346"/>
                      </a:solidFill>
                    </a:ln>
                  </c:spPr>
                </c15:leaderLines>
              </c:ext>
            </c:extLst>
          </c:dLbls>
          <c:val>
            <c:numRef>
              <c:f>ChartData!$H$36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C4-44A8-9DDC-912656D40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669316"/>
        <c:axId val="92778653"/>
      </c:barChart>
      <c:catAx>
        <c:axId val="4166931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CO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Mesas con el dolor activo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92778653"/>
        <c:crosses val="autoZero"/>
        <c:auto val="1"/>
        <c:lblAlgn val="ctr"/>
        <c:lblOffset val="100"/>
        <c:noMultiLvlLbl val="0"/>
      </c:catAx>
      <c:valAx>
        <c:axId val="92778653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4166931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ChartData!$B$48</c:f>
              <c:strCache>
                <c:ptCount val="1"/>
                <c:pt idx="0">
                  <c:v>Benchmark Industria</c:v>
                </c:pt>
              </c:strCache>
            </c:strRef>
          </c:tx>
          <c:spPr>
            <a:solidFill>
              <a:srgbClr val="888888"/>
            </a:solidFill>
            <a:ln w="12600">
              <a:solidFill>
                <a:srgbClr val="888888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888888"/>
                      </a:solidFill>
                    </a:ln>
                  </c:spPr>
                </c15:leaderLines>
              </c:ext>
            </c:extLst>
          </c:dLbls>
          <c:cat>
            <c:strRef>
              <c:f>ChartData!$A$49:$A$50</c:f>
              <c:strCache>
                <c:ptCount val="2"/>
                <c:pt idx="0">
                  <c:v>FCR (%)</c:v>
                </c:pt>
                <c:pt idx="1">
                  <c:v>SLA Cumplimiento (%)</c:v>
                </c:pt>
              </c:strCache>
            </c:strRef>
          </c:cat>
          <c:val>
            <c:numRef>
              <c:f>ChartData!$B$49:$B$50</c:f>
              <c:numCache>
                <c:formatCode>0%</c:formatCode>
                <c:ptCount val="2"/>
                <c:pt idx="0">
                  <c:v>0.75</c:v>
                </c:pt>
                <c:pt idx="1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51-4FCD-AE94-8ED9D1C98142}"/>
            </c:ext>
          </c:extLst>
        </c:ser>
        <c:ser>
          <c:idx val="1"/>
          <c:order val="1"/>
          <c:tx>
            <c:strRef>
              <c:f>ChartData!$C$48</c:f>
              <c:strCache>
                <c:ptCount val="1"/>
                <c:pt idx="0">
                  <c:v>Objetivo Gen Next</c:v>
                </c:pt>
              </c:strCache>
            </c:strRef>
          </c:tx>
          <c:spPr>
            <a:solidFill>
              <a:srgbClr val="017490"/>
            </a:solidFill>
            <a:ln w="12600">
              <a:solidFill>
                <a:srgbClr val="017490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17490"/>
                      </a:solidFill>
                    </a:ln>
                  </c:spPr>
                </c15:leaderLines>
              </c:ext>
            </c:extLst>
          </c:dLbls>
          <c:cat>
            <c:strRef>
              <c:f>ChartData!$A$49:$A$50</c:f>
              <c:strCache>
                <c:ptCount val="2"/>
                <c:pt idx="0">
                  <c:v>FCR (%)</c:v>
                </c:pt>
                <c:pt idx="1">
                  <c:v>SLA Cumplimiento (%)</c:v>
                </c:pt>
              </c:strCache>
            </c:strRef>
          </c:cat>
          <c:val>
            <c:numRef>
              <c:f>ChartData!$C$49:$C$50</c:f>
              <c:numCache>
                <c:formatCode>0%</c:formatCode>
                <c:ptCount val="2"/>
                <c:pt idx="0">
                  <c:v>0.85</c:v>
                </c:pt>
                <c:pt idx="1">
                  <c:v>0.98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51-4FCD-AE94-8ED9D1C98142}"/>
            </c:ext>
          </c:extLst>
        </c:ser>
        <c:ser>
          <c:idx val="2"/>
          <c:order val="2"/>
          <c:tx>
            <c:strRef>
              <c:f>ChartData!$D$48</c:f>
              <c:strCache>
                <c:ptCount val="1"/>
                <c:pt idx="0">
                  <c:v>Promedio Mesas Actuales</c:v>
                </c:pt>
              </c:strCache>
            </c:strRef>
          </c:tx>
          <c:spPr>
            <a:solidFill>
              <a:srgbClr val="132346"/>
            </a:solidFill>
            <a:ln w="12600">
              <a:solidFill>
                <a:srgbClr val="132346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132346"/>
                      </a:solidFill>
                    </a:ln>
                  </c:spPr>
                </c15:leaderLines>
              </c:ext>
            </c:extLst>
          </c:dLbls>
          <c:cat>
            <c:strRef>
              <c:f>ChartData!$A$49:$A$50</c:f>
              <c:strCache>
                <c:ptCount val="2"/>
                <c:pt idx="0">
                  <c:v>FCR (%)</c:v>
                </c:pt>
                <c:pt idx="1">
                  <c:v>SLA Cumplimiento (%)</c:v>
                </c:pt>
              </c:strCache>
            </c:strRef>
          </c:cat>
          <c:val>
            <c:numRef>
              <c:f>ChartData!$D$49:$D$50</c:f>
              <c:numCache>
                <c:formatCode>0%</c:formatCode>
                <c:ptCount val="2"/>
                <c:pt idx="0">
                  <c:v>0.25624999999999998</c:v>
                </c:pt>
                <c:pt idx="1">
                  <c:v>0.32874999999999999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51-4FCD-AE94-8ED9D1C98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41309"/>
        <c:axId val="24715077"/>
      </c:barChart>
      <c:catAx>
        <c:axId val="214413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24715077"/>
        <c:crosses val="autoZero"/>
        <c:auto val="1"/>
        <c:lblAlgn val="ctr"/>
        <c:lblOffset val="100"/>
        <c:noMultiLvlLbl val="0"/>
      </c:catAx>
      <c:valAx>
        <c:axId val="24715077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CO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Valor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21441309"/>
        <c:crosses val="autoZero"/>
        <c:crossBetween val="between"/>
        <c:majorUnit val="0.2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552450</xdr:colOff>
      <xdr:row>4</xdr:row>
      <xdr:rowOff>19050</xdr:rowOff>
    </xdr:from>
    <xdr:to>
      <xdr:col>3</xdr:col>
      <xdr:colOff>349250</xdr:colOff>
      <xdr:row>5</xdr:row>
      <xdr:rowOff>123825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C36DC54-407F-4A51-907A-AC8DD0E582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546100"/>
          <a:ext cx="1524000" cy="2952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48</xdr:row>
      <xdr:rowOff>0</xdr:rowOff>
    </xdr:from>
    <xdr:to>
      <xdr:col>4</xdr:col>
      <xdr:colOff>193690</xdr:colOff>
      <xdr:row>65</xdr:row>
      <xdr:rowOff>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48</xdr:row>
      <xdr:rowOff>0</xdr:rowOff>
    </xdr:from>
    <xdr:to>
      <xdr:col>14</xdr:col>
      <xdr:colOff>118080</xdr:colOff>
      <xdr:row>65</xdr:row>
      <xdr:rowOff>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0</xdr:rowOff>
    </xdr:from>
    <xdr:to>
      <xdr:col>7</xdr:col>
      <xdr:colOff>659160</xdr:colOff>
      <xdr:row>23</xdr:row>
      <xdr:rowOff>84240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5</xdr:row>
      <xdr:rowOff>0</xdr:rowOff>
    </xdr:from>
    <xdr:to>
      <xdr:col>14</xdr:col>
      <xdr:colOff>659520</xdr:colOff>
      <xdr:row>23</xdr:row>
      <xdr:rowOff>84240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22</xdr:row>
      <xdr:rowOff>0</xdr:rowOff>
    </xdr:from>
    <xdr:to>
      <xdr:col>7</xdr:col>
      <xdr:colOff>659160</xdr:colOff>
      <xdr:row>40</xdr:row>
      <xdr:rowOff>84240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22</xdr:row>
      <xdr:rowOff>0</xdr:rowOff>
    </xdr:from>
    <xdr:to>
      <xdr:col>14</xdr:col>
      <xdr:colOff>659520</xdr:colOff>
      <xdr:row>40</xdr:row>
      <xdr:rowOff>84240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39</xdr:row>
      <xdr:rowOff>0</xdr:rowOff>
    </xdr:from>
    <xdr:to>
      <xdr:col>15</xdr:col>
      <xdr:colOff>339840</xdr:colOff>
      <xdr:row>56</xdr:row>
      <xdr:rowOff>360</xdr:rowOff>
    </xdr:to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20"/>
  <sheetViews>
    <sheetView showGridLines="0" zoomScaleNormal="100" workbookViewId="0">
      <selection activeCell="J11" sqref="J11"/>
    </sheetView>
  </sheetViews>
  <sheetFormatPr baseColWidth="10" defaultColWidth="8.6328125" defaultRowHeight="14.5" x14ac:dyDescent="0.35"/>
  <cols>
    <col min="1" max="1" width="3" style="1" customWidth="1"/>
    <col min="2" max="2" width="14" style="1" customWidth="1"/>
    <col min="3" max="3" width="10.7265625" style="1" customWidth="1"/>
    <col min="4" max="4" width="24.08984375" style="1" customWidth="1"/>
    <col min="5" max="5" width="18" style="1" customWidth="1"/>
    <col min="6" max="6" width="14.36328125" style="1" customWidth="1"/>
    <col min="7" max="7" width="22" style="1" customWidth="1"/>
    <col min="8" max="16384" width="8.6328125" style="1"/>
  </cols>
  <sheetData>
    <row r="2" spans="2:7" ht="7.5" customHeight="1" x14ac:dyDescent="0.35"/>
    <row r="3" spans="2:7" ht="19.5" customHeight="1" x14ac:dyDescent="0.35">
      <c r="B3" s="2"/>
      <c r="C3" s="3"/>
      <c r="D3" s="4" t="s">
        <v>0</v>
      </c>
      <c r="E3" s="5"/>
      <c r="F3" s="5"/>
      <c r="G3" s="37"/>
    </row>
    <row r="4" spans="2:7" ht="7" customHeight="1" x14ac:dyDescent="0.35">
      <c r="B4" s="6"/>
      <c r="C4" s="7"/>
      <c r="D4" s="21"/>
      <c r="E4" s="22"/>
      <c r="F4" s="22"/>
      <c r="G4" s="38"/>
    </row>
    <row r="5" spans="2:7" ht="15" customHeight="1" x14ac:dyDescent="0.35">
      <c r="B5" s="6"/>
      <c r="C5" s="7"/>
      <c r="D5" s="8" t="s">
        <v>1</v>
      </c>
      <c r="E5" s="9"/>
      <c r="F5" s="9"/>
      <c r="G5" s="38"/>
    </row>
    <row r="6" spans="2:7" ht="15" customHeight="1" x14ac:dyDescent="0.35">
      <c r="B6" s="6"/>
      <c r="C6" s="7"/>
      <c r="D6" s="10"/>
      <c r="E6" s="11"/>
      <c r="F6" s="12"/>
      <c r="G6" s="39" t="s">
        <v>386</v>
      </c>
    </row>
    <row r="7" spans="2:7" ht="15" customHeight="1" x14ac:dyDescent="0.35">
      <c r="B7" s="13"/>
      <c r="C7" s="14"/>
      <c r="D7" s="15" t="s">
        <v>2</v>
      </c>
      <c r="E7" s="16" t="s">
        <v>3</v>
      </c>
      <c r="F7" s="17"/>
      <c r="G7" s="40" t="s">
        <v>387</v>
      </c>
    </row>
    <row r="10" spans="2:7" ht="15.5" x14ac:dyDescent="0.35">
      <c r="B10" s="23" t="s">
        <v>5</v>
      </c>
      <c r="C10" s="23"/>
      <c r="D10" s="23" t="s">
        <v>6</v>
      </c>
      <c r="E10" s="23"/>
      <c r="F10" s="23" t="s">
        <v>7</v>
      </c>
      <c r="G10" s="23"/>
    </row>
    <row r="11" spans="2:7" ht="15.5" x14ac:dyDescent="0.35">
      <c r="B11" s="24" t="s">
        <v>384</v>
      </c>
      <c r="C11" s="25"/>
      <c r="D11" s="24"/>
      <c r="E11" s="25"/>
      <c r="F11" s="24"/>
      <c r="G11" s="25"/>
    </row>
    <row r="12" spans="2:7" ht="15.5" x14ac:dyDescent="0.35">
      <c r="B12" s="23" t="s">
        <v>8</v>
      </c>
      <c r="C12" s="23"/>
      <c r="D12" s="23" t="s">
        <v>8</v>
      </c>
      <c r="E12" s="23"/>
      <c r="F12" s="23" t="s">
        <v>8</v>
      </c>
      <c r="G12" s="23"/>
    </row>
    <row r="13" spans="2:7" ht="15.5" x14ac:dyDescent="0.35">
      <c r="B13" s="26">
        <v>46206</v>
      </c>
      <c r="C13" s="27"/>
      <c r="D13" s="26"/>
      <c r="E13" s="27"/>
      <c r="F13" s="26"/>
      <c r="G13" s="27"/>
    </row>
    <row r="14" spans="2:7" ht="15.5" x14ac:dyDescent="0.35">
      <c r="B14" s="28"/>
      <c r="C14" s="28"/>
      <c r="D14" s="28"/>
      <c r="E14" s="28"/>
      <c r="F14" s="28"/>
      <c r="G14" s="28"/>
    </row>
    <row r="15" spans="2:7" ht="15.5" x14ac:dyDescent="0.35">
      <c r="B15" s="29" t="s">
        <v>8</v>
      </c>
      <c r="C15" s="29" t="s">
        <v>9</v>
      </c>
      <c r="D15" s="23" t="s">
        <v>383</v>
      </c>
      <c r="E15" s="23"/>
      <c r="F15" s="23"/>
      <c r="G15" s="23"/>
    </row>
    <row r="16" spans="2:7" ht="15.5" x14ac:dyDescent="0.35">
      <c r="B16" s="30" t="s">
        <v>385</v>
      </c>
      <c r="C16" s="31">
        <v>1</v>
      </c>
      <c r="D16" s="36" t="s">
        <v>382</v>
      </c>
      <c r="E16" s="32"/>
      <c r="F16" s="32"/>
      <c r="G16" s="32"/>
    </row>
    <row r="17" spans="2:7" ht="15.5" x14ac:dyDescent="0.35">
      <c r="B17" s="30"/>
      <c r="C17" s="31">
        <v>2</v>
      </c>
      <c r="D17" s="32"/>
      <c r="E17" s="32"/>
      <c r="F17" s="32"/>
      <c r="G17" s="32"/>
    </row>
    <row r="18" spans="2:7" ht="15.5" x14ac:dyDescent="0.35">
      <c r="B18" s="30"/>
      <c r="C18" s="31">
        <v>3</v>
      </c>
      <c r="D18" s="32"/>
      <c r="E18" s="32"/>
      <c r="F18" s="32"/>
      <c r="G18" s="32"/>
    </row>
    <row r="19" spans="2:7" ht="15.5" x14ac:dyDescent="0.35">
      <c r="B19" s="30"/>
      <c r="C19" s="31">
        <v>4</v>
      </c>
      <c r="D19" s="33"/>
      <c r="E19" s="33"/>
      <c r="F19" s="33"/>
      <c r="G19" s="33"/>
    </row>
    <row r="20" spans="2:7" ht="15.5" x14ac:dyDescent="0.35">
      <c r="B20" s="30"/>
      <c r="C20" s="31">
        <v>5</v>
      </c>
      <c r="D20" s="33"/>
      <c r="E20" s="34"/>
      <c r="F20" s="34"/>
      <c r="G20" s="35"/>
    </row>
  </sheetData>
  <mergeCells count="21">
    <mergeCell ref="D17:G17"/>
    <mergeCell ref="D18:G18"/>
    <mergeCell ref="D19:G19"/>
    <mergeCell ref="D20:G20"/>
    <mergeCell ref="B13:C13"/>
    <mergeCell ref="D13:E13"/>
    <mergeCell ref="F13:G13"/>
    <mergeCell ref="D15:G15"/>
    <mergeCell ref="D16:G16"/>
    <mergeCell ref="B11:C11"/>
    <mergeCell ref="D11:E11"/>
    <mergeCell ref="F11:G11"/>
    <mergeCell ref="B12:C12"/>
    <mergeCell ref="D12:E12"/>
    <mergeCell ref="F12:G12"/>
    <mergeCell ref="B10:C10"/>
    <mergeCell ref="D10:E10"/>
    <mergeCell ref="F10:G10"/>
    <mergeCell ref="B3:C7"/>
    <mergeCell ref="D3:F3"/>
    <mergeCell ref="D5:F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31"/>
  <sheetViews>
    <sheetView showGridLines="0" zoomScaleNormal="100" workbookViewId="0">
      <selection activeCell="F8" sqref="F8"/>
    </sheetView>
  </sheetViews>
  <sheetFormatPr baseColWidth="10" defaultColWidth="8.6328125" defaultRowHeight="14.5" x14ac:dyDescent="0.35"/>
  <cols>
    <col min="1" max="1" width="3" style="1" customWidth="1"/>
    <col min="2" max="2" width="11.54296875" style="1" customWidth="1"/>
    <col min="3" max="3" width="28" style="1" customWidth="1"/>
    <col min="4" max="4" width="41.36328125" style="1" customWidth="1"/>
    <col min="5" max="5" width="60" style="1" customWidth="1"/>
    <col min="6" max="9" width="14" style="1" customWidth="1"/>
    <col min="10" max="16384" width="8.6328125" style="1"/>
  </cols>
  <sheetData>
    <row r="1" spans="2:9" ht="7.5" customHeight="1" x14ac:dyDescent="0.35"/>
    <row r="2" spans="2:9" ht="36" customHeight="1" x14ac:dyDescent="0.35">
      <c r="B2" s="41" t="s">
        <v>10</v>
      </c>
      <c r="C2" s="41"/>
      <c r="D2" s="41"/>
      <c r="E2" s="41"/>
      <c r="F2" s="41"/>
      <c r="G2" s="41"/>
      <c r="H2" s="41"/>
      <c r="I2" s="41"/>
    </row>
    <row r="3" spans="2:9" ht="21.75" customHeight="1" x14ac:dyDescent="0.35">
      <c r="B3" s="42" t="s">
        <v>11</v>
      </c>
      <c r="C3" s="42"/>
      <c r="D3" s="42"/>
      <c r="E3" s="42"/>
      <c r="F3" s="42"/>
      <c r="G3" s="42"/>
      <c r="H3" s="42"/>
      <c r="I3" s="42"/>
    </row>
    <row r="5" spans="2:9" ht="21.75" customHeight="1" x14ac:dyDescent="0.35">
      <c r="B5" s="19" t="s">
        <v>12</v>
      </c>
      <c r="C5" s="19"/>
      <c r="D5" s="19"/>
      <c r="E5" s="19"/>
      <c r="F5" s="19"/>
      <c r="G5" s="19"/>
      <c r="H5" s="19"/>
      <c r="I5" s="19"/>
    </row>
    <row r="6" spans="2:9" ht="21.75" customHeight="1" x14ac:dyDescent="0.35">
      <c r="B6" s="20" t="s">
        <v>13</v>
      </c>
      <c r="C6" s="20" t="s">
        <v>14</v>
      </c>
      <c r="D6" s="20" t="s">
        <v>15</v>
      </c>
      <c r="E6" s="20" t="s">
        <v>16</v>
      </c>
    </row>
    <row r="7" spans="2:9" ht="24" customHeight="1" x14ac:dyDescent="0.35">
      <c r="B7" s="43" t="s">
        <v>17</v>
      </c>
      <c r="C7" s="44" t="s">
        <v>18</v>
      </c>
      <c r="D7" s="45" t="s">
        <v>19</v>
      </c>
      <c r="E7" s="46" t="s">
        <v>20</v>
      </c>
    </row>
    <row r="8" spans="2:9" ht="24" customHeight="1" x14ac:dyDescent="0.35">
      <c r="B8" s="47" t="s">
        <v>21</v>
      </c>
      <c r="C8" s="48" t="s">
        <v>22</v>
      </c>
      <c r="D8" s="49" t="s">
        <v>19</v>
      </c>
      <c r="E8" s="50" t="s">
        <v>23</v>
      </c>
    </row>
    <row r="9" spans="2:9" ht="24" customHeight="1" x14ac:dyDescent="0.35">
      <c r="B9" s="43" t="s">
        <v>24</v>
      </c>
      <c r="C9" s="44" t="s">
        <v>25</v>
      </c>
      <c r="D9" s="45" t="s">
        <v>26</v>
      </c>
      <c r="E9" s="46" t="s">
        <v>27</v>
      </c>
    </row>
    <row r="10" spans="2:9" ht="24" customHeight="1" x14ac:dyDescent="0.35">
      <c r="B10" s="47" t="s">
        <v>28</v>
      </c>
      <c r="C10" s="48" t="s">
        <v>29</v>
      </c>
      <c r="D10" s="49" t="s">
        <v>30</v>
      </c>
      <c r="E10" s="50" t="s">
        <v>31</v>
      </c>
    </row>
    <row r="11" spans="2:9" ht="24" customHeight="1" x14ac:dyDescent="0.35">
      <c r="B11" s="43" t="s">
        <v>32</v>
      </c>
      <c r="C11" s="44" t="s">
        <v>33</v>
      </c>
      <c r="D11" s="45" t="s">
        <v>34</v>
      </c>
      <c r="E11" s="46" t="s">
        <v>35</v>
      </c>
    </row>
    <row r="12" spans="2:9" ht="24" customHeight="1" x14ac:dyDescent="0.35">
      <c r="B12" s="47" t="s">
        <v>36</v>
      </c>
      <c r="C12" s="48" t="s">
        <v>37</v>
      </c>
      <c r="D12" s="49" t="s">
        <v>19</v>
      </c>
      <c r="E12" s="50" t="s">
        <v>38</v>
      </c>
    </row>
    <row r="13" spans="2:9" ht="24" customHeight="1" x14ac:dyDescent="0.35">
      <c r="B13" s="43" t="s">
        <v>39</v>
      </c>
      <c r="C13" s="44" t="s">
        <v>40</v>
      </c>
      <c r="D13" s="45" t="s">
        <v>19</v>
      </c>
      <c r="E13" s="46" t="s">
        <v>41</v>
      </c>
    </row>
    <row r="15" spans="2:9" ht="7.5" customHeight="1" x14ac:dyDescent="0.35"/>
    <row r="16" spans="2:9" ht="21.75" customHeight="1" x14ac:dyDescent="0.35">
      <c r="B16" s="19" t="s">
        <v>42</v>
      </c>
      <c r="C16" s="19"/>
      <c r="D16" s="19"/>
      <c r="E16" s="19"/>
      <c r="F16" s="19"/>
      <c r="G16" s="19"/>
      <c r="H16" s="19"/>
      <c r="I16" s="19"/>
    </row>
    <row r="17" spans="2:9" ht="21.75" customHeight="1" x14ac:dyDescent="0.35">
      <c r="B17" s="20" t="s">
        <v>43</v>
      </c>
      <c r="C17" s="20" t="s">
        <v>4</v>
      </c>
      <c r="D17" s="20" t="s">
        <v>16</v>
      </c>
    </row>
    <row r="18" spans="2:9" ht="37.5" customHeight="1" x14ac:dyDescent="0.35">
      <c r="B18" s="51" t="s">
        <v>44</v>
      </c>
      <c r="C18" s="52" t="s">
        <v>45</v>
      </c>
      <c r="D18" s="18" t="s">
        <v>46</v>
      </c>
    </row>
    <row r="19" spans="2:9" ht="37.5" customHeight="1" x14ac:dyDescent="0.35">
      <c r="B19" s="53" t="s">
        <v>47</v>
      </c>
      <c r="C19" s="52" t="s">
        <v>48</v>
      </c>
      <c r="D19" s="18" t="s">
        <v>49</v>
      </c>
    </row>
    <row r="20" spans="2:9" ht="37.5" customHeight="1" x14ac:dyDescent="0.35">
      <c r="B20" s="54" t="s">
        <v>50</v>
      </c>
      <c r="C20" s="52" t="s">
        <v>51</v>
      </c>
      <c r="D20" s="18" t="s">
        <v>52</v>
      </c>
    </row>
    <row r="21" spans="2:9" ht="37.5" customHeight="1" x14ac:dyDescent="0.35">
      <c r="B21" s="55" t="s">
        <v>53</v>
      </c>
      <c r="C21" s="52" t="s">
        <v>54</v>
      </c>
      <c r="D21" s="18" t="s">
        <v>55</v>
      </c>
    </row>
    <row r="22" spans="2:9" ht="37.5" customHeight="1" x14ac:dyDescent="0.35">
      <c r="B22" s="56" t="s">
        <v>56</v>
      </c>
      <c r="C22" s="52" t="s">
        <v>57</v>
      </c>
      <c r="D22" s="18" t="s">
        <v>58</v>
      </c>
    </row>
    <row r="23" spans="2:9" ht="37.5" customHeight="1" x14ac:dyDescent="0.35">
      <c r="B23" s="57" t="s">
        <v>59</v>
      </c>
      <c r="C23" s="52" t="s">
        <v>60</v>
      </c>
      <c r="D23" s="18" t="s">
        <v>61</v>
      </c>
    </row>
    <row r="25" spans="2:9" ht="7.5" customHeight="1" x14ac:dyDescent="0.35"/>
    <row r="26" spans="2:9" ht="21.75" customHeight="1" x14ac:dyDescent="0.35">
      <c r="B26" s="19" t="s">
        <v>62</v>
      </c>
      <c r="C26" s="19"/>
      <c r="D26" s="19"/>
      <c r="E26" s="19"/>
      <c r="F26" s="19"/>
      <c r="G26" s="19"/>
      <c r="H26" s="19"/>
      <c r="I26" s="19"/>
    </row>
    <row r="27" spans="2:9" ht="21.75" customHeight="1" x14ac:dyDescent="0.35">
      <c r="B27" s="20" t="s">
        <v>63</v>
      </c>
      <c r="C27" s="20" t="s">
        <v>64</v>
      </c>
      <c r="D27" s="20" t="s">
        <v>65</v>
      </c>
      <c r="E27" s="20" t="s">
        <v>66</v>
      </c>
    </row>
    <row r="28" spans="2:9" ht="21.75" customHeight="1" x14ac:dyDescent="0.35">
      <c r="B28" s="58" t="s">
        <v>67</v>
      </c>
      <c r="C28" s="59" t="s">
        <v>68</v>
      </c>
      <c r="D28" s="60" t="s">
        <v>69</v>
      </c>
      <c r="E28" s="61" t="s">
        <v>3</v>
      </c>
    </row>
    <row r="29" spans="2:9" ht="21.75" customHeight="1" x14ac:dyDescent="0.35">
      <c r="B29" s="62" t="s">
        <v>70</v>
      </c>
      <c r="C29" s="59" t="s">
        <v>71</v>
      </c>
      <c r="D29" s="63" t="s">
        <v>72</v>
      </c>
      <c r="E29" s="61" t="s">
        <v>73</v>
      </c>
    </row>
    <row r="30" spans="2:9" ht="21.75" customHeight="1" x14ac:dyDescent="0.35">
      <c r="B30" s="64" t="s">
        <v>74</v>
      </c>
      <c r="C30" s="59" t="s">
        <v>75</v>
      </c>
      <c r="D30" s="65" t="s">
        <v>76</v>
      </c>
      <c r="E30" s="61" t="s">
        <v>77</v>
      </c>
    </row>
    <row r="31" spans="2:9" ht="21.75" customHeight="1" x14ac:dyDescent="0.35">
      <c r="B31" s="66" t="s">
        <v>78</v>
      </c>
      <c r="C31" s="59" t="s">
        <v>79</v>
      </c>
      <c r="D31" s="67" t="s">
        <v>80</v>
      </c>
      <c r="E31" s="61" t="s">
        <v>81</v>
      </c>
    </row>
  </sheetData>
  <mergeCells count="5">
    <mergeCell ref="B2:I2"/>
    <mergeCell ref="B3:I3"/>
    <mergeCell ref="B5:I5"/>
    <mergeCell ref="B16:I16"/>
    <mergeCell ref="B26:I2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88888"/>
  </sheetPr>
  <dimension ref="B2:L10"/>
  <sheetViews>
    <sheetView showGridLines="0" tabSelected="1" zoomScaleNormal="100" workbookViewId="0">
      <selection activeCell="E16" sqref="E16"/>
    </sheetView>
  </sheetViews>
  <sheetFormatPr baseColWidth="10" defaultColWidth="8.6328125" defaultRowHeight="14.5" x14ac:dyDescent="0.35"/>
  <cols>
    <col min="1" max="1" width="3" style="1" customWidth="1"/>
    <col min="2" max="2" width="14.7265625" style="1" customWidth="1"/>
    <col min="3" max="3" width="8.6328125" style="1"/>
    <col min="4" max="4" width="14.36328125" style="1" customWidth="1"/>
    <col min="5" max="5" width="8.6328125" style="1"/>
    <col min="6" max="6" width="14.90625" style="1" customWidth="1"/>
    <col min="7" max="7" width="8.6328125" style="1"/>
    <col min="8" max="8" width="13.453125" style="1" customWidth="1"/>
    <col min="9" max="9" width="8.6328125" style="1"/>
    <col min="10" max="10" width="14.26953125" style="1" customWidth="1"/>
    <col min="11" max="11" width="8.6328125" style="1"/>
    <col min="12" max="12" width="13.08984375" style="1" customWidth="1"/>
    <col min="13" max="16384" width="8.6328125" style="1"/>
  </cols>
  <sheetData>
    <row r="2" spans="2:12" ht="15" customHeight="1" x14ac:dyDescent="0.35">
      <c r="B2" s="19" t="s">
        <v>82</v>
      </c>
      <c r="C2" s="19"/>
      <c r="D2" s="19"/>
      <c r="E2" s="19"/>
      <c r="F2" s="19"/>
      <c r="G2" s="19"/>
      <c r="H2" s="19"/>
    </row>
    <row r="4" spans="2:12" ht="21.75" customHeight="1" x14ac:dyDescent="0.35">
      <c r="B4" s="68" t="s">
        <v>83</v>
      </c>
      <c r="D4" s="68" t="s">
        <v>84</v>
      </c>
      <c r="F4" s="68" t="s">
        <v>85</v>
      </c>
      <c r="H4" s="68" t="s">
        <v>86</v>
      </c>
      <c r="J4" s="68" t="s">
        <v>87</v>
      </c>
      <c r="L4" s="68" t="s">
        <v>88</v>
      </c>
    </row>
    <row r="5" spans="2:12" ht="19.5" customHeight="1" x14ac:dyDescent="0.35">
      <c r="B5" s="69" t="s">
        <v>67</v>
      </c>
      <c r="D5" s="69" t="s">
        <v>44</v>
      </c>
      <c r="F5" s="69" t="s">
        <v>89</v>
      </c>
      <c r="H5" s="69" t="s">
        <v>90</v>
      </c>
      <c r="J5" s="69" t="s">
        <v>91</v>
      </c>
      <c r="L5" s="69" t="s">
        <v>92</v>
      </c>
    </row>
    <row r="6" spans="2:12" ht="19.5" customHeight="1" x14ac:dyDescent="0.35">
      <c r="B6" s="70" t="s">
        <v>70</v>
      </c>
      <c r="D6" s="70" t="s">
        <v>47</v>
      </c>
      <c r="F6" s="70" t="s">
        <v>93</v>
      </c>
      <c r="H6" s="70" t="s">
        <v>94</v>
      </c>
      <c r="J6" s="70" t="s">
        <v>95</v>
      </c>
      <c r="L6" s="70" t="s">
        <v>96</v>
      </c>
    </row>
    <row r="7" spans="2:12" ht="19.5" customHeight="1" x14ac:dyDescent="0.35">
      <c r="B7" s="69" t="s">
        <v>74</v>
      </c>
      <c r="D7" s="69" t="s">
        <v>50</v>
      </c>
      <c r="F7" s="69" t="s">
        <v>97</v>
      </c>
      <c r="H7" s="69" t="s">
        <v>98</v>
      </c>
      <c r="J7" s="69" t="s">
        <v>99</v>
      </c>
      <c r="L7" s="69" t="s">
        <v>100</v>
      </c>
    </row>
    <row r="8" spans="2:12" ht="19.5" customHeight="1" x14ac:dyDescent="0.35">
      <c r="B8" s="70" t="s">
        <v>78</v>
      </c>
      <c r="D8" s="70" t="s">
        <v>53</v>
      </c>
      <c r="H8" s="70" t="s">
        <v>101</v>
      </c>
      <c r="J8" s="70" t="s">
        <v>102</v>
      </c>
    </row>
    <row r="9" spans="2:12" ht="19.5" customHeight="1" x14ac:dyDescent="0.35">
      <c r="D9" s="69" t="s">
        <v>56</v>
      </c>
      <c r="H9" s="69" t="s">
        <v>103</v>
      </c>
      <c r="J9" s="69" t="s">
        <v>104</v>
      </c>
    </row>
    <row r="10" spans="2:12" ht="19.5" customHeight="1" x14ac:dyDescent="0.35">
      <c r="D10" s="70" t="s">
        <v>59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17490"/>
  </sheetPr>
  <dimension ref="B1:K48"/>
  <sheetViews>
    <sheetView showGridLines="0" zoomScaleNormal="100" workbookViewId="0">
      <pane xSplit="1" ySplit="6" topLeftCell="B34" activePane="bottomRight" state="frozen"/>
      <selection pane="topRight" activeCell="B1" sqref="B1"/>
      <selection pane="bottomLeft" activeCell="A7" sqref="A7"/>
      <selection pane="bottomRight" activeCell="L10" sqref="L10"/>
    </sheetView>
  </sheetViews>
  <sheetFormatPr baseColWidth="10" defaultColWidth="8.6328125" defaultRowHeight="14.5" x14ac:dyDescent="0.35"/>
  <cols>
    <col min="1" max="1" width="3" style="1" customWidth="1"/>
    <col min="2" max="2" width="34.81640625" style="1" customWidth="1"/>
    <col min="3" max="3" width="10" style="1" customWidth="1"/>
    <col min="4" max="4" width="24" style="1" customWidth="1"/>
    <col min="5" max="8" width="12" style="1" customWidth="1"/>
    <col min="9" max="9" width="10" style="1" customWidth="1"/>
    <col min="10" max="10" width="8" style="1" customWidth="1"/>
    <col min="11" max="16384" width="8.6328125" style="1"/>
  </cols>
  <sheetData>
    <row r="1" spans="2:10" ht="7.5" customHeight="1" x14ac:dyDescent="0.35"/>
    <row r="2" spans="2:10" ht="36" customHeight="1" x14ac:dyDescent="0.35">
      <c r="B2" s="41" t="s">
        <v>105</v>
      </c>
      <c r="C2" s="41"/>
      <c r="D2" s="41"/>
      <c r="E2" s="41"/>
      <c r="F2" s="41"/>
      <c r="G2" s="41"/>
      <c r="H2" s="41"/>
      <c r="I2" s="41"/>
      <c r="J2" s="41"/>
    </row>
    <row r="3" spans="2:10" ht="19.5" customHeight="1" x14ac:dyDescent="0.35">
      <c r="B3" s="71" t="s">
        <v>106</v>
      </c>
      <c r="C3" s="71"/>
      <c r="D3" s="71"/>
      <c r="E3" s="71"/>
      <c r="F3" s="71"/>
      <c r="G3" s="71"/>
      <c r="H3" s="71"/>
      <c r="I3" s="71"/>
      <c r="J3" s="71"/>
    </row>
    <row r="5" spans="2:10" ht="21.75" customHeight="1" x14ac:dyDescent="0.35">
      <c r="B5" s="72" t="s">
        <v>107</v>
      </c>
      <c r="C5" s="72"/>
      <c r="D5" s="72"/>
      <c r="E5" s="72"/>
      <c r="F5" s="72"/>
      <c r="G5" s="72"/>
      <c r="H5" s="72"/>
      <c r="I5" s="72"/>
      <c r="J5" s="72"/>
    </row>
    <row r="6" spans="2:10" ht="27.75" customHeight="1" x14ac:dyDescent="0.35">
      <c r="B6" s="20" t="s">
        <v>108</v>
      </c>
      <c r="C6" s="20" t="s">
        <v>109</v>
      </c>
      <c r="D6" s="20" t="s">
        <v>110</v>
      </c>
      <c r="E6" s="20" t="s">
        <v>111</v>
      </c>
      <c r="F6" s="20" t="s">
        <v>112</v>
      </c>
      <c r="G6" s="20" t="s">
        <v>113</v>
      </c>
      <c r="H6" s="20" t="s">
        <v>114</v>
      </c>
      <c r="I6" s="20" t="s">
        <v>115</v>
      </c>
      <c r="J6" s="20" t="s">
        <v>116</v>
      </c>
    </row>
    <row r="7" spans="2:10" ht="24" customHeight="1" x14ac:dyDescent="0.35">
      <c r="B7" s="44" t="s">
        <v>117</v>
      </c>
      <c r="C7" s="73" t="str">
        <f>IFERROR('SURA Cotizadores'!$C$14,"—")</f>
        <v>N2</v>
      </c>
      <c r="D7" s="74">
        <f>IFERROR('SURA Cotizadores'!$E$43,"")</f>
        <v>0.5</v>
      </c>
      <c r="E7" s="75">
        <f>IFERROR('SURA Cotizadores'!$C$51,"")</f>
        <v>0.68</v>
      </c>
      <c r="F7" s="75">
        <f>IFERROR('SURA Cotizadores'!$C$53,"")</f>
        <v>0.89</v>
      </c>
      <c r="G7" s="76">
        <f>IFERROR('SURA Cotizadores'!$C$73,"")</f>
        <v>22</v>
      </c>
      <c r="H7" s="76">
        <f>IFERROR(IF('SURA Cotizadores'!C57&lt;&gt;"",'SURA Cotizadores'!C57,IF('SURA Cotizadores'!C9&lt;&gt;"",'SURA Cotizadores'!C9,"")),"")</f>
        <v>12</v>
      </c>
      <c r="I7" s="77">
        <f>IFERROR(COUNTIF('SURA Cotizadores'!$C$100:$C$106,"Sí"),"")</f>
        <v>0</v>
      </c>
      <c r="J7" s="78"/>
    </row>
    <row r="8" spans="2:10" ht="24" customHeight="1" x14ac:dyDescent="0.35">
      <c r="B8" s="48" t="s">
        <v>118</v>
      </c>
      <c r="C8" s="79" t="str">
        <f>IFERROR('SURA Venta Digital'!$C$14,"—")</f>
        <v>N1</v>
      </c>
      <c r="D8" s="80">
        <f>IFERROR('SURA Venta Digital'!$E$43,"")</f>
        <v>0.17647058823529413</v>
      </c>
      <c r="E8" s="81">
        <f>IFERROR('SURA Venta Digital'!$C$51,"")</f>
        <v>0.55000000000000004</v>
      </c>
      <c r="F8" s="81">
        <f>IFERROR('SURA Venta Digital'!$C$53,"")</f>
        <v>0.78</v>
      </c>
      <c r="G8" s="82">
        <f>IFERROR('SURA Venta Digital'!$C$73,"")</f>
        <v>8</v>
      </c>
      <c r="H8" s="82">
        <f>IFERROR(IF('SURA Venta Digital'!C57&lt;&gt;"",'SURA Venta Digital'!C57,IF('SURA Venta Digital'!C9&lt;&gt;"",'SURA Venta Digital'!C9,"")),"")</f>
        <v>8</v>
      </c>
      <c r="I8" s="83">
        <f>IFERROR(COUNTIF('SURA Venta Digital'!$C$100:$C$106,"Sí"),"")</f>
        <v>0</v>
      </c>
      <c r="J8" s="78"/>
    </row>
    <row r="9" spans="2:10" ht="24" customHeight="1" x14ac:dyDescent="0.35">
      <c r="B9" s="44" t="s">
        <v>119</v>
      </c>
      <c r="C9" s="73">
        <f>IFERROR('SURA Torre Control'!$C$14,"—")</f>
        <v>0</v>
      </c>
      <c r="D9" s="74">
        <f>IFERROR('SURA Torre Control'!$E$43,"")</f>
        <v>0</v>
      </c>
      <c r="E9" s="75">
        <f>IFERROR('SURA Torre Control'!$C$51,"")</f>
        <v>0</v>
      </c>
      <c r="F9" s="75">
        <f>IFERROR('SURA Torre Control'!$C$53,"")</f>
        <v>0</v>
      </c>
      <c r="G9" s="76">
        <f>IFERROR('SURA Torre Control'!$C$73,"")</f>
        <v>0</v>
      </c>
      <c r="H9" s="76" t="str">
        <f>IFERROR(IF('SURA Torre Control'!C57&lt;&gt;"",'SURA Torre Control'!C57,IF('SURA Torre Control'!C9&lt;&gt;"",'SURA Torre Control'!C9,"")),"")</f>
        <v/>
      </c>
      <c r="I9" s="77">
        <f>IFERROR(COUNTIF('SURA Torre Control'!$C$100:$C$106,"Sí"),"")</f>
        <v>0</v>
      </c>
      <c r="J9" s="78"/>
    </row>
    <row r="10" spans="2:10" ht="24" customHeight="1" x14ac:dyDescent="0.35">
      <c r="B10" s="48" t="s">
        <v>120</v>
      </c>
      <c r="C10" s="79">
        <f>IFERROR('SURA Mesa 4'!$C$14,"—")</f>
        <v>0</v>
      </c>
      <c r="D10" s="80">
        <f>IFERROR('SURA Mesa 4'!$E$43,"")</f>
        <v>0</v>
      </c>
      <c r="E10" s="81">
        <f>IFERROR('SURA Mesa 4'!$C$51,"")</f>
        <v>0</v>
      </c>
      <c r="F10" s="81">
        <f>IFERROR('SURA Mesa 4'!$C$53,"")</f>
        <v>0</v>
      </c>
      <c r="G10" s="82">
        <f>IFERROR('SURA Mesa 4'!$C$73,"")</f>
        <v>0</v>
      </c>
      <c r="H10" s="82" t="str">
        <f>IFERROR(IF('SURA Mesa 4'!C57&lt;&gt;"",'SURA Mesa 4'!C57,IF('SURA Mesa 4'!C9&lt;&gt;"",'SURA Mesa 4'!C9,"")),"")</f>
        <v/>
      </c>
      <c r="I10" s="83">
        <f>IFERROR(COUNTIF('SURA Mesa 4'!$C$100:$C$106,"Sí"),"")</f>
        <v>0</v>
      </c>
      <c r="J10" s="78"/>
    </row>
    <row r="11" spans="2:10" ht="24" customHeight="1" x14ac:dyDescent="0.35">
      <c r="B11" s="44" t="s">
        <v>121</v>
      </c>
      <c r="C11" s="73" t="str">
        <f>IFERROR('BCO Gioti 1'!$C$14,"—")</f>
        <v>N3</v>
      </c>
      <c r="D11" s="74">
        <f>IFERROR('BCO Gioti 1'!$E$43,"")</f>
        <v>0.79411764705882348</v>
      </c>
      <c r="E11" s="75">
        <f>IFERROR('BCO Gioti 1'!$C$51,"")</f>
        <v>0.82</v>
      </c>
      <c r="F11" s="75">
        <f>IFERROR('BCO Gioti 1'!$C$53,"")</f>
        <v>0.96</v>
      </c>
      <c r="G11" s="76">
        <f>IFERROR('BCO Gioti 1'!$C$73,"")</f>
        <v>48</v>
      </c>
      <c r="H11" s="76">
        <f>IFERROR(IF('BCO Gioti 1'!C57&lt;&gt;"",'BCO Gioti 1'!C57,IF('BCO Gioti 1'!C9&lt;&gt;"",'BCO Gioti 1'!C9,"")),"")</f>
        <v>18</v>
      </c>
      <c r="I11" s="77">
        <f>IFERROR(COUNTIF('BCO Gioti 1'!$C$100:$C$106,"Sí"),"")</f>
        <v>0</v>
      </c>
      <c r="J11" s="78"/>
    </row>
    <row r="12" spans="2:10" ht="24" customHeight="1" x14ac:dyDescent="0.35">
      <c r="B12" s="48" t="s">
        <v>122</v>
      </c>
      <c r="C12" s="79">
        <f>IFERROR('BCO Gioti 2'!$C$14,"—")</f>
        <v>0</v>
      </c>
      <c r="D12" s="80">
        <f>IFERROR('BCO Gioti 2'!$E$43,"")</f>
        <v>0</v>
      </c>
      <c r="E12" s="81">
        <f>IFERROR('BCO Gioti 2'!$C$51,"")</f>
        <v>0</v>
      </c>
      <c r="F12" s="81">
        <f>IFERROR('BCO Gioti 2'!$C$53,"")</f>
        <v>0</v>
      </c>
      <c r="G12" s="82">
        <f>IFERROR('BCO Gioti 2'!$C$73,"")</f>
        <v>0</v>
      </c>
      <c r="H12" s="82" t="str">
        <f>IFERROR(IF('BCO Gioti 2'!C57&lt;&gt;"",'BCO Gioti 2'!C57,IF('BCO Gioti 2'!C9&lt;&gt;"",'BCO Gioti 2'!C9,"")),"")</f>
        <v/>
      </c>
      <c r="I12" s="83">
        <f>IFERROR(COUNTIF('BCO Gioti 2'!$C$100:$C$106,"Sí"),"")</f>
        <v>0</v>
      </c>
      <c r="J12" s="78"/>
    </row>
    <row r="13" spans="2:10" ht="24" customHeight="1" x14ac:dyDescent="0.35">
      <c r="B13" s="44" t="s">
        <v>123</v>
      </c>
      <c r="C13" s="73">
        <f>IFERROR('BCO Gioti 3'!$C$14,"—")</f>
        <v>0</v>
      </c>
      <c r="D13" s="74">
        <f>IFERROR('BCO Gioti 3'!$E$43,"")</f>
        <v>0</v>
      </c>
      <c r="E13" s="75">
        <f>IFERROR('BCO Gioti 3'!$C$51,"")</f>
        <v>0</v>
      </c>
      <c r="F13" s="75">
        <f>IFERROR('BCO Gioti 3'!$C$53,"")</f>
        <v>0</v>
      </c>
      <c r="G13" s="76">
        <f>IFERROR('BCO Gioti 3'!$C$73,"")</f>
        <v>0</v>
      </c>
      <c r="H13" s="76" t="str">
        <f>IFERROR(IF('BCO Gioti 3'!C57&lt;&gt;"",'BCO Gioti 3'!C57,IF('BCO Gioti 3'!C9&lt;&gt;"",'BCO Gioti 3'!C9,"")),"")</f>
        <v/>
      </c>
      <c r="I13" s="77">
        <f>IFERROR(COUNTIF('BCO Gioti 3'!$C$100:$C$106,"Sí"),"")</f>
        <v>0</v>
      </c>
      <c r="J13" s="78"/>
    </row>
    <row r="14" spans="2:10" ht="24" customHeight="1" x14ac:dyDescent="0.35">
      <c r="B14" s="48" t="s">
        <v>124</v>
      </c>
      <c r="C14" s="79">
        <f>IFERROR('BCO Gioti 4'!$C$14,"—")</f>
        <v>0</v>
      </c>
      <c r="D14" s="80">
        <f>IFERROR('BCO Gioti 4'!$E$43,"")</f>
        <v>0</v>
      </c>
      <c r="E14" s="81">
        <f>IFERROR('BCO Gioti 4'!$C$51,"")</f>
        <v>0</v>
      </c>
      <c r="F14" s="81">
        <f>IFERROR('BCO Gioti 4'!$C$53,"")</f>
        <v>0</v>
      </c>
      <c r="G14" s="82">
        <f>IFERROR('BCO Gioti 4'!$C$73,"")</f>
        <v>0</v>
      </c>
      <c r="H14" s="82" t="str">
        <f>IFERROR(IF('BCO Gioti 4'!C57&lt;&gt;"",'BCO Gioti 4'!C57,IF('BCO Gioti 4'!C9&lt;&gt;"",'BCO Gioti 4'!C9,"")),"")</f>
        <v/>
      </c>
      <c r="I14" s="83">
        <f>IFERROR(COUNTIF('BCO Gioti 4'!$C$100:$C$106,"Sí"),"")</f>
        <v>0</v>
      </c>
      <c r="J14" s="78"/>
    </row>
    <row r="16" spans="2:10" ht="7.5" customHeight="1" x14ac:dyDescent="0.35"/>
    <row r="17" spans="2:10" ht="21.75" customHeight="1" x14ac:dyDescent="0.35">
      <c r="B17" s="72" t="s">
        <v>125</v>
      </c>
      <c r="C17" s="72"/>
      <c r="D17" s="72"/>
      <c r="E17" s="72"/>
      <c r="F17" s="72"/>
      <c r="G17" s="72"/>
      <c r="H17" s="72"/>
      <c r="I17" s="72"/>
      <c r="J17" s="72"/>
    </row>
    <row r="18" spans="2:10" ht="21.75" customHeight="1" x14ac:dyDescent="0.35">
      <c r="B18" s="84" t="s">
        <v>126</v>
      </c>
      <c r="C18" s="84"/>
      <c r="D18" s="84"/>
      <c r="E18" s="85">
        <f>IFERROR(AVERAGE(D7:D14),0)</f>
        <v>0.18382352941176472</v>
      </c>
    </row>
    <row r="19" spans="2:10" ht="21.75" customHeight="1" x14ac:dyDescent="0.35">
      <c r="B19" s="84" t="s">
        <v>127</v>
      </c>
      <c r="C19" s="84"/>
      <c r="D19" s="84"/>
      <c r="E19" s="86">
        <f>IFERROR(MIN(D7:D14),0)</f>
        <v>0</v>
      </c>
    </row>
    <row r="20" spans="2:10" ht="21.75" customHeight="1" x14ac:dyDescent="0.35">
      <c r="B20" s="84" t="s">
        <v>128</v>
      </c>
      <c r="C20" s="84"/>
      <c r="D20" s="84"/>
      <c r="E20" s="87">
        <f>IFERROR(MAX(D7:D14),0)</f>
        <v>0.79411764705882348</v>
      </c>
    </row>
    <row r="21" spans="2:10" ht="21.75" customHeight="1" x14ac:dyDescent="0.35">
      <c r="B21" s="84" t="s">
        <v>129</v>
      </c>
      <c r="C21" s="84"/>
      <c r="D21" s="84"/>
      <c r="E21" s="88">
        <f>IFERROR(SUM(H7:H14),0)</f>
        <v>38</v>
      </c>
    </row>
    <row r="23" spans="2:10" ht="30" customHeight="1" x14ac:dyDescent="0.35">
      <c r="B23" s="89" t="s">
        <v>130</v>
      </c>
      <c r="C23" s="89"/>
      <c r="D23" s="89"/>
      <c r="E23" s="89"/>
      <c r="F23" s="89"/>
      <c r="G23" s="89"/>
      <c r="H23" s="89"/>
      <c r="I23" s="89"/>
      <c r="J23" s="89"/>
    </row>
    <row r="26" spans="2:10" ht="21.75" customHeight="1" x14ac:dyDescent="0.35">
      <c r="B26" s="19" t="s">
        <v>131</v>
      </c>
      <c r="C26" s="19"/>
      <c r="D26" s="19"/>
      <c r="E26" s="19"/>
      <c r="F26" s="19"/>
      <c r="G26" s="19"/>
      <c r="H26" s="19"/>
      <c r="I26" s="19"/>
      <c r="J26" s="19"/>
    </row>
    <row r="27" spans="2:10" ht="27.75" customHeight="1" x14ac:dyDescent="0.35">
      <c r="B27" s="20" t="s">
        <v>108</v>
      </c>
      <c r="C27" s="20" t="s">
        <v>132</v>
      </c>
      <c r="D27" s="20" t="s">
        <v>133</v>
      </c>
      <c r="E27" s="20" t="s">
        <v>110</v>
      </c>
      <c r="F27" s="20" t="s">
        <v>134</v>
      </c>
      <c r="G27" s="20" t="s">
        <v>135</v>
      </c>
      <c r="H27" s="20" t="s">
        <v>136</v>
      </c>
    </row>
    <row r="28" spans="2:10" ht="25.5" customHeight="1" x14ac:dyDescent="0.35">
      <c r="B28" s="90" t="s">
        <v>117</v>
      </c>
      <c r="C28" s="91">
        <f>IFERROR('SURA Cotizadores'!$C$13,"")</f>
        <v>0</v>
      </c>
      <c r="D28" s="92" t="str">
        <f>IFERROR(CHOOSE(MATCH('SURA Cotizadores'!C13,{"N0","N1","N2","N3","N4","N5"},0),"Reactivo/Sin estructura","Inicial/Ad hoc","Definido","Gestionado","Optimizado","Innovador"),"— Por definir")</f>
        <v>— Por definir</v>
      </c>
      <c r="E28" s="93">
        <f>IFERROR('SURA Cotizadores'!$E$43,"")</f>
        <v>0.5</v>
      </c>
      <c r="F28" s="94"/>
      <c r="G28" s="94"/>
      <c r="H28" s="94"/>
    </row>
    <row r="29" spans="2:10" ht="25.5" customHeight="1" x14ac:dyDescent="0.35">
      <c r="B29" s="95" t="s">
        <v>118</v>
      </c>
      <c r="C29" s="96" t="str">
        <f>IFERROR('SURA Cotizadores'!$C$14,"")</f>
        <v>N2</v>
      </c>
      <c r="D29" s="97" t="str">
        <f>IFERROR(CHOOSE(MATCH('SURA Cotizadores'!C14,{"N0","N1","N2","N3","N4","N5"},0),"Reactivo/Sin estructura","Inicial/Ad hoc","Definido","Gestionado","Optimizado","Innovador"),"— Por definir")</f>
        <v>Definido</v>
      </c>
      <c r="E29" s="98">
        <f>IFERROR('SURA Cotizadores'!$E$43,"")</f>
        <v>0.5</v>
      </c>
      <c r="F29" s="99"/>
      <c r="G29" s="99"/>
      <c r="H29" s="99"/>
    </row>
    <row r="30" spans="2:10" ht="25.5" customHeight="1" x14ac:dyDescent="0.35">
      <c r="B30" s="90" t="s">
        <v>119</v>
      </c>
      <c r="C30" s="91" t="str">
        <f>IFERROR('SURA Venta Digital'!$C$14,"")</f>
        <v>N1</v>
      </c>
      <c r="D30" s="92" t="str">
        <f>IFERROR(CHOOSE(MATCH('SURA Venta Digital'!C14,{"N0","N1","N2","N3","N4","N5"},0),"Reactivo/Sin estructura","Inicial/Ad hoc","Definido","Gestionado","Optimizado","Innovador"),"— Por definir")</f>
        <v>Inicial/Ad hoc</v>
      </c>
      <c r="E30" s="93">
        <f>IFERROR('SURA Venta Digital'!$E$43,"")</f>
        <v>0.17647058823529413</v>
      </c>
      <c r="F30" s="94"/>
      <c r="G30" s="94"/>
      <c r="H30" s="94"/>
    </row>
    <row r="31" spans="2:10" ht="25.5" customHeight="1" x14ac:dyDescent="0.35">
      <c r="B31" s="95" t="s">
        <v>120</v>
      </c>
      <c r="C31" s="96">
        <f>IFERROR('SURA Torre Control'!$C$14,"")</f>
        <v>0</v>
      </c>
      <c r="D31" s="97" t="str">
        <f>IFERROR(CHOOSE(MATCH('SURA Torre Control'!C14,{"N0","N1","N2","N3","N4","N5"},0),"Reactivo/Sin estructura","Inicial/Ad hoc","Definido","Gestionado","Optimizado","Innovador"),"— Por definir")</f>
        <v>— Por definir</v>
      </c>
      <c r="E31" s="98">
        <f>IFERROR('SURA Torre Control'!$E$43,"")</f>
        <v>0</v>
      </c>
      <c r="F31" s="99"/>
      <c r="G31" s="99"/>
      <c r="H31" s="99"/>
    </row>
    <row r="32" spans="2:10" ht="25.5" customHeight="1" x14ac:dyDescent="0.35">
      <c r="B32" s="90" t="s">
        <v>121</v>
      </c>
      <c r="C32" s="91">
        <f>IFERROR('SURA Mesa 4'!$C$14,"")</f>
        <v>0</v>
      </c>
      <c r="D32" s="92" t="str">
        <f>IFERROR(CHOOSE(MATCH('SURA Mesa 4'!C14,{"N0","N1","N2","N3","N4","N5"},0),"Reactivo/Sin estructura","Inicial/Ad hoc","Definido","Gestionado","Optimizado","Innovador"),"— Por definir")</f>
        <v>— Por definir</v>
      </c>
      <c r="E32" s="93">
        <f>IFERROR('SURA Mesa 4'!$E$43,"")</f>
        <v>0</v>
      </c>
      <c r="F32" s="94"/>
      <c r="G32" s="94"/>
      <c r="H32" s="94"/>
    </row>
    <row r="33" spans="2:11" ht="25.5" customHeight="1" x14ac:dyDescent="0.35">
      <c r="B33" s="95" t="s">
        <v>122</v>
      </c>
      <c r="C33" s="96" t="str">
        <f>IFERROR('BCO Gioti 1'!$C$14,"")</f>
        <v>N3</v>
      </c>
      <c r="D33" s="97" t="str">
        <f>IFERROR(CHOOSE(MATCH('BCO Gioti 1'!C14,{"N0","N1","N2","N3","N4","N5"},0),"Reactivo/Sin estructura","Inicial/Ad hoc","Definido","Gestionado","Optimizado","Innovador"),"— Por definir")</f>
        <v>Gestionado</v>
      </c>
      <c r="E33" s="98">
        <f>IFERROR('BCO Gioti 1'!$E$43,"")</f>
        <v>0.79411764705882348</v>
      </c>
      <c r="F33" s="99"/>
      <c r="G33" s="99"/>
      <c r="H33" s="99"/>
    </row>
    <row r="34" spans="2:11" ht="25.5" customHeight="1" x14ac:dyDescent="0.35">
      <c r="B34" s="90" t="s">
        <v>123</v>
      </c>
      <c r="C34" s="91">
        <f>IFERROR('BCO Gioti 2'!$C$14,"")</f>
        <v>0</v>
      </c>
      <c r="D34" s="92" t="str">
        <f>IFERROR(CHOOSE(MATCH('BCO Gioti 2'!C14,{"N0","N1","N2","N3","N4","N5"},0),"Reactivo/Sin estructura","Inicial/Ad hoc","Definido","Gestionado","Optimizado","Innovador"),"— Por definir")</f>
        <v>— Por definir</v>
      </c>
      <c r="E34" s="93">
        <f>IFERROR('BCO Gioti 2'!$E$43,"")</f>
        <v>0</v>
      </c>
      <c r="F34" s="94"/>
      <c r="G34" s="94"/>
      <c r="H34" s="94"/>
    </row>
    <row r="35" spans="2:11" ht="25.5" customHeight="1" x14ac:dyDescent="0.35">
      <c r="B35" s="95" t="s">
        <v>124</v>
      </c>
      <c r="C35" s="96">
        <f>IFERROR('BCO Gioti 4'!$C$14,"")</f>
        <v>0</v>
      </c>
      <c r="D35" s="97" t="str">
        <f>IFERROR(CHOOSE(MATCH('BCO Gioti 4'!C14,{"N0","N1","N2","N3","N4","N5"},0),"Reactivo/Sin estructura","Inicial/Ad hoc","Definido","Gestionado","Optimizado","Innovador"),"— Por definir")</f>
        <v>— Por definir</v>
      </c>
      <c r="E35" s="98">
        <f>IFERROR('BCO Gioti 4'!$E$43,"")</f>
        <v>0</v>
      </c>
      <c r="F35" s="99"/>
      <c r="G35" s="99"/>
      <c r="H35" s="99"/>
    </row>
    <row r="37" spans="2:11" ht="21.75" customHeight="1" x14ac:dyDescent="0.35">
      <c r="B37" s="19" t="s">
        <v>137</v>
      </c>
      <c r="C37" s="19"/>
      <c r="D37" s="19"/>
      <c r="E37" s="19"/>
      <c r="F37" s="19"/>
      <c r="G37" s="19"/>
      <c r="H37" s="19"/>
      <c r="I37" s="19"/>
      <c r="J37" s="19"/>
    </row>
    <row r="38" spans="2:11" ht="27.75" customHeight="1" x14ac:dyDescent="0.35">
      <c r="B38" s="20" t="s">
        <v>138</v>
      </c>
      <c r="C38" s="20" t="s">
        <v>139</v>
      </c>
      <c r="D38" s="20" t="s">
        <v>140</v>
      </c>
      <c r="E38" s="20" t="s">
        <v>141</v>
      </c>
      <c r="F38" s="20" t="s">
        <v>142</v>
      </c>
      <c r="G38" s="20" t="s">
        <v>143</v>
      </c>
      <c r="H38" s="20" t="s">
        <v>144</v>
      </c>
      <c r="I38" s="20" t="s">
        <v>145</v>
      </c>
      <c r="J38" s="20" t="s">
        <v>146</v>
      </c>
      <c r="K38" s="20" t="s">
        <v>147</v>
      </c>
    </row>
    <row r="39" spans="2:11" ht="21.75" customHeight="1" x14ac:dyDescent="0.35">
      <c r="B39" s="94" t="s">
        <v>148</v>
      </c>
      <c r="C39" s="100" t="str">
        <f>IFERROR(IF('SURA Cotizadores'!C83="Sí","✓",IF('SURA Cotizadores'!C83="Parcial","~","")),"")</f>
        <v>✓</v>
      </c>
      <c r="D39" s="100" t="str">
        <f>IFERROR(IF('SURA Venta Digital'!C83="Sí","✓",IF('SURA Venta Digital'!C83="Parcial","~","")),"")</f>
        <v>✓</v>
      </c>
      <c r="E39" s="100" t="str">
        <f>IFERROR(IF('SURA Torre Control'!C83="Sí","✓",IF('SURA Torre Control'!C83="Parcial","~","")),"")</f>
        <v/>
      </c>
      <c r="F39" s="100" t="str">
        <f>IFERROR(IF('SURA Mesa 4'!C83="Sí","✓",IF('SURA Mesa 4'!C83="Parcial","~","")),"")</f>
        <v/>
      </c>
      <c r="G39" s="101" t="str">
        <f>IFERROR(IF('BCO Gioti 1'!C83="Sí","✓",IF('BCO Gioti 1'!C83="Parcial","~","")),"")</f>
        <v>~</v>
      </c>
      <c r="H39" s="101" t="str">
        <f>IFERROR(IF('BCO Gioti 2'!C83="Sí","✓",IF('BCO Gioti 2'!C83="Parcial","~","")),"")</f>
        <v/>
      </c>
      <c r="I39" s="101" t="str">
        <f>IFERROR(IF('BCO Gioti 3'!C83="Sí","✓",IF('BCO Gioti 3'!C83="Parcial","~","")),"")</f>
        <v/>
      </c>
      <c r="J39" s="101" t="str">
        <f>IFERROR(IF('BCO Gioti 4'!C83="Sí","✓",IF('BCO Gioti 4'!C83="Parcial","~","")),"")</f>
        <v/>
      </c>
      <c r="K39" s="102">
        <f>IF(IFERROR('SURA Cotizadores'!C83,"")="Sí",1,0)+IF(IFERROR('SURA Venta Digital'!C83,"")="Sí",1,0)+IF(IFERROR('SURA Torre Control'!C83,"")="Sí",1,0)+IF(IFERROR('SURA Mesa 4'!C83,"")="Sí",1,0)+IF(IFERROR('BCO Gioti 1'!C83,"")="Sí",1,0)+IF(IFERROR('BCO Gioti 2'!C83,"")="Sí",1,0)+IF(IFERROR('BCO Gioti 3'!C83,"")="Sí",1,0)+IF(IFERROR('BCO Gioti 4'!C83,"")="Sí",1,0)</f>
        <v>2</v>
      </c>
    </row>
    <row r="40" spans="2:11" ht="21.75" customHeight="1" x14ac:dyDescent="0.35">
      <c r="B40" s="99" t="s">
        <v>149</v>
      </c>
      <c r="C40" s="103" t="str">
        <f>IFERROR(IF('SURA Cotizadores'!C84="Sí","✓",IF('SURA Cotizadores'!C84="Parcial","~","")),"")</f>
        <v>~</v>
      </c>
      <c r="D40" s="103" t="str">
        <f>IFERROR(IF('SURA Venta Digital'!C84="Sí","✓",IF('SURA Venta Digital'!C84="Parcial","~","")),"")</f>
        <v>✓</v>
      </c>
      <c r="E40" s="103" t="str">
        <f>IFERROR(IF('SURA Torre Control'!C84="Sí","✓",IF('SURA Torre Control'!C84="Parcial","~","")),"")</f>
        <v/>
      </c>
      <c r="F40" s="103" t="str">
        <f>IFERROR(IF('SURA Mesa 4'!C84="Sí","✓",IF('SURA Mesa 4'!C84="Parcial","~","")),"")</f>
        <v/>
      </c>
      <c r="G40" s="104" t="str">
        <f>IFERROR(IF('BCO Gioti 1'!C84="Sí","✓",IF('BCO Gioti 1'!C84="Parcial","~","")),"")</f>
        <v/>
      </c>
      <c r="H40" s="104" t="str">
        <f>IFERROR(IF('BCO Gioti 2'!C84="Sí","✓",IF('BCO Gioti 2'!C84="Parcial","~","")),"")</f>
        <v/>
      </c>
      <c r="I40" s="104" t="str">
        <f>IFERROR(IF('BCO Gioti 3'!C84="Sí","✓",IF('BCO Gioti 3'!C84="Parcial","~","")),"")</f>
        <v/>
      </c>
      <c r="J40" s="104" t="str">
        <f>IFERROR(IF('BCO Gioti 4'!C84="Sí","✓",IF('BCO Gioti 4'!C84="Parcial","~","")),"")</f>
        <v/>
      </c>
      <c r="K40" s="102">
        <f>IF(IFERROR('SURA Cotizadores'!C84,"")="Sí",1,0)+IF(IFERROR('SURA Venta Digital'!C84,"")="Sí",1,0)+IF(IFERROR('SURA Torre Control'!C84,"")="Sí",1,0)+IF(IFERROR('SURA Mesa 4'!C84,"")="Sí",1,0)+IF(IFERROR('BCO Gioti 1'!C84,"")="Sí",1,0)+IF(IFERROR('BCO Gioti 2'!C84,"")="Sí",1,0)+IF(IFERROR('BCO Gioti 3'!C84,"")="Sí",1,0)+IF(IFERROR('BCO Gioti 4'!C84,"")="Sí",1,0)</f>
        <v>1</v>
      </c>
    </row>
    <row r="41" spans="2:11" ht="21.75" customHeight="1" x14ac:dyDescent="0.35">
      <c r="B41" s="94" t="s">
        <v>150</v>
      </c>
      <c r="C41" s="100" t="str">
        <f>IFERROR(IF('SURA Cotizadores'!C85="Sí","✓",IF('SURA Cotizadores'!C85="Parcial","~","")),"")</f>
        <v>✓</v>
      </c>
      <c r="D41" s="100" t="str">
        <f>IFERROR(IF('SURA Venta Digital'!C85="Sí","✓",IF('SURA Venta Digital'!C85="Parcial","~","")),"")</f>
        <v>✓</v>
      </c>
      <c r="E41" s="100" t="str">
        <f>IFERROR(IF('SURA Torre Control'!C85="Sí","✓",IF('SURA Torre Control'!C85="Parcial","~","")),"")</f>
        <v/>
      </c>
      <c r="F41" s="100" t="str">
        <f>IFERROR(IF('SURA Mesa 4'!C85="Sí","✓",IF('SURA Mesa 4'!C85="Parcial","~","")),"")</f>
        <v/>
      </c>
      <c r="G41" s="101" t="str">
        <f>IFERROR(IF('BCO Gioti 1'!C85="Sí","✓",IF('BCO Gioti 1'!C85="Parcial","~","")),"")</f>
        <v>~</v>
      </c>
      <c r="H41" s="101" t="str">
        <f>IFERROR(IF('BCO Gioti 2'!C85="Sí","✓",IF('BCO Gioti 2'!C85="Parcial","~","")),"")</f>
        <v/>
      </c>
      <c r="I41" s="101" t="str">
        <f>IFERROR(IF('BCO Gioti 3'!C85="Sí","✓",IF('BCO Gioti 3'!C85="Parcial","~","")),"")</f>
        <v/>
      </c>
      <c r="J41" s="101" t="str">
        <f>IFERROR(IF('BCO Gioti 4'!C85="Sí","✓",IF('BCO Gioti 4'!C85="Parcial","~","")),"")</f>
        <v/>
      </c>
      <c r="K41" s="102">
        <f>IF(IFERROR('SURA Cotizadores'!C85,"")="Sí",1,0)+IF(IFERROR('SURA Venta Digital'!C85,"")="Sí",1,0)+IF(IFERROR('SURA Torre Control'!C85,"")="Sí",1,0)+IF(IFERROR('SURA Mesa 4'!C85,"")="Sí",1,0)+IF(IFERROR('BCO Gioti 1'!C85,"")="Sí",1,0)+IF(IFERROR('BCO Gioti 2'!C85,"")="Sí",1,0)+IF(IFERROR('BCO Gioti 3'!C85,"")="Sí",1,0)+IF(IFERROR('BCO Gioti 4'!C85,"")="Sí",1,0)</f>
        <v>2</v>
      </c>
    </row>
    <row r="42" spans="2:11" ht="21.75" customHeight="1" x14ac:dyDescent="0.35">
      <c r="B42" s="99" t="s">
        <v>151</v>
      </c>
      <c r="C42" s="103" t="str">
        <f>IFERROR(IF('SURA Cotizadores'!C86="Sí","✓",IF('SURA Cotizadores'!C86="Parcial","~","")),"")</f>
        <v>✓</v>
      </c>
      <c r="D42" s="103" t="str">
        <f>IFERROR(IF('SURA Venta Digital'!C86="Sí","✓",IF('SURA Venta Digital'!C86="Parcial","~","")),"")</f>
        <v>✓</v>
      </c>
      <c r="E42" s="103" t="str">
        <f>IFERROR(IF('SURA Torre Control'!C86="Sí","✓",IF('SURA Torre Control'!C86="Parcial","~","")),"")</f>
        <v/>
      </c>
      <c r="F42" s="103" t="str">
        <f>IFERROR(IF('SURA Mesa 4'!C86="Sí","✓",IF('SURA Mesa 4'!C86="Parcial","~","")),"")</f>
        <v/>
      </c>
      <c r="G42" s="104" t="str">
        <f>IFERROR(IF('BCO Gioti 1'!C86="Sí","✓",IF('BCO Gioti 1'!C86="Parcial","~","")),"")</f>
        <v/>
      </c>
      <c r="H42" s="104" t="str">
        <f>IFERROR(IF('BCO Gioti 2'!C86="Sí","✓",IF('BCO Gioti 2'!C86="Parcial","~","")),"")</f>
        <v/>
      </c>
      <c r="I42" s="104" t="str">
        <f>IFERROR(IF('BCO Gioti 3'!C86="Sí","✓",IF('BCO Gioti 3'!C86="Parcial","~","")),"")</f>
        <v/>
      </c>
      <c r="J42" s="104" t="str">
        <f>IFERROR(IF('BCO Gioti 4'!C86="Sí","✓",IF('BCO Gioti 4'!C86="Parcial","~","")),"")</f>
        <v/>
      </c>
      <c r="K42" s="102">
        <f>IF(IFERROR('SURA Cotizadores'!C86,"")="Sí",1,0)+IF(IFERROR('SURA Venta Digital'!C86,"")="Sí",1,0)+IF(IFERROR('SURA Torre Control'!C86,"")="Sí",1,0)+IF(IFERROR('SURA Mesa 4'!C86,"")="Sí",1,0)+IF(IFERROR('BCO Gioti 1'!C86,"")="Sí",1,0)+IF(IFERROR('BCO Gioti 2'!C86,"")="Sí",1,0)+IF(IFERROR('BCO Gioti 3'!C86,"")="Sí",1,0)+IF(IFERROR('BCO Gioti 4'!C86,"")="Sí",1,0)</f>
        <v>2</v>
      </c>
    </row>
    <row r="43" spans="2:11" ht="21.75" customHeight="1" x14ac:dyDescent="0.35">
      <c r="B43" s="94" t="s">
        <v>152</v>
      </c>
      <c r="C43" s="100" t="str">
        <f>IFERROR(IF('SURA Cotizadores'!C87="Sí","✓",IF('SURA Cotizadores'!C87="Parcial","~","")),"")</f>
        <v>✓</v>
      </c>
      <c r="D43" s="100" t="str">
        <f>IFERROR(IF('SURA Venta Digital'!C87="Sí","✓",IF('SURA Venta Digital'!C87="Parcial","~","")),"")</f>
        <v>✓</v>
      </c>
      <c r="E43" s="100" t="str">
        <f>IFERROR(IF('SURA Torre Control'!C87="Sí","✓",IF('SURA Torre Control'!C87="Parcial","~","")),"")</f>
        <v/>
      </c>
      <c r="F43" s="100" t="str">
        <f>IFERROR(IF('SURA Mesa 4'!C87="Sí","✓",IF('SURA Mesa 4'!C87="Parcial","~","")),"")</f>
        <v/>
      </c>
      <c r="G43" s="101" t="str">
        <f>IFERROR(IF('BCO Gioti 1'!C87="Sí","✓",IF('BCO Gioti 1'!C87="Parcial","~","")),"")</f>
        <v/>
      </c>
      <c r="H43" s="101" t="str">
        <f>IFERROR(IF('BCO Gioti 2'!C87="Sí","✓",IF('BCO Gioti 2'!C87="Parcial","~","")),"")</f>
        <v/>
      </c>
      <c r="I43" s="101" t="str">
        <f>IFERROR(IF('BCO Gioti 3'!C87="Sí","✓",IF('BCO Gioti 3'!C87="Parcial","~","")),"")</f>
        <v/>
      </c>
      <c r="J43" s="101" t="str">
        <f>IFERROR(IF('BCO Gioti 4'!C87="Sí","✓",IF('BCO Gioti 4'!C87="Parcial","~","")),"")</f>
        <v/>
      </c>
      <c r="K43" s="102">
        <f>IF(IFERROR('SURA Cotizadores'!C87,"")="Sí",1,0)+IF(IFERROR('SURA Venta Digital'!C87,"")="Sí",1,0)+IF(IFERROR('SURA Torre Control'!C87,"")="Sí",1,0)+IF(IFERROR('SURA Mesa 4'!C87,"")="Sí",1,0)+IF(IFERROR('BCO Gioti 1'!C87,"")="Sí",1,0)+IF(IFERROR('BCO Gioti 2'!C87,"")="Sí",1,0)+IF(IFERROR('BCO Gioti 3'!C87,"")="Sí",1,0)+IF(IFERROR('BCO Gioti 4'!C87,"")="Sí",1,0)</f>
        <v>2</v>
      </c>
    </row>
    <row r="44" spans="2:11" ht="21.75" customHeight="1" x14ac:dyDescent="0.35">
      <c r="B44" s="99" t="s">
        <v>153</v>
      </c>
      <c r="C44" s="103" t="str">
        <f>IFERROR(IF('SURA Cotizadores'!C88="Sí","✓",IF('SURA Cotizadores'!C88="Parcial","~","")),"")</f>
        <v>~</v>
      </c>
      <c r="D44" s="103" t="str">
        <f>IFERROR(IF('SURA Venta Digital'!C88="Sí","✓",IF('SURA Venta Digital'!C88="Parcial","~","")),"")</f>
        <v>✓</v>
      </c>
      <c r="E44" s="103" t="str">
        <f>IFERROR(IF('SURA Torre Control'!C88="Sí","✓",IF('SURA Torre Control'!C88="Parcial","~","")),"")</f>
        <v/>
      </c>
      <c r="F44" s="103" t="str">
        <f>IFERROR(IF('SURA Mesa 4'!C88="Sí","✓",IF('SURA Mesa 4'!C88="Parcial","~","")),"")</f>
        <v/>
      </c>
      <c r="G44" s="104" t="str">
        <f>IFERROR(IF('BCO Gioti 1'!C88="Sí","✓",IF('BCO Gioti 1'!C88="Parcial","~","")),"")</f>
        <v/>
      </c>
      <c r="H44" s="104" t="str">
        <f>IFERROR(IF('BCO Gioti 2'!C88="Sí","✓",IF('BCO Gioti 2'!C88="Parcial","~","")),"")</f>
        <v/>
      </c>
      <c r="I44" s="104" t="str">
        <f>IFERROR(IF('BCO Gioti 3'!C88="Sí","✓",IF('BCO Gioti 3'!C88="Parcial","~","")),"")</f>
        <v/>
      </c>
      <c r="J44" s="104" t="str">
        <f>IFERROR(IF('BCO Gioti 4'!C88="Sí","✓",IF('BCO Gioti 4'!C88="Parcial","~","")),"")</f>
        <v/>
      </c>
      <c r="K44" s="102">
        <f>IF(IFERROR('SURA Cotizadores'!C88,"")="Sí",1,0)+IF(IFERROR('SURA Venta Digital'!C88,"")="Sí",1,0)+IF(IFERROR('SURA Torre Control'!C88,"")="Sí",1,0)+IF(IFERROR('SURA Mesa 4'!C88,"")="Sí",1,0)+IF(IFERROR('BCO Gioti 1'!C88,"")="Sí",1,0)+IF(IFERROR('BCO Gioti 2'!C88,"")="Sí",1,0)+IF(IFERROR('BCO Gioti 3'!C88,"")="Sí",1,0)+IF(IFERROR('BCO Gioti 4'!C88,"")="Sí",1,0)</f>
        <v>1</v>
      </c>
    </row>
    <row r="45" spans="2:11" ht="21.75" customHeight="1" x14ac:dyDescent="0.35">
      <c r="B45" s="94" t="s">
        <v>154</v>
      </c>
      <c r="C45" s="100" t="str">
        <f>IFERROR(IF('SURA Cotizadores'!C89="Sí","✓",IF('SURA Cotizadores'!C89="Parcial","~","")),"")</f>
        <v/>
      </c>
      <c r="D45" s="100" t="str">
        <f>IFERROR(IF('SURA Venta Digital'!C89="Sí","✓",IF('SURA Venta Digital'!C89="Parcial","~","")),"")</f>
        <v>✓</v>
      </c>
      <c r="E45" s="100" t="str">
        <f>IFERROR(IF('SURA Torre Control'!C89="Sí","✓",IF('SURA Torre Control'!C89="Parcial","~","")),"")</f>
        <v/>
      </c>
      <c r="F45" s="100" t="str">
        <f>IFERROR(IF('SURA Mesa 4'!C89="Sí","✓",IF('SURA Mesa 4'!C89="Parcial","~","")),"")</f>
        <v/>
      </c>
      <c r="G45" s="101" t="str">
        <f>IFERROR(IF('BCO Gioti 1'!C89="Sí","✓",IF('BCO Gioti 1'!C89="Parcial","~","")),"")</f>
        <v/>
      </c>
      <c r="H45" s="101" t="str">
        <f>IFERROR(IF('BCO Gioti 2'!C89="Sí","✓",IF('BCO Gioti 2'!C89="Parcial","~","")),"")</f>
        <v/>
      </c>
      <c r="I45" s="101" t="str">
        <f>IFERROR(IF('BCO Gioti 3'!C89="Sí","✓",IF('BCO Gioti 3'!C89="Parcial","~","")),"")</f>
        <v/>
      </c>
      <c r="J45" s="101" t="str">
        <f>IFERROR(IF('BCO Gioti 4'!C89="Sí","✓",IF('BCO Gioti 4'!C89="Parcial","~","")),"")</f>
        <v/>
      </c>
      <c r="K45" s="102">
        <f>IF(IFERROR('SURA Cotizadores'!C89,"")="Sí",1,0)+IF(IFERROR('SURA Venta Digital'!C89,"")="Sí",1,0)+IF(IFERROR('SURA Torre Control'!C89,"")="Sí",1,0)+IF(IFERROR('SURA Mesa 4'!C89,"")="Sí",1,0)+IF(IFERROR('BCO Gioti 1'!C89,"")="Sí",1,0)+IF(IFERROR('BCO Gioti 2'!C89,"")="Sí",1,0)+IF(IFERROR('BCO Gioti 3'!C89,"")="Sí",1,0)+IF(IFERROR('BCO Gioti 4'!C89,"")="Sí",1,0)</f>
        <v>1</v>
      </c>
    </row>
    <row r="48" spans="2:11" ht="21.75" customHeight="1" x14ac:dyDescent="0.35">
      <c r="B48" s="105" t="s">
        <v>155</v>
      </c>
      <c r="C48" s="105"/>
      <c r="D48" s="105"/>
      <c r="E48" s="105"/>
      <c r="F48" s="105"/>
      <c r="G48" s="105"/>
      <c r="H48" s="105"/>
      <c r="I48" s="105"/>
      <c r="J48" s="105"/>
    </row>
  </sheetData>
  <mergeCells count="12">
    <mergeCell ref="B37:J37"/>
    <mergeCell ref="B48:J48"/>
    <mergeCell ref="B19:D19"/>
    <mergeCell ref="B20:D20"/>
    <mergeCell ref="B21:D21"/>
    <mergeCell ref="B23:J23"/>
    <mergeCell ref="B26:J26"/>
    <mergeCell ref="B2:J2"/>
    <mergeCell ref="B3:J3"/>
    <mergeCell ref="B5:J5"/>
    <mergeCell ref="B17:J17"/>
    <mergeCell ref="B18:D1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4A017"/>
  </sheetPr>
  <dimension ref="B1:P39"/>
  <sheetViews>
    <sheetView showGridLines="0" topLeftCell="A16" zoomScaleNormal="100" workbookViewId="0">
      <selection sqref="A1:XFD1048576"/>
    </sheetView>
  </sheetViews>
  <sheetFormatPr baseColWidth="10" defaultColWidth="8.6328125" defaultRowHeight="14.5" x14ac:dyDescent="0.35"/>
  <cols>
    <col min="1" max="1" width="3" style="1" customWidth="1"/>
    <col min="2" max="16" width="9.54296875" style="1" customWidth="1"/>
    <col min="17" max="16384" width="8.6328125" style="1"/>
  </cols>
  <sheetData>
    <row r="1" spans="2:16" ht="7.5" customHeight="1" x14ac:dyDescent="0.35"/>
    <row r="2" spans="2:16" ht="36" customHeight="1" x14ac:dyDescent="0.35">
      <c r="B2" s="41" t="s">
        <v>156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2:16" ht="19.5" customHeight="1" x14ac:dyDescent="0.35">
      <c r="B3" s="71" t="s">
        <v>157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</row>
    <row r="5" spans="2:16" ht="21.75" customHeight="1" x14ac:dyDescent="0.35">
      <c r="B5" s="106" t="s">
        <v>158</v>
      </c>
      <c r="C5" s="106"/>
      <c r="D5" s="106"/>
      <c r="E5" s="106"/>
      <c r="F5" s="106"/>
      <c r="G5" s="106"/>
      <c r="H5" s="106"/>
      <c r="I5" s="106" t="s">
        <v>159</v>
      </c>
      <c r="J5" s="106"/>
      <c r="K5" s="106"/>
      <c r="L5" s="106"/>
      <c r="M5" s="106"/>
      <c r="N5" s="106"/>
      <c r="O5" s="106"/>
      <c r="P5" s="106"/>
    </row>
    <row r="22" spans="2:16" ht="21.75" customHeight="1" x14ac:dyDescent="0.35">
      <c r="B22" s="106" t="s">
        <v>160</v>
      </c>
      <c r="C22" s="106"/>
      <c r="D22" s="106"/>
      <c r="E22" s="106"/>
      <c r="F22" s="106"/>
      <c r="G22" s="106"/>
      <c r="H22" s="106"/>
      <c r="I22" s="106" t="s">
        <v>161</v>
      </c>
      <c r="J22" s="106"/>
      <c r="K22" s="106"/>
      <c r="L22" s="106"/>
      <c r="M22" s="106"/>
      <c r="N22" s="106"/>
      <c r="O22" s="106"/>
      <c r="P22" s="106"/>
    </row>
    <row r="39" spans="2:16" ht="21.75" customHeight="1" x14ac:dyDescent="0.35">
      <c r="B39" s="106" t="s">
        <v>162</v>
      </c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</row>
  </sheetData>
  <mergeCells count="7">
    <mergeCell ref="B39:P39"/>
    <mergeCell ref="B2:P2"/>
    <mergeCell ref="B3:P3"/>
    <mergeCell ref="B5:H5"/>
    <mergeCell ref="I5:P5"/>
    <mergeCell ref="B22:H22"/>
    <mergeCell ref="I22:P2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7A4D"/>
  </sheetPr>
  <dimension ref="B1:G132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9" sqref="F9"/>
    </sheetView>
  </sheetViews>
  <sheetFormatPr baseColWidth="10" defaultColWidth="8.6328125" defaultRowHeight="14.5" x14ac:dyDescent="0.35"/>
  <cols>
    <col min="1" max="1" width="3" style="1" customWidth="1"/>
    <col min="2" max="2" width="27.54296875" style="1" customWidth="1"/>
    <col min="3" max="3" width="36" style="1" customWidth="1"/>
    <col min="4" max="4" width="14" style="1" customWidth="1"/>
    <col min="5" max="5" width="40" style="1" customWidth="1"/>
    <col min="6" max="6" width="14" style="1" customWidth="1"/>
    <col min="7" max="7" width="20" style="1" customWidth="1"/>
    <col min="8" max="16384" width="8.6328125" style="1"/>
  </cols>
  <sheetData>
    <row r="1" spans="2:7" ht="7.5" customHeight="1" x14ac:dyDescent="0.35"/>
    <row r="2" spans="2:7" ht="30" customHeight="1" x14ac:dyDescent="0.35">
      <c r="B2" s="107" t="s">
        <v>163</v>
      </c>
      <c r="C2" s="107"/>
      <c r="D2" s="107"/>
      <c r="E2" s="107"/>
      <c r="F2" s="107"/>
      <c r="G2" s="107"/>
    </row>
    <row r="3" spans="2:7" ht="18" customHeight="1" x14ac:dyDescent="0.35">
      <c r="B3" s="108" t="s">
        <v>164</v>
      </c>
      <c r="C3" s="108"/>
      <c r="D3" s="108"/>
      <c r="E3" s="108"/>
      <c r="F3" s="108"/>
      <c r="G3" s="108"/>
    </row>
    <row r="4" spans="2:7" ht="24" customHeight="1" x14ac:dyDescent="0.35">
      <c r="B4" s="19" t="s">
        <v>165</v>
      </c>
      <c r="C4" s="19"/>
      <c r="D4" s="19"/>
      <c r="E4" s="19"/>
      <c r="F4" s="19"/>
      <c r="G4" s="19"/>
    </row>
    <row r="5" spans="2:7" ht="19.5" customHeight="1" x14ac:dyDescent="0.35">
      <c r="B5" s="109" t="s">
        <v>166</v>
      </c>
      <c r="C5" s="110"/>
      <c r="D5" s="110"/>
      <c r="E5" s="110"/>
    </row>
    <row r="6" spans="2:7" ht="19.5" customHeight="1" x14ac:dyDescent="0.35">
      <c r="B6" s="109" t="s">
        <v>167</v>
      </c>
      <c r="C6" s="110"/>
      <c r="D6" s="110"/>
      <c r="E6" s="110"/>
    </row>
    <row r="7" spans="2:7" ht="19.5" customHeight="1" x14ac:dyDescent="0.35">
      <c r="B7" s="109" t="s">
        <v>168</v>
      </c>
      <c r="C7" s="110"/>
      <c r="D7" s="110"/>
      <c r="E7" s="110"/>
    </row>
    <row r="8" spans="2:7" ht="19.5" customHeight="1" x14ac:dyDescent="0.35">
      <c r="B8" s="109" t="s">
        <v>169</v>
      </c>
      <c r="C8" s="110"/>
      <c r="D8" s="110"/>
      <c r="E8" s="110"/>
    </row>
    <row r="9" spans="2:7" ht="19.5" customHeight="1" x14ac:dyDescent="0.35">
      <c r="B9" s="109" t="s">
        <v>170</v>
      </c>
      <c r="C9" s="110"/>
      <c r="D9" s="110"/>
      <c r="E9" s="110"/>
    </row>
    <row r="10" spans="2:7" ht="19.5" customHeight="1" x14ac:dyDescent="0.35">
      <c r="B10" s="109" t="s">
        <v>171</v>
      </c>
      <c r="C10" s="110"/>
      <c r="D10" s="110"/>
      <c r="E10" s="110"/>
    </row>
    <row r="11" spans="2:7" ht="19.5" customHeight="1" x14ac:dyDescent="0.35">
      <c r="B11" s="109" t="s">
        <v>172</v>
      </c>
      <c r="C11" s="110"/>
      <c r="D11" s="110"/>
      <c r="E11" s="110"/>
    </row>
    <row r="12" spans="2:7" ht="19.5" customHeight="1" x14ac:dyDescent="0.35">
      <c r="B12" s="109" t="s">
        <v>173</v>
      </c>
      <c r="C12" s="110"/>
      <c r="D12" s="110"/>
      <c r="E12" s="110"/>
    </row>
    <row r="13" spans="2:7" ht="19.5" customHeight="1" x14ac:dyDescent="0.35">
      <c r="B13" s="109" t="s">
        <v>174</v>
      </c>
      <c r="C13" s="110"/>
      <c r="D13" s="110"/>
      <c r="E13" s="110"/>
    </row>
    <row r="14" spans="2:7" ht="19.5" customHeight="1" x14ac:dyDescent="0.35">
      <c r="B14" s="109" t="s">
        <v>175</v>
      </c>
      <c r="C14" s="111" t="s">
        <v>50</v>
      </c>
      <c r="D14" s="112" t="s">
        <v>176</v>
      </c>
    </row>
    <row r="16" spans="2:7" ht="24" customHeight="1" x14ac:dyDescent="0.35">
      <c r="B16" s="19" t="s">
        <v>177</v>
      </c>
      <c r="C16" s="19"/>
      <c r="D16" s="19"/>
      <c r="E16" s="19"/>
      <c r="F16" s="19"/>
      <c r="G16" s="19"/>
    </row>
    <row r="17" spans="2:7" ht="27.75" customHeight="1" x14ac:dyDescent="0.35">
      <c r="B17" s="20" t="s">
        <v>13</v>
      </c>
      <c r="C17" s="20" t="s">
        <v>178</v>
      </c>
      <c r="D17" s="20" t="s">
        <v>179</v>
      </c>
      <c r="E17" s="20" t="s">
        <v>180</v>
      </c>
      <c r="F17" s="20" t="s">
        <v>181</v>
      </c>
      <c r="G17" s="20" t="s">
        <v>182</v>
      </c>
    </row>
    <row r="18" spans="2:7" ht="21.75" customHeight="1" x14ac:dyDescent="0.35">
      <c r="B18" s="113" t="s">
        <v>183</v>
      </c>
      <c r="C18" s="113"/>
      <c r="D18" s="113"/>
      <c r="E18" s="113"/>
      <c r="F18" s="113"/>
      <c r="G18" s="113"/>
    </row>
    <row r="19" spans="2:7" ht="27.75" customHeight="1" x14ac:dyDescent="0.35">
      <c r="B19" s="114" t="s">
        <v>184</v>
      </c>
      <c r="C19" s="50" t="s">
        <v>185</v>
      </c>
      <c r="D19" s="61" t="s">
        <v>67</v>
      </c>
      <c r="E19" s="18"/>
      <c r="F19" s="78"/>
      <c r="G19" s="78"/>
    </row>
    <row r="20" spans="2:7" ht="27.75" customHeight="1" x14ac:dyDescent="0.35">
      <c r="B20" s="115" t="s">
        <v>186</v>
      </c>
      <c r="C20" s="46" t="s">
        <v>187</v>
      </c>
      <c r="D20" s="61" t="s">
        <v>67</v>
      </c>
      <c r="E20" s="18"/>
      <c r="F20" s="78"/>
      <c r="G20" s="78"/>
    </row>
    <row r="21" spans="2:7" ht="27.75" customHeight="1" x14ac:dyDescent="0.35">
      <c r="B21" s="114" t="s">
        <v>188</v>
      </c>
      <c r="C21" s="50" t="s">
        <v>189</v>
      </c>
      <c r="D21" s="61" t="s">
        <v>70</v>
      </c>
      <c r="E21" s="18"/>
      <c r="F21" s="78"/>
      <c r="G21" s="78"/>
    </row>
    <row r="22" spans="2:7" ht="27.75" customHeight="1" x14ac:dyDescent="0.35">
      <c r="B22" s="115" t="s">
        <v>190</v>
      </c>
      <c r="C22" s="46" t="s">
        <v>191</v>
      </c>
      <c r="D22" s="61" t="s">
        <v>70</v>
      </c>
      <c r="E22" s="18"/>
      <c r="F22" s="78"/>
      <c r="G22" s="78"/>
    </row>
    <row r="23" spans="2:7" ht="27.75" customHeight="1" x14ac:dyDescent="0.35">
      <c r="B23" s="114" t="s">
        <v>192</v>
      </c>
      <c r="C23" s="50" t="s">
        <v>193</v>
      </c>
      <c r="D23" s="61" t="s">
        <v>74</v>
      </c>
      <c r="E23" s="18"/>
      <c r="F23" s="78"/>
      <c r="G23" s="78"/>
    </row>
    <row r="25" spans="2:7" ht="21.75" customHeight="1" x14ac:dyDescent="0.35">
      <c r="B25" s="113" t="s">
        <v>194</v>
      </c>
      <c r="C25" s="113"/>
      <c r="D25" s="113"/>
      <c r="E25" s="113"/>
      <c r="F25" s="113"/>
      <c r="G25" s="113"/>
    </row>
    <row r="26" spans="2:7" ht="27.75" customHeight="1" x14ac:dyDescent="0.35">
      <c r="B26" s="115" t="s">
        <v>195</v>
      </c>
      <c r="C26" s="46" t="s">
        <v>196</v>
      </c>
      <c r="D26" s="61" t="s">
        <v>67</v>
      </c>
      <c r="E26" s="18"/>
      <c r="F26" s="78"/>
      <c r="G26" s="78"/>
    </row>
    <row r="27" spans="2:7" ht="27.75" customHeight="1" x14ac:dyDescent="0.35">
      <c r="B27" s="114" t="s">
        <v>197</v>
      </c>
      <c r="C27" s="50" t="s">
        <v>198</v>
      </c>
      <c r="D27" s="61" t="s">
        <v>67</v>
      </c>
      <c r="E27" s="18"/>
      <c r="F27" s="78"/>
      <c r="G27" s="78"/>
    </row>
    <row r="28" spans="2:7" ht="27.75" customHeight="1" x14ac:dyDescent="0.35">
      <c r="B28" s="115" t="s">
        <v>199</v>
      </c>
      <c r="C28" s="46" t="s">
        <v>200</v>
      </c>
      <c r="D28" s="61" t="s">
        <v>70</v>
      </c>
      <c r="E28" s="18"/>
      <c r="F28" s="78"/>
      <c r="G28" s="78"/>
    </row>
    <row r="29" spans="2:7" ht="27.75" customHeight="1" x14ac:dyDescent="0.35">
      <c r="B29" s="114" t="s">
        <v>201</v>
      </c>
      <c r="C29" s="50" t="s">
        <v>202</v>
      </c>
      <c r="D29" s="61" t="s">
        <v>70</v>
      </c>
      <c r="E29" s="18"/>
      <c r="F29" s="78"/>
      <c r="G29" s="78"/>
    </row>
    <row r="30" spans="2:7" ht="27.75" customHeight="1" x14ac:dyDescent="0.35">
      <c r="B30" s="115" t="s">
        <v>203</v>
      </c>
      <c r="C30" s="46" t="s">
        <v>204</v>
      </c>
      <c r="D30" s="61" t="s">
        <v>74</v>
      </c>
      <c r="E30" s="18"/>
      <c r="F30" s="78"/>
      <c r="G30" s="78"/>
    </row>
    <row r="31" spans="2:7" ht="27.75" customHeight="1" x14ac:dyDescent="0.35">
      <c r="B31" s="114" t="s">
        <v>205</v>
      </c>
      <c r="C31" s="50" t="s">
        <v>206</v>
      </c>
      <c r="D31" s="61" t="s">
        <v>74</v>
      </c>
      <c r="E31" s="18"/>
      <c r="F31" s="78"/>
      <c r="G31" s="78"/>
    </row>
    <row r="32" spans="2:7" ht="27.75" customHeight="1" x14ac:dyDescent="0.35">
      <c r="B32" s="115" t="s">
        <v>207</v>
      </c>
      <c r="C32" s="46" t="s">
        <v>208</v>
      </c>
      <c r="D32" s="61" t="s">
        <v>70</v>
      </c>
      <c r="E32" s="18"/>
      <c r="F32" s="78"/>
      <c r="G32" s="78"/>
    </row>
    <row r="34" spans="2:7" ht="21.75" customHeight="1" x14ac:dyDescent="0.35">
      <c r="B34" s="113" t="s">
        <v>209</v>
      </c>
      <c r="C34" s="113"/>
      <c r="D34" s="113"/>
      <c r="E34" s="113"/>
      <c r="F34" s="113"/>
      <c r="G34" s="113"/>
    </row>
    <row r="35" spans="2:7" ht="27.75" customHeight="1" x14ac:dyDescent="0.35">
      <c r="B35" s="114" t="s">
        <v>210</v>
      </c>
      <c r="C35" s="50" t="s">
        <v>211</v>
      </c>
      <c r="D35" s="61" t="s">
        <v>67</v>
      </c>
      <c r="E35" s="18"/>
      <c r="F35" s="78"/>
      <c r="G35" s="78"/>
    </row>
    <row r="36" spans="2:7" ht="27.75" customHeight="1" x14ac:dyDescent="0.35">
      <c r="B36" s="115" t="s">
        <v>212</v>
      </c>
      <c r="C36" s="46" t="s">
        <v>213</v>
      </c>
      <c r="D36" s="61" t="s">
        <v>70</v>
      </c>
      <c r="E36" s="18"/>
      <c r="F36" s="78"/>
      <c r="G36" s="78"/>
    </row>
    <row r="37" spans="2:7" ht="27.75" customHeight="1" x14ac:dyDescent="0.35">
      <c r="B37" s="114" t="s">
        <v>214</v>
      </c>
      <c r="C37" s="50" t="s">
        <v>215</v>
      </c>
      <c r="D37" s="61" t="s">
        <v>74</v>
      </c>
      <c r="E37" s="18"/>
      <c r="F37" s="78"/>
      <c r="G37" s="78"/>
    </row>
    <row r="39" spans="2:7" ht="21.75" customHeight="1" x14ac:dyDescent="0.35">
      <c r="B39" s="113" t="s">
        <v>216</v>
      </c>
      <c r="C39" s="113"/>
      <c r="D39" s="113"/>
      <c r="E39" s="113"/>
      <c r="F39" s="113"/>
      <c r="G39" s="113"/>
    </row>
    <row r="40" spans="2:7" ht="27.75" customHeight="1" x14ac:dyDescent="0.35">
      <c r="B40" s="115" t="s">
        <v>217</v>
      </c>
      <c r="C40" s="46" t="s">
        <v>218</v>
      </c>
      <c r="D40" s="61" t="s">
        <v>70</v>
      </c>
      <c r="E40" s="18"/>
      <c r="F40" s="78"/>
      <c r="G40" s="78"/>
    </row>
    <row r="41" spans="2:7" ht="27.75" customHeight="1" x14ac:dyDescent="0.35">
      <c r="B41" s="114" t="s">
        <v>219</v>
      </c>
      <c r="C41" s="50" t="s">
        <v>220</v>
      </c>
      <c r="D41" s="61" t="s">
        <v>74</v>
      </c>
      <c r="E41" s="18"/>
      <c r="F41" s="78"/>
      <c r="G41" s="78"/>
    </row>
    <row r="43" spans="2:7" ht="27.75" customHeight="1" x14ac:dyDescent="0.35">
      <c r="B43" s="19" t="s">
        <v>221</v>
      </c>
      <c r="C43" s="19"/>
      <c r="D43" s="116">
        <f>IF(D19="Sí",1,IF(D19="Parcial",0.5,0))+IF(D20="Sí",1,IF(D20="Parcial",0.5,0))+IF(D21="Sí",1,IF(D21="Parcial",0.5,0))+IF(D22="Sí",1,IF(D22="Parcial",0.5,0))+IF(D23="Sí",1,IF(D23="Parcial",0.5,0))+IF(D26="Sí",1,IF(D26="Parcial",0.5,0))+IF(D27="Sí",1,IF(D27="Parcial",0.5,0))+IF(D28="Sí",1,IF(D28="Parcial",0.5,0))+IF(D29="Sí",1,IF(D29="Parcial",0.5,0))+IF(D30="Sí",1,IF(D30="Parcial",0.5,0))+IF(D31="Sí",1,IF(D31="Parcial",0.5,0))+IF(D32="Sí",1,IF(D32="Parcial",0.5,0))+IF(D35="Sí",1,IF(D35="Parcial",0.5,0))+IF(D36="Sí",1,IF(D36="Parcial",0.5,0))+IF(D37="Sí",1,IF(D37="Parcial",0.5,0))+IF(D40="Sí",1,IF(D40="Parcial",0.5,0))+IF(D41="Sí",1,IF(D41="Parcial",0.5,0))</f>
        <v>8.5</v>
      </c>
      <c r="E43" s="117">
        <f>D43/17</f>
        <v>0.5</v>
      </c>
    </row>
    <row r="45" spans="2:7" ht="24" customHeight="1" x14ac:dyDescent="0.35">
      <c r="B45" s="19" t="s">
        <v>222</v>
      </c>
      <c r="C45" s="19"/>
      <c r="D45" s="19"/>
      <c r="E45" s="19"/>
      <c r="F45" s="19"/>
      <c r="G45" s="19"/>
    </row>
    <row r="46" spans="2:7" ht="21.75" customHeight="1" x14ac:dyDescent="0.35">
      <c r="B46" s="20" t="s">
        <v>223</v>
      </c>
      <c r="C46" s="20" t="s">
        <v>224</v>
      </c>
      <c r="D46" s="20" t="s">
        <v>225</v>
      </c>
      <c r="E46" s="20" t="s">
        <v>226</v>
      </c>
      <c r="F46" s="20" t="s">
        <v>227</v>
      </c>
      <c r="G46" s="20" t="s">
        <v>228</v>
      </c>
    </row>
    <row r="47" spans="2:7" ht="21.75" customHeight="1" x14ac:dyDescent="0.35">
      <c r="B47" s="118" t="s">
        <v>229</v>
      </c>
      <c r="C47" s="119"/>
      <c r="D47" s="119"/>
      <c r="E47" s="119"/>
      <c r="F47" s="119"/>
      <c r="G47" s="119"/>
    </row>
    <row r="48" spans="2:7" ht="21.75" customHeight="1" x14ac:dyDescent="0.35">
      <c r="B48" s="120" t="s">
        <v>230</v>
      </c>
      <c r="C48" s="121"/>
      <c r="D48" s="121"/>
      <c r="E48" s="121"/>
      <c r="F48" s="121"/>
      <c r="G48" s="121"/>
    </row>
    <row r="49" spans="2:7" ht="21.75" customHeight="1" x14ac:dyDescent="0.35">
      <c r="B49" s="118" t="s">
        <v>231</v>
      </c>
      <c r="C49" s="119"/>
      <c r="D49" s="119"/>
      <c r="E49" s="119"/>
      <c r="F49" s="119"/>
      <c r="G49" s="119"/>
    </row>
    <row r="50" spans="2:7" ht="21.75" customHeight="1" x14ac:dyDescent="0.35">
      <c r="B50" s="120" t="s">
        <v>232</v>
      </c>
      <c r="C50" s="121"/>
      <c r="D50" s="121"/>
      <c r="E50" s="121"/>
      <c r="F50" s="121"/>
      <c r="G50" s="121"/>
    </row>
    <row r="51" spans="2:7" ht="21.75" customHeight="1" x14ac:dyDescent="0.35">
      <c r="B51" s="118" t="s">
        <v>233</v>
      </c>
      <c r="C51" s="122">
        <v>0.68</v>
      </c>
      <c r="D51" s="119"/>
      <c r="E51" s="119"/>
      <c r="F51" s="119"/>
      <c r="G51" s="119"/>
    </row>
    <row r="52" spans="2:7" ht="21.75" customHeight="1" x14ac:dyDescent="0.35">
      <c r="B52" s="120" t="s">
        <v>234</v>
      </c>
      <c r="C52" s="121"/>
      <c r="D52" s="121"/>
      <c r="E52" s="121"/>
      <c r="F52" s="121"/>
      <c r="G52" s="121"/>
    </row>
    <row r="53" spans="2:7" ht="21.75" customHeight="1" x14ac:dyDescent="0.35">
      <c r="B53" s="118" t="s">
        <v>235</v>
      </c>
      <c r="C53" s="122">
        <v>0.89</v>
      </c>
      <c r="D53" s="119"/>
      <c r="E53" s="119"/>
      <c r="F53" s="119"/>
      <c r="G53" s="119"/>
    </row>
    <row r="54" spans="2:7" ht="21.75" customHeight="1" x14ac:dyDescent="0.35">
      <c r="B54" s="120" t="s">
        <v>236</v>
      </c>
      <c r="C54" s="121"/>
      <c r="D54" s="121"/>
      <c r="E54" s="121"/>
      <c r="F54" s="121"/>
      <c r="G54" s="121"/>
    </row>
    <row r="55" spans="2:7" ht="21.75" customHeight="1" x14ac:dyDescent="0.35">
      <c r="B55" s="118" t="s">
        <v>237</v>
      </c>
      <c r="C55" s="119"/>
      <c r="D55" s="119"/>
      <c r="E55" s="119"/>
      <c r="F55" s="119"/>
      <c r="G55" s="119"/>
    </row>
    <row r="56" spans="2:7" ht="21.75" customHeight="1" x14ac:dyDescent="0.35">
      <c r="B56" s="120" t="s">
        <v>238</v>
      </c>
      <c r="C56" s="121"/>
      <c r="D56" s="121"/>
      <c r="E56" s="121"/>
      <c r="F56" s="121"/>
      <c r="G56" s="121"/>
    </row>
    <row r="57" spans="2:7" ht="21.75" customHeight="1" x14ac:dyDescent="0.35">
      <c r="B57" s="118" t="s">
        <v>239</v>
      </c>
      <c r="C57" s="119">
        <v>12</v>
      </c>
      <c r="D57" s="119"/>
      <c r="E57" s="119"/>
      <c r="F57" s="119"/>
      <c r="G57" s="119"/>
    </row>
    <row r="58" spans="2:7" ht="21.75" customHeight="1" x14ac:dyDescent="0.35">
      <c r="B58" s="120" t="s">
        <v>240</v>
      </c>
      <c r="C58" s="121"/>
      <c r="D58" s="121"/>
      <c r="E58" s="121"/>
      <c r="F58" s="121"/>
      <c r="G58" s="121"/>
    </row>
    <row r="60" spans="2:7" ht="24" customHeight="1" x14ac:dyDescent="0.35">
      <c r="B60" s="19" t="s">
        <v>241</v>
      </c>
      <c r="C60" s="19"/>
      <c r="D60" s="19"/>
      <c r="E60" s="19"/>
      <c r="F60" s="19"/>
      <c r="G60" s="19"/>
    </row>
    <row r="61" spans="2:7" ht="21.75" customHeight="1" x14ac:dyDescent="0.35">
      <c r="B61" s="20" t="s">
        <v>242</v>
      </c>
      <c r="C61" s="20" t="s">
        <v>243</v>
      </c>
      <c r="D61" s="20" t="s">
        <v>244</v>
      </c>
      <c r="E61" s="20" t="s">
        <v>245</v>
      </c>
      <c r="F61" s="20" t="s">
        <v>246</v>
      </c>
    </row>
    <row r="62" spans="2:7" ht="19.5" customHeight="1" x14ac:dyDescent="0.35">
      <c r="B62" s="118" t="s">
        <v>247</v>
      </c>
      <c r="C62" s="119"/>
      <c r="D62" s="119"/>
      <c r="E62" s="119"/>
      <c r="F62" s="119"/>
    </row>
    <row r="63" spans="2:7" ht="19.5" customHeight="1" x14ac:dyDescent="0.35">
      <c r="B63" s="120" t="s">
        <v>248</v>
      </c>
      <c r="C63" s="121"/>
      <c r="D63" s="121"/>
      <c r="E63" s="121"/>
      <c r="F63" s="121"/>
    </row>
    <row r="64" spans="2:7" ht="19.5" customHeight="1" x14ac:dyDescent="0.35">
      <c r="B64" s="118" t="s">
        <v>249</v>
      </c>
      <c r="C64" s="119"/>
      <c r="D64" s="119"/>
      <c r="E64" s="119"/>
      <c r="F64" s="119"/>
    </row>
    <row r="65" spans="2:7" ht="19.5" customHeight="1" x14ac:dyDescent="0.35">
      <c r="B65" s="120" t="s">
        <v>250</v>
      </c>
      <c r="C65" s="121"/>
      <c r="D65" s="121"/>
      <c r="E65" s="121"/>
      <c r="F65" s="121"/>
    </row>
    <row r="66" spans="2:7" ht="19.5" customHeight="1" x14ac:dyDescent="0.35">
      <c r="B66" s="118" t="s">
        <v>251</v>
      </c>
      <c r="C66" s="119"/>
      <c r="D66" s="119"/>
      <c r="E66" s="119"/>
      <c r="F66" s="119"/>
    </row>
    <row r="67" spans="2:7" ht="19.5" customHeight="1" x14ac:dyDescent="0.35">
      <c r="B67" s="120" t="s">
        <v>252</v>
      </c>
      <c r="C67" s="121"/>
      <c r="D67" s="121"/>
      <c r="E67" s="121"/>
      <c r="F67" s="121"/>
    </row>
    <row r="68" spans="2:7" ht="19.5" customHeight="1" x14ac:dyDescent="0.35">
      <c r="B68" s="118" t="s">
        <v>253</v>
      </c>
      <c r="C68" s="119"/>
      <c r="D68" s="119"/>
      <c r="E68" s="119"/>
      <c r="F68" s="119"/>
    </row>
    <row r="69" spans="2:7" ht="19.5" customHeight="1" x14ac:dyDescent="0.35">
      <c r="B69" s="120" t="s">
        <v>254</v>
      </c>
      <c r="C69" s="121"/>
      <c r="D69" s="121"/>
      <c r="E69" s="121"/>
      <c r="F69" s="121"/>
    </row>
    <row r="71" spans="2:7" ht="24" customHeight="1" x14ac:dyDescent="0.35">
      <c r="B71" s="19" t="s">
        <v>255</v>
      </c>
      <c r="C71" s="19"/>
      <c r="D71" s="19"/>
      <c r="E71" s="19"/>
      <c r="F71" s="19"/>
      <c r="G71" s="19"/>
    </row>
    <row r="72" spans="2:7" ht="21.75" customHeight="1" x14ac:dyDescent="0.35">
      <c r="B72" s="20" t="s">
        <v>256</v>
      </c>
      <c r="C72" s="20" t="s">
        <v>224</v>
      </c>
      <c r="D72" s="20" t="s">
        <v>257</v>
      </c>
      <c r="E72" s="20" t="s">
        <v>258</v>
      </c>
      <c r="F72" s="20" t="s">
        <v>246</v>
      </c>
    </row>
    <row r="73" spans="2:7" ht="21.75" customHeight="1" x14ac:dyDescent="0.35">
      <c r="B73" s="46" t="s">
        <v>259</v>
      </c>
      <c r="C73" s="119">
        <v>22</v>
      </c>
      <c r="D73" s="119"/>
      <c r="E73" s="119"/>
      <c r="F73" s="119"/>
    </row>
    <row r="74" spans="2:7" ht="21.75" customHeight="1" x14ac:dyDescent="0.35">
      <c r="B74" s="50" t="s">
        <v>260</v>
      </c>
      <c r="C74" s="121"/>
      <c r="D74" s="121"/>
      <c r="E74" s="121"/>
      <c r="F74" s="121"/>
    </row>
    <row r="75" spans="2:7" ht="21.75" customHeight="1" x14ac:dyDescent="0.35">
      <c r="B75" s="46" t="s">
        <v>261</v>
      </c>
      <c r="C75" s="119"/>
      <c r="D75" s="119"/>
      <c r="E75" s="119"/>
      <c r="F75" s="119"/>
    </row>
    <row r="76" spans="2:7" ht="21.75" customHeight="1" x14ac:dyDescent="0.35">
      <c r="B76" s="50" t="s">
        <v>262</v>
      </c>
      <c r="C76" s="121"/>
      <c r="D76" s="121"/>
      <c r="E76" s="121"/>
      <c r="F76" s="121"/>
    </row>
    <row r="77" spans="2:7" ht="21.75" customHeight="1" x14ac:dyDescent="0.35">
      <c r="B77" s="46" t="s">
        <v>263</v>
      </c>
      <c r="C77" s="119"/>
      <c r="D77" s="119"/>
      <c r="E77" s="119"/>
      <c r="F77" s="119"/>
    </row>
    <row r="78" spans="2:7" ht="21.75" customHeight="1" x14ac:dyDescent="0.35">
      <c r="B78" s="50" t="s">
        <v>264</v>
      </c>
      <c r="C78" s="121"/>
      <c r="D78" s="121"/>
      <c r="E78" s="121"/>
      <c r="F78" s="121"/>
    </row>
    <row r="79" spans="2:7" ht="21.75" customHeight="1" x14ac:dyDescent="0.35">
      <c r="B79" s="46" t="s">
        <v>265</v>
      </c>
      <c r="C79" s="119"/>
      <c r="D79" s="119"/>
      <c r="E79" s="119"/>
      <c r="F79" s="119"/>
    </row>
    <row r="81" spans="2:7" ht="24" customHeight="1" x14ac:dyDescent="0.35">
      <c r="B81" s="19" t="s">
        <v>266</v>
      </c>
      <c r="C81" s="19"/>
      <c r="D81" s="19"/>
      <c r="E81" s="19"/>
      <c r="F81" s="19"/>
      <c r="G81" s="19"/>
    </row>
    <row r="82" spans="2:7" ht="27.75" customHeight="1" x14ac:dyDescent="0.35">
      <c r="B82" s="20" t="s">
        <v>138</v>
      </c>
      <c r="C82" s="20" t="s">
        <v>267</v>
      </c>
      <c r="D82" s="20" t="s">
        <v>268</v>
      </c>
      <c r="E82" s="20" t="s">
        <v>269</v>
      </c>
      <c r="F82" s="20" t="s">
        <v>270</v>
      </c>
      <c r="G82" s="20" t="s">
        <v>271</v>
      </c>
    </row>
    <row r="83" spans="2:7" ht="25.5" customHeight="1" x14ac:dyDescent="0.35">
      <c r="B83" s="123" t="s">
        <v>272</v>
      </c>
      <c r="C83" s="61" t="s">
        <v>67</v>
      </c>
      <c r="D83" s="46" t="s">
        <v>273</v>
      </c>
      <c r="E83" s="124"/>
      <c r="F83" s="78"/>
      <c r="G83" s="18"/>
    </row>
    <row r="84" spans="2:7" ht="25.5" customHeight="1" x14ac:dyDescent="0.35">
      <c r="B84" s="125" t="s">
        <v>274</v>
      </c>
      <c r="C84" s="61" t="s">
        <v>70</v>
      </c>
      <c r="D84" s="50" t="s">
        <v>275</v>
      </c>
      <c r="E84" s="124"/>
      <c r="F84" s="78"/>
      <c r="G84" s="18"/>
    </row>
    <row r="85" spans="2:7" ht="25.5" customHeight="1" x14ac:dyDescent="0.35">
      <c r="B85" s="123" t="s">
        <v>276</v>
      </c>
      <c r="C85" s="61" t="s">
        <v>67</v>
      </c>
      <c r="D85" s="46" t="s">
        <v>277</v>
      </c>
      <c r="E85" s="124"/>
      <c r="F85" s="78"/>
      <c r="G85" s="18"/>
    </row>
    <row r="86" spans="2:7" ht="25.5" customHeight="1" x14ac:dyDescent="0.35">
      <c r="B86" s="125" t="s">
        <v>278</v>
      </c>
      <c r="C86" s="61" t="s">
        <v>67</v>
      </c>
      <c r="D86" s="50" t="s">
        <v>279</v>
      </c>
      <c r="E86" s="124"/>
      <c r="F86" s="78"/>
      <c r="G86" s="18"/>
    </row>
    <row r="87" spans="2:7" ht="25.5" customHeight="1" x14ac:dyDescent="0.35">
      <c r="B87" s="123" t="s">
        <v>280</v>
      </c>
      <c r="C87" s="61" t="s">
        <v>67</v>
      </c>
      <c r="D87" s="46" t="s">
        <v>281</v>
      </c>
      <c r="E87" s="124"/>
      <c r="F87" s="78"/>
      <c r="G87" s="18"/>
    </row>
    <row r="88" spans="2:7" ht="25.5" customHeight="1" x14ac:dyDescent="0.35">
      <c r="B88" s="125" t="s">
        <v>282</v>
      </c>
      <c r="C88" s="61" t="s">
        <v>70</v>
      </c>
      <c r="D88" s="50" t="s">
        <v>283</v>
      </c>
      <c r="E88" s="124"/>
      <c r="F88" s="78"/>
      <c r="G88" s="18"/>
    </row>
    <row r="89" spans="2:7" ht="25.5" customHeight="1" x14ac:dyDescent="0.35">
      <c r="B89" s="123" t="s">
        <v>284</v>
      </c>
      <c r="C89" s="61" t="s">
        <v>74</v>
      </c>
      <c r="D89" s="46" t="s">
        <v>285</v>
      </c>
      <c r="E89" s="124"/>
      <c r="F89" s="78"/>
      <c r="G89" s="18"/>
    </row>
    <row r="91" spans="2:7" ht="24" customHeight="1" x14ac:dyDescent="0.35">
      <c r="B91" s="19" t="s">
        <v>286</v>
      </c>
      <c r="C91" s="19"/>
      <c r="D91" s="19"/>
      <c r="E91" s="19"/>
      <c r="F91" s="19"/>
      <c r="G91" s="19"/>
    </row>
    <row r="92" spans="2:7" ht="21.75" customHeight="1" x14ac:dyDescent="0.35">
      <c r="B92" s="20" t="s">
        <v>287</v>
      </c>
      <c r="C92" s="20" t="s">
        <v>288</v>
      </c>
    </row>
    <row r="93" spans="2:7" ht="21.75" customHeight="1" x14ac:dyDescent="0.35">
      <c r="B93" s="44" t="s">
        <v>289</v>
      </c>
      <c r="C93" s="126"/>
      <c r="D93" s="126"/>
      <c r="E93" s="126"/>
      <c r="F93" s="126"/>
      <c r="G93" s="126"/>
    </row>
    <row r="94" spans="2:7" ht="21.75" customHeight="1" x14ac:dyDescent="0.35">
      <c r="B94" s="48" t="s">
        <v>290</v>
      </c>
      <c r="C94" s="126"/>
      <c r="D94" s="126"/>
      <c r="E94" s="126"/>
      <c r="F94" s="126"/>
      <c r="G94" s="126"/>
    </row>
    <row r="95" spans="2:7" ht="21.75" customHeight="1" x14ac:dyDescent="0.35">
      <c r="B95" s="44" t="s">
        <v>291</v>
      </c>
      <c r="C95" s="126"/>
      <c r="D95" s="126"/>
      <c r="E95" s="126"/>
      <c r="F95" s="126"/>
      <c r="G95" s="126"/>
    </row>
    <row r="96" spans="2:7" ht="21.75" customHeight="1" x14ac:dyDescent="0.35">
      <c r="B96" s="48" t="s">
        <v>292</v>
      </c>
      <c r="C96" s="126"/>
      <c r="D96" s="126"/>
      <c r="E96" s="126"/>
      <c r="F96" s="126"/>
      <c r="G96" s="126"/>
    </row>
    <row r="97" spans="2:7" ht="21.75" customHeight="1" x14ac:dyDescent="0.35">
      <c r="B97" s="44" t="s">
        <v>293</v>
      </c>
      <c r="C97" s="126"/>
      <c r="D97" s="126"/>
      <c r="E97" s="126"/>
      <c r="F97" s="126"/>
      <c r="G97" s="126"/>
    </row>
    <row r="98" spans="2:7" ht="21.75" customHeight="1" x14ac:dyDescent="0.35">
      <c r="B98" s="48" t="s">
        <v>294</v>
      </c>
      <c r="C98" s="126"/>
      <c r="D98" s="126"/>
      <c r="E98" s="126"/>
      <c r="F98" s="126"/>
      <c r="G98" s="126"/>
    </row>
    <row r="99" spans="2:7" ht="21.75" customHeight="1" x14ac:dyDescent="0.35">
      <c r="B99" s="44" t="s">
        <v>295</v>
      </c>
      <c r="C99" s="126"/>
      <c r="D99" s="126"/>
      <c r="E99" s="126"/>
      <c r="F99" s="126"/>
      <c r="G99" s="126"/>
    </row>
    <row r="101" spans="2:7" ht="24" customHeight="1" x14ac:dyDescent="0.35">
      <c r="B101" s="19" t="s">
        <v>296</v>
      </c>
      <c r="C101" s="19"/>
      <c r="D101" s="19"/>
      <c r="E101" s="19"/>
      <c r="F101" s="19"/>
      <c r="G101" s="19"/>
    </row>
    <row r="102" spans="2:7" ht="21.75" customHeight="1" x14ac:dyDescent="0.35">
      <c r="B102" s="20" t="s">
        <v>297</v>
      </c>
      <c r="C102" s="20" t="s">
        <v>298</v>
      </c>
      <c r="D102" s="20" t="s">
        <v>299</v>
      </c>
      <c r="E102" s="20" t="s">
        <v>300</v>
      </c>
      <c r="F102" s="20" t="s">
        <v>301</v>
      </c>
    </row>
    <row r="103" spans="2:7" ht="21.75" customHeight="1" x14ac:dyDescent="0.35">
      <c r="B103" s="118" t="s">
        <v>302</v>
      </c>
      <c r="C103" s="119"/>
      <c r="D103" s="119"/>
      <c r="E103" s="46"/>
      <c r="F103" s="119"/>
    </row>
    <row r="104" spans="2:7" ht="21.75" customHeight="1" x14ac:dyDescent="0.35">
      <c r="B104" s="120" t="s">
        <v>303</v>
      </c>
      <c r="C104" s="121"/>
      <c r="D104" s="121"/>
      <c r="E104" s="50"/>
      <c r="F104" s="121"/>
    </row>
    <row r="105" spans="2:7" ht="21.75" customHeight="1" x14ac:dyDescent="0.35">
      <c r="B105" s="118" t="s">
        <v>304</v>
      </c>
      <c r="C105" s="119"/>
      <c r="D105" s="119"/>
      <c r="E105" s="46"/>
      <c r="F105" s="119"/>
    </row>
    <row r="106" spans="2:7" ht="21.75" customHeight="1" x14ac:dyDescent="0.35">
      <c r="B106" s="120" t="s">
        <v>305</v>
      </c>
      <c r="C106" s="121"/>
      <c r="D106" s="121"/>
      <c r="E106" s="50"/>
      <c r="F106" s="121"/>
    </row>
    <row r="107" spans="2:7" ht="21.75" customHeight="1" x14ac:dyDescent="0.35">
      <c r="B107" s="118" t="s">
        <v>306</v>
      </c>
      <c r="C107" s="119"/>
      <c r="D107" s="119"/>
      <c r="E107" s="46"/>
      <c r="F107" s="119"/>
    </row>
    <row r="108" spans="2:7" ht="21.75" customHeight="1" x14ac:dyDescent="0.35">
      <c r="B108" s="120" t="s">
        <v>307</v>
      </c>
      <c r="C108" s="121"/>
      <c r="D108" s="121"/>
      <c r="E108" s="50"/>
      <c r="F108" s="121"/>
    </row>
    <row r="109" spans="2:7" ht="21.75" customHeight="1" x14ac:dyDescent="0.35">
      <c r="B109" s="118" t="s">
        <v>308</v>
      </c>
      <c r="C109" s="119"/>
      <c r="D109" s="119"/>
      <c r="E109" s="46"/>
      <c r="F109" s="119"/>
    </row>
    <row r="110" spans="2:7" ht="21.75" customHeight="1" x14ac:dyDescent="0.35">
      <c r="B110" s="120" t="s">
        <v>309</v>
      </c>
      <c r="C110" s="121"/>
      <c r="D110" s="121"/>
      <c r="E110" s="50"/>
      <c r="F110" s="121"/>
    </row>
    <row r="111" spans="2:7" ht="21.75" customHeight="1" x14ac:dyDescent="0.35">
      <c r="B111" s="118" t="s">
        <v>310</v>
      </c>
      <c r="C111" s="119"/>
      <c r="D111" s="119"/>
      <c r="E111" s="46"/>
      <c r="F111" s="119"/>
    </row>
    <row r="112" spans="2:7" ht="21.75" customHeight="1" x14ac:dyDescent="0.35">
      <c r="B112" s="120" t="s">
        <v>311</v>
      </c>
      <c r="C112" s="121"/>
      <c r="D112" s="121"/>
      <c r="E112" s="50"/>
      <c r="F112" s="121"/>
    </row>
    <row r="114" spans="2:7" ht="24" customHeight="1" x14ac:dyDescent="0.35">
      <c r="B114" s="19" t="s">
        <v>312</v>
      </c>
      <c r="C114" s="19"/>
      <c r="D114" s="19"/>
      <c r="E114" s="19"/>
      <c r="F114" s="19"/>
      <c r="G114" s="19"/>
    </row>
    <row r="115" spans="2:7" ht="21.75" customHeight="1" x14ac:dyDescent="0.35">
      <c r="B115" s="20" t="s">
        <v>313</v>
      </c>
      <c r="C115" s="20" t="s">
        <v>314</v>
      </c>
    </row>
    <row r="116" spans="2:7" ht="21.75" customHeight="1" x14ac:dyDescent="0.35">
      <c r="B116" s="44" t="s">
        <v>315</v>
      </c>
      <c r="C116" s="126"/>
      <c r="D116" s="126"/>
      <c r="E116" s="126"/>
      <c r="F116" s="126"/>
      <c r="G116" s="126"/>
    </row>
    <row r="117" spans="2:7" ht="21.75" customHeight="1" x14ac:dyDescent="0.35">
      <c r="B117" s="48" t="s">
        <v>316</v>
      </c>
      <c r="C117" s="126"/>
      <c r="D117" s="126"/>
      <c r="E117" s="126"/>
      <c r="F117" s="126"/>
      <c r="G117" s="126"/>
    </row>
    <row r="118" spans="2:7" ht="21.75" customHeight="1" x14ac:dyDescent="0.35">
      <c r="B118" s="44" t="s">
        <v>317</v>
      </c>
      <c r="C118" s="126"/>
      <c r="D118" s="126"/>
      <c r="E118" s="126"/>
      <c r="F118" s="126"/>
      <c r="G118" s="126"/>
    </row>
    <row r="119" spans="2:7" ht="21.75" customHeight="1" x14ac:dyDescent="0.35">
      <c r="B119" s="48" t="s">
        <v>318</v>
      </c>
      <c r="C119" s="126"/>
      <c r="D119" s="126"/>
      <c r="E119" s="126"/>
      <c r="F119" s="126"/>
      <c r="G119" s="126"/>
    </row>
    <row r="120" spans="2:7" ht="21.75" customHeight="1" x14ac:dyDescent="0.35">
      <c r="B120" s="44" t="s">
        <v>319</v>
      </c>
      <c r="C120" s="126"/>
      <c r="D120" s="126"/>
      <c r="E120" s="126"/>
      <c r="F120" s="126"/>
      <c r="G120" s="126"/>
    </row>
    <row r="121" spans="2:7" ht="21.75" customHeight="1" x14ac:dyDescent="0.35">
      <c r="B121" s="48" t="s">
        <v>320</v>
      </c>
      <c r="C121" s="126"/>
      <c r="D121" s="126"/>
      <c r="E121" s="126"/>
      <c r="F121" s="126"/>
      <c r="G121" s="126"/>
    </row>
    <row r="122" spans="2:7" ht="21.75" customHeight="1" x14ac:dyDescent="0.35">
      <c r="B122" s="44" t="s">
        <v>321</v>
      </c>
      <c r="C122" s="126"/>
      <c r="D122" s="126"/>
      <c r="E122" s="126"/>
      <c r="F122" s="126"/>
      <c r="G122" s="126"/>
    </row>
    <row r="124" spans="2:7" ht="24" customHeight="1" x14ac:dyDescent="0.35">
      <c r="B124" s="19" t="s">
        <v>322</v>
      </c>
      <c r="C124" s="19"/>
      <c r="D124" s="19"/>
      <c r="E124" s="19"/>
      <c r="F124" s="19"/>
      <c r="G124" s="19"/>
    </row>
    <row r="125" spans="2:7" ht="21.75" customHeight="1" x14ac:dyDescent="0.35">
      <c r="B125" s="20" t="s">
        <v>323</v>
      </c>
      <c r="C125" s="20" t="s">
        <v>324</v>
      </c>
    </row>
    <row r="126" spans="2:7" ht="30" customHeight="1" x14ac:dyDescent="0.35">
      <c r="B126" s="127" t="s">
        <v>325</v>
      </c>
      <c r="C126" s="126"/>
      <c r="D126" s="126"/>
      <c r="E126" s="126"/>
      <c r="F126" s="126"/>
      <c r="G126" s="126"/>
    </row>
    <row r="127" spans="2:7" ht="30" customHeight="1" x14ac:dyDescent="0.35">
      <c r="B127" s="128" t="s">
        <v>326</v>
      </c>
      <c r="C127" s="126"/>
      <c r="D127" s="126"/>
      <c r="E127" s="126"/>
      <c r="F127" s="126"/>
      <c r="G127" s="126"/>
    </row>
    <row r="128" spans="2:7" ht="30" customHeight="1" x14ac:dyDescent="0.35">
      <c r="B128" s="127" t="s">
        <v>327</v>
      </c>
      <c r="C128" s="126"/>
      <c r="D128" s="126"/>
      <c r="E128" s="126"/>
      <c r="F128" s="126"/>
      <c r="G128" s="126"/>
    </row>
    <row r="129" spans="2:7" ht="30" customHeight="1" x14ac:dyDescent="0.35">
      <c r="B129" s="128" t="s">
        <v>328</v>
      </c>
      <c r="C129" s="126"/>
      <c r="D129" s="126"/>
      <c r="E129" s="126"/>
      <c r="F129" s="126"/>
      <c r="G129" s="126"/>
    </row>
    <row r="130" spans="2:7" ht="30" customHeight="1" x14ac:dyDescent="0.35">
      <c r="B130" s="127" t="s">
        <v>329</v>
      </c>
      <c r="C130" s="126"/>
      <c r="D130" s="126"/>
      <c r="E130" s="126"/>
      <c r="F130" s="126"/>
      <c r="G130" s="126"/>
    </row>
    <row r="131" spans="2:7" ht="30" customHeight="1" x14ac:dyDescent="0.35">
      <c r="B131" s="128" t="s">
        <v>330</v>
      </c>
      <c r="C131" s="126"/>
      <c r="D131" s="126"/>
      <c r="E131" s="126"/>
      <c r="F131" s="126"/>
      <c r="G131" s="126"/>
    </row>
    <row r="132" spans="2:7" ht="30" customHeight="1" x14ac:dyDescent="0.35">
      <c r="B132" s="127" t="s">
        <v>331</v>
      </c>
      <c r="C132" s="126"/>
      <c r="D132" s="126"/>
      <c r="E132" s="126"/>
      <c r="F132" s="126"/>
      <c r="G132" s="126"/>
    </row>
  </sheetData>
  <mergeCells count="47">
    <mergeCell ref="C131:G131"/>
    <mergeCell ref="C132:G132"/>
    <mergeCell ref="C126:G126"/>
    <mergeCell ref="C127:G127"/>
    <mergeCell ref="C128:G128"/>
    <mergeCell ref="C129:G129"/>
    <mergeCell ref="C130:G130"/>
    <mergeCell ref="C119:G119"/>
    <mergeCell ref="C120:G120"/>
    <mergeCell ref="C121:G121"/>
    <mergeCell ref="C122:G122"/>
    <mergeCell ref="B124:G124"/>
    <mergeCell ref="B101:G101"/>
    <mergeCell ref="B114:G114"/>
    <mergeCell ref="C116:G116"/>
    <mergeCell ref="C117:G117"/>
    <mergeCell ref="C118:G118"/>
    <mergeCell ref="C95:G95"/>
    <mergeCell ref="C96:G96"/>
    <mergeCell ref="C97:G97"/>
    <mergeCell ref="C98:G98"/>
    <mergeCell ref="C99:G99"/>
    <mergeCell ref="B71:G71"/>
    <mergeCell ref="B81:G81"/>
    <mergeCell ref="B91:G91"/>
    <mergeCell ref="C93:G93"/>
    <mergeCell ref="C94:G94"/>
    <mergeCell ref="B34:G34"/>
    <mergeCell ref="B39:G39"/>
    <mergeCell ref="B43:C43"/>
    <mergeCell ref="B45:G45"/>
    <mergeCell ref="B60:G60"/>
    <mergeCell ref="C12:E12"/>
    <mergeCell ref="C13:E13"/>
    <mergeCell ref="B16:G16"/>
    <mergeCell ref="B18:G18"/>
    <mergeCell ref="B25:G25"/>
    <mergeCell ref="C7:E7"/>
    <mergeCell ref="C8:E8"/>
    <mergeCell ref="C9:E9"/>
    <mergeCell ref="C10:E10"/>
    <mergeCell ref="C11:E11"/>
    <mergeCell ref="B2:G2"/>
    <mergeCell ref="B3:G3"/>
    <mergeCell ref="B4:G4"/>
    <mergeCell ref="C5:E5"/>
    <mergeCell ref="C6:E6"/>
  </mergeCells>
  <dataValidations count="2">
    <dataValidation type="list" allowBlank="1" sqref="G19:G23 G26:G32 G35:G37 G40:G41" xr:uid="{00000000-0002-0000-0500-000003000000}">
      <formula1>"Alta,Media,Baja,Sin mejora"</formula1>
      <formula2>0</formula2>
    </dataValidation>
    <dataValidation type="list" allowBlank="1" sqref="C83:C89" xr:uid="{00000000-0002-0000-0500-000004000000}">
      <formula1>"Sí,No,Parcial"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500-000000000000}">
          <x14:formula1>
            <xm:f>Listas!$H$5:$H$9</xm:f>
          </x14:formula1>
          <x14:formula2>
            <xm:f>0</xm:f>
          </x14:formula2>
          <xm:sqref>C12</xm:sqref>
        </x14:dataValidation>
        <x14:dataValidation type="list" allowBlank="1" xr:uid="{00000000-0002-0000-0500-000001000000}">
          <x14:formula1>
            <xm:f>Listas!$D$5:$D$10</xm:f>
          </x14:formula1>
          <x14:formula2>
            <xm:f>0</xm:f>
          </x14:formula2>
          <xm:sqref>C14</xm:sqref>
        </x14:dataValidation>
        <x14:dataValidation type="list" allowBlank="1" xr:uid="{00000000-0002-0000-0500-000002000000}">
          <x14:formula1>
            <xm:f>Listas!$B$5:$B$8</xm:f>
          </x14:formula1>
          <x14:formula2>
            <xm:f>0</xm:f>
          </x14:formula2>
          <xm:sqref>D19:D23 D26:D32 D35:D37 D40:D41</xm:sqref>
        </x14:dataValidation>
        <x14:dataValidation type="list" allowBlank="1" xr:uid="{00000000-0002-0000-0500-000005000000}">
          <x14:formula1>
            <xm:f>Listas!$F$5:$F$7</xm:f>
          </x14:formula1>
          <x14:formula2>
            <xm:f>0</xm:f>
          </x14:formula2>
          <xm:sqref>F83:F89</xm:sqref>
        </x14:dataValidation>
        <x14:dataValidation type="list" allowBlank="1" xr:uid="{00000000-0002-0000-0500-000006000000}">
          <x14:formula1>
            <xm:f>Listas!$L$5:$L$7</xm:f>
          </x14:formula1>
          <x14:formula2>
            <xm:f>0</xm:f>
          </x14:formula2>
          <xm:sqref>C130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7A4D"/>
  </sheetPr>
  <dimension ref="B1:G132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1" sqref="C11:E11"/>
    </sheetView>
  </sheetViews>
  <sheetFormatPr baseColWidth="10" defaultColWidth="8.6328125" defaultRowHeight="14.5" x14ac:dyDescent="0.35"/>
  <cols>
    <col min="1" max="1" width="3" style="1" customWidth="1"/>
    <col min="2" max="2" width="22.6328125" style="1" customWidth="1"/>
    <col min="3" max="3" width="36" style="1" customWidth="1"/>
    <col min="4" max="4" width="14" style="1" customWidth="1"/>
    <col min="5" max="5" width="40" style="1" customWidth="1"/>
    <col min="6" max="6" width="14" style="1" customWidth="1"/>
    <col min="7" max="7" width="20" style="1" customWidth="1"/>
    <col min="8" max="16384" width="8.6328125" style="1"/>
  </cols>
  <sheetData>
    <row r="1" spans="2:7" ht="7.5" customHeight="1" x14ac:dyDescent="0.35"/>
    <row r="2" spans="2:7" ht="30" customHeight="1" x14ac:dyDescent="0.35">
      <c r="B2" s="107" t="s">
        <v>332</v>
      </c>
      <c r="C2" s="107"/>
      <c r="D2" s="107"/>
      <c r="E2" s="107"/>
      <c r="F2" s="107"/>
      <c r="G2" s="107"/>
    </row>
    <row r="3" spans="2:7" ht="18" customHeight="1" x14ac:dyDescent="0.35">
      <c r="B3" s="108" t="s">
        <v>164</v>
      </c>
      <c r="C3" s="108"/>
      <c r="D3" s="108"/>
      <c r="E3" s="108"/>
      <c r="F3" s="108"/>
      <c r="G3" s="108"/>
    </row>
    <row r="4" spans="2:7" ht="24" customHeight="1" x14ac:dyDescent="0.35">
      <c r="B4" s="19" t="s">
        <v>165</v>
      </c>
      <c r="C4" s="19"/>
      <c r="D4" s="19"/>
      <c r="E4" s="19"/>
      <c r="F4" s="19"/>
      <c r="G4" s="19"/>
    </row>
    <row r="5" spans="2:7" ht="19.5" customHeight="1" x14ac:dyDescent="0.35">
      <c r="B5" s="109" t="s">
        <v>166</v>
      </c>
      <c r="C5" s="110"/>
      <c r="D5" s="110"/>
      <c r="E5" s="110"/>
    </row>
    <row r="6" spans="2:7" ht="19.5" customHeight="1" x14ac:dyDescent="0.35">
      <c r="B6" s="109" t="s">
        <v>167</v>
      </c>
      <c r="C6" s="110"/>
      <c r="D6" s="110"/>
      <c r="E6" s="110"/>
    </row>
    <row r="7" spans="2:7" ht="19.5" customHeight="1" x14ac:dyDescent="0.35">
      <c r="B7" s="109" t="s">
        <v>168</v>
      </c>
      <c r="C7" s="110"/>
      <c r="D7" s="110"/>
      <c r="E7" s="110"/>
    </row>
    <row r="8" spans="2:7" ht="19.5" customHeight="1" x14ac:dyDescent="0.35">
      <c r="B8" s="109" t="s">
        <v>169</v>
      </c>
      <c r="C8" s="110"/>
      <c r="D8" s="110"/>
      <c r="E8" s="110"/>
    </row>
    <row r="9" spans="2:7" ht="19.5" customHeight="1" x14ac:dyDescent="0.35">
      <c r="B9" s="109" t="s">
        <v>170</v>
      </c>
      <c r="C9" s="110"/>
      <c r="D9" s="110"/>
      <c r="E9" s="110"/>
    </row>
    <row r="10" spans="2:7" ht="19.5" customHeight="1" x14ac:dyDescent="0.35">
      <c r="B10" s="109" t="s">
        <v>171</v>
      </c>
      <c r="C10" s="110"/>
      <c r="D10" s="110"/>
      <c r="E10" s="110"/>
    </row>
    <row r="11" spans="2:7" ht="19.5" customHeight="1" x14ac:dyDescent="0.35">
      <c r="B11" s="109" t="s">
        <v>172</v>
      </c>
      <c r="C11" s="110"/>
      <c r="D11" s="110"/>
      <c r="E11" s="110"/>
    </row>
    <row r="12" spans="2:7" ht="19.5" customHeight="1" x14ac:dyDescent="0.35">
      <c r="B12" s="109" t="s">
        <v>173</v>
      </c>
      <c r="C12" s="110"/>
      <c r="D12" s="110"/>
      <c r="E12" s="110"/>
    </row>
    <row r="13" spans="2:7" ht="19.5" customHeight="1" x14ac:dyDescent="0.35">
      <c r="B13" s="109" t="s">
        <v>174</v>
      </c>
      <c r="C13" s="110"/>
      <c r="D13" s="110"/>
      <c r="E13" s="110"/>
    </row>
    <row r="14" spans="2:7" ht="19.5" customHeight="1" x14ac:dyDescent="0.35">
      <c r="B14" s="109" t="s">
        <v>175</v>
      </c>
      <c r="C14" s="111" t="s">
        <v>47</v>
      </c>
      <c r="D14" s="112" t="s">
        <v>176</v>
      </c>
    </row>
    <row r="16" spans="2:7" ht="24" customHeight="1" x14ac:dyDescent="0.35">
      <c r="B16" s="19" t="s">
        <v>177</v>
      </c>
      <c r="C16" s="19"/>
      <c r="D16" s="19"/>
      <c r="E16" s="19"/>
      <c r="F16" s="19"/>
      <c r="G16" s="19"/>
    </row>
    <row r="17" spans="2:7" ht="27.75" customHeight="1" x14ac:dyDescent="0.35">
      <c r="B17" s="20" t="s">
        <v>13</v>
      </c>
      <c r="C17" s="20" t="s">
        <v>178</v>
      </c>
      <c r="D17" s="20" t="s">
        <v>179</v>
      </c>
      <c r="E17" s="20" t="s">
        <v>180</v>
      </c>
      <c r="F17" s="20" t="s">
        <v>181</v>
      </c>
      <c r="G17" s="20" t="s">
        <v>182</v>
      </c>
    </row>
    <row r="18" spans="2:7" ht="21.75" customHeight="1" x14ac:dyDescent="0.35">
      <c r="B18" s="113" t="s">
        <v>183</v>
      </c>
      <c r="C18" s="113"/>
      <c r="D18" s="113"/>
      <c r="E18" s="113"/>
      <c r="F18" s="113"/>
      <c r="G18" s="113"/>
    </row>
    <row r="19" spans="2:7" ht="27.75" customHeight="1" x14ac:dyDescent="0.35">
      <c r="B19" s="114" t="s">
        <v>184</v>
      </c>
      <c r="C19" s="50" t="s">
        <v>185</v>
      </c>
      <c r="D19" s="61" t="s">
        <v>70</v>
      </c>
      <c r="E19" s="18"/>
      <c r="F19" s="78"/>
      <c r="G19" s="78"/>
    </row>
    <row r="20" spans="2:7" ht="27.75" customHeight="1" x14ac:dyDescent="0.35">
      <c r="B20" s="115" t="s">
        <v>186</v>
      </c>
      <c r="C20" s="46" t="s">
        <v>187</v>
      </c>
      <c r="D20" s="61" t="s">
        <v>70</v>
      </c>
      <c r="E20" s="18"/>
      <c r="F20" s="78"/>
      <c r="G20" s="78"/>
    </row>
    <row r="21" spans="2:7" ht="27.75" customHeight="1" x14ac:dyDescent="0.35">
      <c r="B21" s="114" t="s">
        <v>188</v>
      </c>
      <c r="C21" s="50" t="s">
        <v>189</v>
      </c>
      <c r="D21" s="61" t="s">
        <v>74</v>
      </c>
      <c r="E21" s="18"/>
      <c r="F21" s="78"/>
      <c r="G21" s="78"/>
    </row>
    <row r="22" spans="2:7" ht="27.75" customHeight="1" x14ac:dyDescent="0.35">
      <c r="B22" s="115" t="s">
        <v>190</v>
      </c>
      <c r="C22" s="46" t="s">
        <v>191</v>
      </c>
      <c r="D22" s="61" t="s">
        <v>74</v>
      </c>
      <c r="E22" s="18"/>
      <c r="F22" s="78"/>
      <c r="G22" s="78"/>
    </row>
    <row r="23" spans="2:7" ht="27.75" customHeight="1" x14ac:dyDescent="0.35">
      <c r="B23" s="114" t="s">
        <v>192</v>
      </c>
      <c r="C23" s="50" t="s">
        <v>193</v>
      </c>
      <c r="D23" s="61" t="s">
        <v>74</v>
      </c>
      <c r="E23" s="18"/>
      <c r="F23" s="78"/>
      <c r="G23" s="78"/>
    </row>
    <row r="25" spans="2:7" ht="21.75" customHeight="1" x14ac:dyDescent="0.35">
      <c r="B25" s="113" t="s">
        <v>194</v>
      </c>
      <c r="C25" s="113"/>
      <c r="D25" s="113"/>
      <c r="E25" s="113"/>
      <c r="F25" s="113"/>
      <c r="G25" s="113"/>
    </row>
    <row r="26" spans="2:7" ht="27.75" customHeight="1" x14ac:dyDescent="0.35">
      <c r="B26" s="115" t="s">
        <v>195</v>
      </c>
      <c r="C26" s="46" t="s">
        <v>196</v>
      </c>
      <c r="D26" s="61" t="s">
        <v>67</v>
      </c>
      <c r="E26" s="18"/>
      <c r="F26" s="78"/>
      <c r="G26" s="78"/>
    </row>
    <row r="27" spans="2:7" ht="27.75" customHeight="1" x14ac:dyDescent="0.35">
      <c r="B27" s="114" t="s">
        <v>197</v>
      </c>
      <c r="C27" s="50" t="s">
        <v>198</v>
      </c>
      <c r="D27" s="61" t="s">
        <v>70</v>
      </c>
      <c r="E27" s="18"/>
      <c r="F27" s="78"/>
      <c r="G27" s="78"/>
    </row>
    <row r="28" spans="2:7" ht="27.75" customHeight="1" x14ac:dyDescent="0.35">
      <c r="B28" s="115" t="s">
        <v>199</v>
      </c>
      <c r="C28" s="46" t="s">
        <v>200</v>
      </c>
      <c r="D28" s="61" t="s">
        <v>74</v>
      </c>
      <c r="E28" s="18"/>
      <c r="F28" s="78"/>
      <c r="G28" s="78"/>
    </row>
    <row r="29" spans="2:7" ht="27.75" customHeight="1" x14ac:dyDescent="0.35">
      <c r="B29" s="114" t="s">
        <v>201</v>
      </c>
      <c r="C29" s="50" t="s">
        <v>202</v>
      </c>
      <c r="D29" s="61" t="s">
        <v>74</v>
      </c>
      <c r="E29" s="18"/>
      <c r="F29" s="78"/>
      <c r="G29" s="78"/>
    </row>
    <row r="30" spans="2:7" ht="27.75" customHeight="1" x14ac:dyDescent="0.35">
      <c r="B30" s="115" t="s">
        <v>203</v>
      </c>
      <c r="C30" s="46" t="s">
        <v>204</v>
      </c>
      <c r="D30" s="61" t="s">
        <v>74</v>
      </c>
      <c r="E30" s="18"/>
      <c r="F30" s="78"/>
      <c r="G30" s="78"/>
    </row>
    <row r="31" spans="2:7" ht="27.75" customHeight="1" x14ac:dyDescent="0.35">
      <c r="B31" s="114" t="s">
        <v>205</v>
      </c>
      <c r="C31" s="50" t="s">
        <v>206</v>
      </c>
      <c r="D31" s="61" t="s">
        <v>74</v>
      </c>
      <c r="E31" s="18"/>
      <c r="F31" s="78"/>
      <c r="G31" s="78"/>
    </row>
    <row r="32" spans="2:7" ht="27.75" customHeight="1" x14ac:dyDescent="0.35">
      <c r="B32" s="115" t="s">
        <v>207</v>
      </c>
      <c r="C32" s="46" t="s">
        <v>208</v>
      </c>
      <c r="D32" s="61" t="s">
        <v>74</v>
      </c>
      <c r="E32" s="18"/>
      <c r="F32" s="78"/>
      <c r="G32" s="78"/>
    </row>
    <row r="34" spans="2:7" ht="21.75" customHeight="1" x14ac:dyDescent="0.35">
      <c r="B34" s="113" t="s">
        <v>209</v>
      </c>
      <c r="C34" s="113"/>
      <c r="D34" s="113"/>
      <c r="E34" s="113"/>
      <c r="F34" s="113"/>
      <c r="G34" s="113"/>
    </row>
    <row r="35" spans="2:7" ht="27.75" customHeight="1" x14ac:dyDescent="0.35">
      <c r="B35" s="114" t="s">
        <v>210</v>
      </c>
      <c r="C35" s="50" t="s">
        <v>211</v>
      </c>
      <c r="D35" s="61" t="s">
        <v>70</v>
      </c>
      <c r="E35" s="18"/>
      <c r="F35" s="78"/>
      <c r="G35" s="78"/>
    </row>
    <row r="36" spans="2:7" ht="27.75" customHeight="1" x14ac:dyDescent="0.35">
      <c r="B36" s="115" t="s">
        <v>212</v>
      </c>
      <c r="C36" s="46" t="s">
        <v>213</v>
      </c>
      <c r="D36" s="61" t="s">
        <v>74</v>
      </c>
      <c r="E36" s="18"/>
      <c r="F36" s="78"/>
      <c r="G36" s="78"/>
    </row>
    <row r="37" spans="2:7" ht="27.75" customHeight="1" x14ac:dyDescent="0.35">
      <c r="B37" s="114" t="s">
        <v>214</v>
      </c>
      <c r="C37" s="50" t="s">
        <v>215</v>
      </c>
      <c r="D37" s="61" t="s">
        <v>74</v>
      </c>
      <c r="E37" s="18"/>
      <c r="F37" s="78"/>
      <c r="G37" s="78"/>
    </row>
    <row r="39" spans="2:7" ht="21.75" customHeight="1" x14ac:dyDescent="0.35">
      <c r="B39" s="113" t="s">
        <v>216</v>
      </c>
      <c r="C39" s="113"/>
      <c r="D39" s="113"/>
      <c r="E39" s="113"/>
      <c r="F39" s="113"/>
      <c r="G39" s="113"/>
    </row>
    <row r="40" spans="2:7" ht="27.75" customHeight="1" x14ac:dyDescent="0.35">
      <c r="B40" s="115" t="s">
        <v>217</v>
      </c>
      <c r="C40" s="46" t="s">
        <v>218</v>
      </c>
      <c r="D40" s="61" t="s">
        <v>74</v>
      </c>
      <c r="E40" s="18"/>
      <c r="F40" s="78"/>
      <c r="G40" s="78"/>
    </row>
    <row r="41" spans="2:7" ht="27.75" customHeight="1" x14ac:dyDescent="0.35">
      <c r="B41" s="114" t="s">
        <v>219</v>
      </c>
      <c r="C41" s="50" t="s">
        <v>220</v>
      </c>
      <c r="D41" s="61" t="s">
        <v>74</v>
      </c>
      <c r="E41" s="18"/>
      <c r="F41" s="78"/>
      <c r="G41" s="78"/>
    </row>
    <row r="43" spans="2:7" ht="27.75" customHeight="1" x14ac:dyDescent="0.35">
      <c r="B43" s="19" t="s">
        <v>221</v>
      </c>
      <c r="C43" s="19"/>
      <c r="D43" s="116">
        <f>IF(D19="Sí",1,IF(D19="Parcial",0.5,0))+IF(D20="Sí",1,IF(D20="Parcial",0.5,0))+IF(D21="Sí",1,IF(D21="Parcial",0.5,0))+IF(D22="Sí",1,IF(D22="Parcial",0.5,0))+IF(D23="Sí",1,IF(D23="Parcial",0.5,0))+IF(D26="Sí",1,IF(D26="Parcial",0.5,0))+IF(D27="Sí",1,IF(D27="Parcial",0.5,0))+IF(D28="Sí",1,IF(D28="Parcial",0.5,0))+IF(D29="Sí",1,IF(D29="Parcial",0.5,0))+IF(D30="Sí",1,IF(D30="Parcial",0.5,0))+IF(D31="Sí",1,IF(D31="Parcial",0.5,0))+IF(D32="Sí",1,IF(D32="Parcial",0.5,0))+IF(D35="Sí",1,IF(D35="Parcial",0.5,0))+IF(D36="Sí",1,IF(D36="Parcial",0.5,0))+IF(D37="Sí",1,IF(D37="Parcial",0.5,0))+IF(D40="Sí",1,IF(D40="Parcial",0.5,0))+IF(D41="Sí",1,IF(D41="Parcial",0.5,0))</f>
        <v>3</v>
      </c>
      <c r="E43" s="117">
        <f>D43/17</f>
        <v>0.17647058823529413</v>
      </c>
    </row>
    <row r="45" spans="2:7" ht="24" customHeight="1" x14ac:dyDescent="0.35">
      <c r="B45" s="19" t="s">
        <v>222</v>
      </c>
      <c r="C45" s="19"/>
      <c r="D45" s="19"/>
      <c r="E45" s="19"/>
      <c r="F45" s="19"/>
      <c r="G45" s="19"/>
    </row>
    <row r="46" spans="2:7" ht="21.75" customHeight="1" x14ac:dyDescent="0.35">
      <c r="B46" s="20" t="s">
        <v>223</v>
      </c>
      <c r="C46" s="20" t="s">
        <v>224</v>
      </c>
      <c r="D46" s="20" t="s">
        <v>225</v>
      </c>
      <c r="E46" s="20" t="s">
        <v>226</v>
      </c>
      <c r="F46" s="20" t="s">
        <v>227</v>
      </c>
      <c r="G46" s="20" t="s">
        <v>228</v>
      </c>
    </row>
    <row r="47" spans="2:7" ht="21.75" customHeight="1" x14ac:dyDescent="0.35">
      <c r="B47" s="118" t="s">
        <v>229</v>
      </c>
      <c r="C47" s="119"/>
      <c r="D47" s="119"/>
      <c r="E47" s="119"/>
      <c r="F47" s="119"/>
      <c r="G47" s="119"/>
    </row>
    <row r="48" spans="2:7" ht="21.75" customHeight="1" x14ac:dyDescent="0.35">
      <c r="B48" s="120" t="s">
        <v>230</v>
      </c>
      <c r="C48" s="121"/>
      <c r="D48" s="121"/>
      <c r="E48" s="121"/>
      <c r="F48" s="121"/>
      <c r="G48" s="121"/>
    </row>
    <row r="49" spans="2:7" ht="21.75" customHeight="1" x14ac:dyDescent="0.35">
      <c r="B49" s="118" t="s">
        <v>231</v>
      </c>
      <c r="C49" s="119"/>
      <c r="D49" s="119"/>
      <c r="E49" s="119"/>
      <c r="F49" s="119"/>
      <c r="G49" s="119"/>
    </row>
    <row r="50" spans="2:7" ht="21.75" customHeight="1" x14ac:dyDescent="0.35">
      <c r="B50" s="120" t="s">
        <v>232</v>
      </c>
      <c r="C50" s="121"/>
      <c r="D50" s="121"/>
      <c r="E50" s="121"/>
      <c r="F50" s="121"/>
      <c r="G50" s="121"/>
    </row>
    <row r="51" spans="2:7" ht="21.75" customHeight="1" x14ac:dyDescent="0.35">
      <c r="B51" s="118" t="s">
        <v>233</v>
      </c>
      <c r="C51" s="122">
        <v>0.55000000000000004</v>
      </c>
      <c r="D51" s="119"/>
      <c r="E51" s="119"/>
      <c r="F51" s="119"/>
      <c r="G51" s="119"/>
    </row>
    <row r="52" spans="2:7" ht="21.75" customHeight="1" x14ac:dyDescent="0.35">
      <c r="B52" s="120" t="s">
        <v>234</v>
      </c>
      <c r="C52" s="121"/>
      <c r="D52" s="121"/>
      <c r="E52" s="121"/>
      <c r="F52" s="121"/>
      <c r="G52" s="121"/>
    </row>
    <row r="53" spans="2:7" ht="21.75" customHeight="1" x14ac:dyDescent="0.35">
      <c r="B53" s="118" t="s">
        <v>235</v>
      </c>
      <c r="C53" s="122">
        <v>0.78</v>
      </c>
      <c r="D53" s="119"/>
      <c r="E53" s="119"/>
      <c r="F53" s="119"/>
      <c r="G53" s="119"/>
    </row>
    <row r="54" spans="2:7" ht="21.75" customHeight="1" x14ac:dyDescent="0.35">
      <c r="B54" s="120" t="s">
        <v>236</v>
      </c>
      <c r="C54" s="121"/>
      <c r="D54" s="121"/>
      <c r="E54" s="121"/>
      <c r="F54" s="121"/>
      <c r="G54" s="121"/>
    </row>
    <row r="55" spans="2:7" ht="21.75" customHeight="1" x14ac:dyDescent="0.35">
      <c r="B55" s="118" t="s">
        <v>237</v>
      </c>
      <c r="C55" s="119"/>
      <c r="D55" s="119"/>
      <c r="E55" s="119"/>
      <c r="F55" s="119"/>
      <c r="G55" s="119"/>
    </row>
    <row r="56" spans="2:7" ht="21.75" customHeight="1" x14ac:dyDescent="0.35">
      <c r="B56" s="120" t="s">
        <v>238</v>
      </c>
      <c r="C56" s="121"/>
      <c r="D56" s="121"/>
      <c r="E56" s="121"/>
      <c r="F56" s="121"/>
      <c r="G56" s="121"/>
    </row>
    <row r="57" spans="2:7" ht="21.75" customHeight="1" x14ac:dyDescent="0.35">
      <c r="B57" s="118" t="s">
        <v>239</v>
      </c>
      <c r="C57" s="119">
        <v>8</v>
      </c>
      <c r="D57" s="119"/>
      <c r="E57" s="119"/>
      <c r="F57" s="119"/>
      <c r="G57" s="119"/>
    </row>
    <row r="58" spans="2:7" ht="21.75" customHeight="1" x14ac:dyDescent="0.35">
      <c r="B58" s="120" t="s">
        <v>240</v>
      </c>
      <c r="C58" s="121"/>
      <c r="D58" s="121"/>
      <c r="E58" s="121"/>
      <c r="F58" s="121"/>
      <c r="G58" s="121"/>
    </row>
    <row r="60" spans="2:7" ht="24" customHeight="1" x14ac:dyDescent="0.35">
      <c r="B60" s="19" t="s">
        <v>241</v>
      </c>
      <c r="C60" s="19"/>
      <c r="D60" s="19"/>
      <c r="E60" s="19"/>
      <c r="F60" s="19"/>
      <c r="G60" s="19"/>
    </row>
    <row r="61" spans="2:7" ht="21.75" customHeight="1" x14ac:dyDescent="0.35">
      <c r="B61" s="20" t="s">
        <v>242</v>
      </c>
      <c r="C61" s="20" t="s">
        <v>243</v>
      </c>
      <c r="D61" s="20" t="s">
        <v>244</v>
      </c>
      <c r="E61" s="20" t="s">
        <v>245</v>
      </c>
      <c r="F61" s="20" t="s">
        <v>246</v>
      </c>
    </row>
    <row r="62" spans="2:7" ht="19.5" customHeight="1" x14ac:dyDescent="0.35">
      <c r="B62" s="118" t="s">
        <v>247</v>
      </c>
      <c r="C62" s="119"/>
      <c r="D62" s="119"/>
      <c r="E62" s="119"/>
      <c r="F62" s="119"/>
    </row>
    <row r="63" spans="2:7" ht="19.5" customHeight="1" x14ac:dyDescent="0.35">
      <c r="B63" s="120" t="s">
        <v>248</v>
      </c>
      <c r="C63" s="121"/>
      <c r="D63" s="121"/>
      <c r="E63" s="121"/>
      <c r="F63" s="121"/>
    </row>
    <row r="64" spans="2:7" ht="19.5" customHeight="1" x14ac:dyDescent="0.35">
      <c r="B64" s="118" t="s">
        <v>249</v>
      </c>
      <c r="C64" s="119"/>
      <c r="D64" s="119"/>
      <c r="E64" s="119"/>
      <c r="F64" s="119"/>
    </row>
    <row r="65" spans="2:7" ht="19.5" customHeight="1" x14ac:dyDescent="0.35">
      <c r="B65" s="120" t="s">
        <v>250</v>
      </c>
      <c r="C65" s="121"/>
      <c r="D65" s="121"/>
      <c r="E65" s="121"/>
      <c r="F65" s="121"/>
    </row>
    <row r="66" spans="2:7" ht="19.5" customHeight="1" x14ac:dyDescent="0.35">
      <c r="B66" s="118" t="s">
        <v>251</v>
      </c>
      <c r="C66" s="119"/>
      <c r="D66" s="119"/>
      <c r="E66" s="119"/>
      <c r="F66" s="119"/>
    </row>
    <row r="67" spans="2:7" ht="19.5" customHeight="1" x14ac:dyDescent="0.35">
      <c r="B67" s="120" t="s">
        <v>252</v>
      </c>
      <c r="C67" s="121"/>
      <c r="D67" s="121"/>
      <c r="E67" s="121"/>
      <c r="F67" s="121"/>
    </row>
    <row r="68" spans="2:7" ht="19.5" customHeight="1" x14ac:dyDescent="0.35">
      <c r="B68" s="118" t="s">
        <v>253</v>
      </c>
      <c r="C68" s="119"/>
      <c r="D68" s="119"/>
      <c r="E68" s="119"/>
      <c r="F68" s="119"/>
    </row>
    <row r="69" spans="2:7" ht="19.5" customHeight="1" x14ac:dyDescent="0.35">
      <c r="B69" s="120" t="s">
        <v>254</v>
      </c>
      <c r="C69" s="121"/>
      <c r="D69" s="121"/>
      <c r="E69" s="121"/>
      <c r="F69" s="121"/>
    </row>
    <row r="71" spans="2:7" ht="24" customHeight="1" x14ac:dyDescent="0.35">
      <c r="B71" s="19" t="s">
        <v>255</v>
      </c>
      <c r="C71" s="19"/>
      <c r="D71" s="19"/>
      <c r="E71" s="19"/>
      <c r="F71" s="19"/>
      <c r="G71" s="19"/>
    </row>
    <row r="72" spans="2:7" ht="21.75" customHeight="1" x14ac:dyDescent="0.35">
      <c r="B72" s="20" t="s">
        <v>256</v>
      </c>
      <c r="C72" s="20" t="s">
        <v>224</v>
      </c>
      <c r="D72" s="20" t="s">
        <v>257</v>
      </c>
      <c r="E72" s="20" t="s">
        <v>258</v>
      </c>
      <c r="F72" s="20" t="s">
        <v>246</v>
      </c>
    </row>
    <row r="73" spans="2:7" ht="21.75" customHeight="1" x14ac:dyDescent="0.35">
      <c r="B73" s="46" t="s">
        <v>259</v>
      </c>
      <c r="C73" s="119">
        <v>8</v>
      </c>
      <c r="D73" s="119"/>
      <c r="E73" s="119"/>
      <c r="F73" s="119"/>
    </row>
    <row r="74" spans="2:7" ht="21.75" customHeight="1" x14ac:dyDescent="0.35">
      <c r="B74" s="50" t="s">
        <v>260</v>
      </c>
      <c r="C74" s="121"/>
      <c r="D74" s="121"/>
      <c r="E74" s="121"/>
      <c r="F74" s="121"/>
    </row>
    <row r="75" spans="2:7" ht="21.75" customHeight="1" x14ac:dyDescent="0.35">
      <c r="B75" s="46" t="s">
        <v>261</v>
      </c>
      <c r="C75" s="119"/>
      <c r="D75" s="119"/>
      <c r="E75" s="119"/>
      <c r="F75" s="119"/>
    </row>
    <row r="76" spans="2:7" ht="21.75" customHeight="1" x14ac:dyDescent="0.35">
      <c r="B76" s="50" t="s">
        <v>262</v>
      </c>
      <c r="C76" s="121"/>
      <c r="D76" s="121"/>
      <c r="E76" s="121"/>
      <c r="F76" s="121"/>
    </row>
    <row r="77" spans="2:7" ht="21.75" customHeight="1" x14ac:dyDescent="0.35">
      <c r="B77" s="46" t="s">
        <v>263</v>
      </c>
      <c r="C77" s="119"/>
      <c r="D77" s="119"/>
      <c r="E77" s="119"/>
      <c r="F77" s="119"/>
    </row>
    <row r="78" spans="2:7" ht="21.75" customHeight="1" x14ac:dyDescent="0.35">
      <c r="B78" s="50" t="s">
        <v>264</v>
      </c>
      <c r="C78" s="121"/>
      <c r="D78" s="121"/>
      <c r="E78" s="121"/>
      <c r="F78" s="121"/>
    </row>
    <row r="79" spans="2:7" ht="21.75" customHeight="1" x14ac:dyDescent="0.35">
      <c r="B79" s="46" t="s">
        <v>265</v>
      </c>
      <c r="C79" s="119"/>
      <c r="D79" s="119"/>
      <c r="E79" s="119"/>
      <c r="F79" s="119"/>
    </row>
    <row r="81" spans="2:7" ht="24" customHeight="1" x14ac:dyDescent="0.35">
      <c r="B81" s="19" t="s">
        <v>266</v>
      </c>
      <c r="C81" s="19"/>
      <c r="D81" s="19"/>
      <c r="E81" s="19"/>
      <c r="F81" s="19"/>
      <c r="G81" s="19"/>
    </row>
    <row r="82" spans="2:7" ht="27.75" customHeight="1" x14ac:dyDescent="0.35">
      <c r="B82" s="20" t="s">
        <v>138</v>
      </c>
      <c r="C82" s="20" t="s">
        <v>267</v>
      </c>
      <c r="D82" s="20" t="s">
        <v>268</v>
      </c>
      <c r="E82" s="20" t="s">
        <v>269</v>
      </c>
      <c r="F82" s="20" t="s">
        <v>270</v>
      </c>
      <c r="G82" s="20" t="s">
        <v>271</v>
      </c>
    </row>
    <row r="83" spans="2:7" ht="25.5" customHeight="1" x14ac:dyDescent="0.35">
      <c r="B83" s="123" t="s">
        <v>272</v>
      </c>
      <c r="C83" s="61" t="s">
        <v>67</v>
      </c>
      <c r="D83" s="46" t="s">
        <v>273</v>
      </c>
      <c r="E83" s="124"/>
      <c r="F83" s="78"/>
      <c r="G83" s="18"/>
    </row>
    <row r="84" spans="2:7" ht="25.5" customHeight="1" x14ac:dyDescent="0.35">
      <c r="B84" s="125" t="s">
        <v>274</v>
      </c>
      <c r="C84" s="61" t="s">
        <v>67</v>
      </c>
      <c r="D84" s="50" t="s">
        <v>275</v>
      </c>
      <c r="E84" s="124"/>
      <c r="F84" s="78"/>
      <c r="G84" s="18"/>
    </row>
    <row r="85" spans="2:7" ht="25.5" customHeight="1" x14ac:dyDescent="0.35">
      <c r="B85" s="123" t="s">
        <v>276</v>
      </c>
      <c r="C85" s="61" t="s">
        <v>67</v>
      </c>
      <c r="D85" s="46" t="s">
        <v>277</v>
      </c>
      <c r="E85" s="124"/>
      <c r="F85" s="78"/>
      <c r="G85" s="18"/>
    </row>
    <row r="86" spans="2:7" ht="25.5" customHeight="1" x14ac:dyDescent="0.35">
      <c r="B86" s="125" t="s">
        <v>278</v>
      </c>
      <c r="C86" s="61" t="s">
        <v>67</v>
      </c>
      <c r="D86" s="50" t="s">
        <v>279</v>
      </c>
      <c r="E86" s="124"/>
      <c r="F86" s="78"/>
      <c r="G86" s="18"/>
    </row>
    <row r="87" spans="2:7" ht="25.5" customHeight="1" x14ac:dyDescent="0.35">
      <c r="B87" s="123" t="s">
        <v>280</v>
      </c>
      <c r="C87" s="61" t="s">
        <v>67</v>
      </c>
      <c r="D87" s="46" t="s">
        <v>281</v>
      </c>
      <c r="E87" s="124"/>
      <c r="F87" s="78"/>
      <c r="G87" s="18"/>
    </row>
    <row r="88" spans="2:7" ht="25.5" customHeight="1" x14ac:dyDescent="0.35">
      <c r="B88" s="125" t="s">
        <v>282</v>
      </c>
      <c r="C88" s="61" t="s">
        <v>67</v>
      </c>
      <c r="D88" s="50" t="s">
        <v>283</v>
      </c>
      <c r="E88" s="124"/>
      <c r="F88" s="78"/>
      <c r="G88" s="18"/>
    </row>
    <row r="89" spans="2:7" ht="25.5" customHeight="1" x14ac:dyDescent="0.35">
      <c r="B89" s="123" t="s">
        <v>284</v>
      </c>
      <c r="C89" s="61" t="s">
        <v>67</v>
      </c>
      <c r="D89" s="46" t="s">
        <v>285</v>
      </c>
      <c r="E89" s="124"/>
      <c r="F89" s="78"/>
      <c r="G89" s="18"/>
    </row>
    <row r="91" spans="2:7" ht="24" customHeight="1" x14ac:dyDescent="0.35">
      <c r="B91" s="19" t="s">
        <v>286</v>
      </c>
      <c r="C91" s="19"/>
      <c r="D91" s="19"/>
      <c r="E91" s="19"/>
      <c r="F91" s="19"/>
      <c r="G91" s="19"/>
    </row>
    <row r="92" spans="2:7" ht="21.75" customHeight="1" x14ac:dyDescent="0.35">
      <c r="B92" s="20" t="s">
        <v>287</v>
      </c>
      <c r="C92" s="20" t="s">
        <v>288</v>
      </c>
    </row>
    <row r="93" spans="2:7" ht="21.75" customHeight="1" x14ac:dyDescent="0.35">
      <c r="B93" s="44" t="s">
        <v>289</v>
      </c>
      <c r="C93" s="126"/>
      <c r="D93" s="126"/>
      <c r="E93" s="126"/>
      <c r="F93" s="126"/>
      <c r="G93" s="126"/>
    </row>
    <row r="94" spans="2:7" ht="21.75" customHeight="1" x14ac:dyDescent="0.35">
      <c r="B94" s="48" t="s">
        <v>290</v>
      </c>
      <c r="C94" s="126"/>
      <c r="D94" s="126"/>
      <c r="E94" s="126"/>
      <c r="F94" s="126"/>
      <c r="G94" s="126"/>
    </row>
    <row r="95" spans="2:7" ht="21.75" customHeight="1" x14ac:dyDescent="0.35">
      <c r="B95" s="44" t="s">
        <v>291</v>
      </c>
      <c r="C95" s="126"/>
      <c r="D95" s="126"/>
      <c r="E95" s="126"/>
      <c r="F95" s="126"/>
      <c r="G95" s="126"/>
    </row>
    <row r="96" spans="2:7" ht="21.75" customHeight="1" x14ac:dyDescent="0.35">
      <c r="B96" s="48" t="s">
        <v>292</v>
      </c>
      <c r="C96" s="126"/>
      <c r="D96" s="126"/>
      <c r="E96" s="126"/>
      <c r="F96" s="126"/>
      <c r="G96" s="126"/>
    </row>
    <row r="97" spans="2:7" ht="21.75" customHeight="1" x14ac:dyDescent="0.35">
      <c r="B97" s="44" t="s">
        <v>293</v>
      </c>
      <c r="C97" s="126"/>
      <c r="D97" s="126"/>
      <c r="E97" s="126"/>
      <c r="F97" s="126"/>
      <c r="G97" s="126"/>
    </row>
    <row r="98" spans="2:7" ht="21.75" customHeight="1" x14ac:dyDescent="0.35">
      <c r="B98" s="48" t="s">
        <v>294</v>
      </c>
      <c r="C98" s="126"/>
      <c r="D98" s="126"/>
      <c r="E98" s="126"/>
      <c r="F98" s="126"/>
      <c r="G98" s="126"/>
    </row>
    <row r="99" spans="2:7" ht="21.75" customHeight="1" x14ac:dyDescent="0.35">
      <c r="B99" s="44" t="s">
        <v>295</v>
      </c>
      <c r="C99" s="126"/>
      <c r="D99" s="126"/>
      <c r="E99" s="126"/>
      <c r="F99" s="126"/>
      <c r="G99" s="126"/>
    </row>
    <row r="101" spans="2:7" ht="24" customHeight="1" x14ac:dyDescent="0.35">
      <c r="B101" s="19" t="s">
        <v>296</v>
      </c>
      <c r="C101" s="19"/>
      <c r="D101" s="19"/>
      <c r="E101" s="19"/>
      <c r="F101" s="19"/>
      <c r="G101" s="19"/>
    </row>
    <row r="102" spans="2:7" ht="21.75" customHeight="1" x14ac:dyDescent="0.35">
      <c r="B102" s="20" t="s">
        <v>297</v>
      </c>
      <c r="C102" s="20" t="s">
        <v>298</v>
      </c>
      <c r="D102" s="20" t="s">
        <v>299</v>
      </c>
      <c r="E102" s="20" t="s">
        <v>300</v>
      </c>
      <c r="F102" s="20" t="s">
        <v>301</v>
      </c>
    </row>
    <row r="103" spans="2:7" ht="21.75" customHeight="1" x14ac:dyDescent="0.35">
      <c r="B103" s="118" t="s">
        <v>302</v>
      </c>
      <c r="C103" s="119"/>
      <c r="D103" s="119"/>
      <c r="E103" s="46"/>
      <c r="F103" s="119"/>
    </row>
    <row r="104" spans="2:7" ht="21.75" customHeight="1" x14ac:dyDescent="0.35">
      <c r="B104" s="120" t="s">
        <v>303</v>
      </c>
      <c r="C104" s="121"/>
      <c r="D104" s="121"/>
      <c r="E104" s="50"/>
      <c r="F104" s="121"/>
    </row>
    <row r="105" spans="2:7" ht="21.75" customHeight="1" x14ac:dyDescent="0.35">
      <c r="B105" s="118" t="s">
        <v>304</v>
      </c>
      <c r="C105" s="119"/>
      <c r="D105" s="119"/>
      <c r="E105" s="46"/>
      <c r="F105" s="119"/>
    </row>
    <row r="106" spans="2:7" ht="21.75" customHeight="1" x14ac:dyDescent="0.35">
      <c r="B106" s="120" t="s">
        <v>305</v>
      </c>
      <c r="C106" s="121"/>
      <c r="D106" s="121"/>
      <c r="E106" s="50"/>
      <c r="F106" s="121"/>
    </row>
    <row r="107" spans="2:7" ht="21.75" customHeight="1" x14ac:dyDescent="0.35">
      <c r="B107" s="118" t="s">
        <v>306</v>
      </c>
      <c r="C107" s="119"/>
      <c r="D107" s="119"/>
      <c r="E107" s="46"/>
      <c r="F107" s="119"/>
    </row>
    <row r="108" spans="2:7" ht="21.75" customHeight="1" x14ac:dyDescent="0.35">
      <c r="B108" s="120" t="s">
        <v>307</v>
      </c>
      <c r="C108" s="121"/>
      <c r="D108" s="121"/>
      <c r="E108" s="50"/>
      <c r="F108" s="121"/>
    </row>
    <row r="109" spans="2:7" ht="21.75" customHeight="1" x14ac:dyDescent="0.35">
      <c r="B109" s="118" t="s">
        <v>308</v>
      </c>
      <c r="C109" s="119"/>
      <c r="D109" s="119"/>
      <c r="E109" s="46"/>
      <c r="F109" s="119"/>
    </row>
    <row r="110" spans="2:7" ht="21.75" customHeight="1" x14ac:dyDescent="0.35">
      <c r="B110" s="120" t="s">
        <v>309</v>
      </c>
      <c r="C110" s="121"/>
      <c r="D110" s="121"/>
      <c r="E110" s="50"/>
      <c r="F110" s="121"/>
    </row>
    <row r="111" spans="2:7" ht="21.75" customHeight="1" x14ac:dyDescent="0.35">
      <c r="B111" s="118" t="s">
        <v>310</v>
      </c>
      <c r="C111" s="119"/>
      <c r="D111" s="119"/>
      <c r="E111" s="46"/>
      <c r="F111" s="119"/>
    </row>
    <row r="112" spans="2:7" ht="21.75" customHeight="1" x14ac:dyDescent="0.35">
      <c r="B112" s="120" t="s">
        <v>311</v>
      </c>
      <c r="C112" s="121"/>
      <c r="D112" s="121"/>
      <c r="E112" s="50"/>
      <c r="F112" s="121"/>
    </row>
    <row r="114" spans="2:7" ht="24" customHeight="1" x14ac:dyDescent="0.35">
      <c r="B114" s="19" t="s">
        <v>312</v>
      </c>
      <c r="C114" s="19"/>
      <c r="D114" s="19"/>
      <c r="E114" s="19"/>
      <c r="F114" s="19"/>
      <c r="G114" s="19"/>
    </row>
    <row r="115" spans="2:7" ht="21.75" customHeight="1" x14ac:dyDescent="0.35">
      <c r="B115" s="20" t="s">
        <v>313</v>
      </c>
      <c r="C115" s="20" t="s">
        <v>314</v>
      </c>
    </row>
    <row r="116" spans="2:7" ht="21.75" customHeight="1" x14ac:dyDescent="0.35">
      <c r="B116" s="44" t="s">
        <v>315</v>
      </c>
      <c r="C116" s="126"/>
      <c r="D116" s="126"/>
      <c r="E116" s="126"/>
      <c r="F116" s="126"/>
      <c r="G116" s="126"/>
    </row>
    <row r="117" spans="2:7" ht="21.75" customHeight="1" x14ac:dyDescent="0.35">
      <c r="B117" s="48" t="s">
        <v>316</v>
      </c>
      <c r="C117" s="126"/>
      <c r="D117" s="126"/>
      <c r="E117" s="126"/>
      <c r="F117" s="126"/>
      <c r="G117" s="126"/>
    </row>
    <row r="118" spans="2:7" ht="21.75" customHeight="1" x14ac:dyDescent="0.35">
      <c r="B118" s="44" t="s">
        <v>317</v>
      </c>
      <c r="C118" s="126"/>
      <c r="D118" s="126"/>
      <c r="E118" s="126"/>
      <c r="F118" s="126"/>
      <c r="G118" s="126"/>
    </row>
    <row r="119" spans="2:7" ht="21.75" customHeight="1" x14ac:dyDescent="0.35">
      <c r="B119" s="48" t="s">
        <v>318</v>
      </c>
      <c r="C119" s="126"/>
      <c r="D119" s="126"/>
      <c r="E119" s="126"/>
      <c r="F119" s="126"/>
      <c r="G119" s="126"/>
    </row>
    <row r="120" spans="2:7" ht="21.75" customHeight="1" x14ac:dyDescent="0.35">
      <c r="B120" s="44" t="s">
        <v>319</v>
      </c>
      <c r="C120" s="126"/>
      <c r="D120" s="126"/>
      <c r="E120" s="126"/>
      <c r="F120" s="126"/>
      <c r="G120" s="126"/>
    </row>
    <row r="121" spans="2:7" ht="21.75" customHeight="1" x14ac:dyDescent="0.35">
      <c r="B121" s="48" t="s">
        <v>320</v>
      </c>
      <c r="C121" s="126"/>
      <c r="D121" s="126"/>
      <c r="E121" s="126"/>
      <c r="F121" s="126"/>
      <c r="G121" s="126"/>
    </row>
    <row r="122" spans="2:7" ht="21.75" customHeight="1" x14ac:dyDescent="0.35">
      <c r="B122" s="44" t="s">
        <v>321</v>
      </c>
      <c r="C122" s="126"/>
      <c r="D122" s="126"/>
      <c r="E122" s="126"/>
      <c r="F122" s="126"/>
      <c r="G122" s="126"/>
    </row>
    <row r="124" spans="2:7" ht="24" customHeight="1" x14ac:dyDescent="0.35">
      <c r="B124" s="19" t="s">
        <v>322</v>
      </c>
      <c r="C124" s="19"/>
      <c r="D124" s="19"/>
      <c r="E124" s="19"/>
      <c r="F124" s="19"/>
      <c r="G124" s="19"/>
    </row>
    <row r="125" spans="2:7" ht="21.75" customHeight="1" x14ac:dyDescent="0.35">
      <c r="B125" s="20" t="s">
        <v>323</v>
      </c>
      <c r="C125" s="20" t="s">
        <v>324</v>
      </c>
    </row>
    <row r="126" spans="2:7" ht="30" customHeight="1" x14ac:dyDescent="0.35">
      <c r="B126" s="127" t="s">
        <v>325</v>
      </c>
      <c r="C126" s="126"/>
      <c r="D126" s="126"/>
      <c r="E126" s="126"/>
      <c r="F126" s="126"/>
      <c r="G126" s="126"/>
    </row>
    <row r="127" spans="2:7" ht="30" customHeight="1" x14ac:dyDescent="0.35">
      <c r="B127" s="128" t="s">
        <v>326</v>
      </c>
      <c r="C127" s="126"/>
      <c r="D127" s="126"/>
      <c r="E127" s="126"/>
      <c r="F127" s="126"/>
      <c r="G127" s="126"/>
    </row>
    <row r="128" spans="2:7" ht="30" customHeight="1" x14ac:dyDescent="0.35">
      <c r="B128" s="127" t="s">
        <v>327</v>
      </c>
      <c r="C128" s="126"/>
      <c r="D128" s="126"/>
      <c r="E128" s="126"/>
      <c r="F128" s="126"/>
      <c r="G128" s="126"/>
    </row>
    <row r="129" spans="2:7" ht="30" customHeight="1" x14ac:dyDescent="0.35">
      <c r="B129" s="128" t="s">
        <v>328</v>
      </c>
      <c r="C129" s="126"/>
      <c r="D129" s="126"/>
      <c r="E129" s="126"/>
      <c r="F129" s="126"/>
      <c r="G129" s="126"/>
    </row>
    <row r="130" spans="2:7" ht="30" customHeight="1" x14ac:dyDescent="0.35">
      <c r="B130" s="127" t="s">
        <v>329</v>
      </c>
      <c r="C130" s="126"/>
      <c r="D130" s="126"/>
      <c r="E130" s="126"/>
      <c r="F130" s="126"/>
      <c r="G130" s="126"/>
    </row>
    <row r="131" spans="2:7" ht="30" customHeight="1" x14ac:dyDescent="0.35">
      <c r="B131" s="128" t="s">
        <v>330</v>
      </c>
      <c r="C131" s="126"/>
      <c r="D131" s="126"/>
      <c r="E131" s="126"/>
      <c r="F131" s="126"/>
      <c r="G131" s="126"/>
    </row>
    <row r="132" spans="2:7" ht="30" customHeight="1" x14ac:dyDescent="0.35">
      <c r="B132" s="127" t="s">
        <v>331</v>
      </c>
      <c r="C132" s="126"/>
      <c r="D132" s="126"/>
      <c r="E132" s="126"/>
      <c r="F132" s="126"/>
      <c r="G132" s="126"/>
    </row>
  </sheetData>
  <mergeCells count="47">
    <mergeCell ref="C131:G131"/>
    <mergeCell ref="C132:G132"/>
    <mergeCell ref="C126:G126"/>
    <mergeCell ref="C127:G127"/>
    <mergeCell ref="C128:G128"/>
    <mergeCell ref="C129:G129"/>
    <mergeCell ref="C130:G130"/>
    <mergeCell ref="C119:G119"/>
    <mergeCell ref="C120:G120"/>
    <mergeCell ref="C121:G121"/>
    <mergeCell ref="C122:G122"/>
    <mergeCell ref="B124:G124"/>
    <mergeCell ref="B101:G101"/>
    <mergeCell ref="B114:G114"/>
    <mergeCell ref="C116:G116"/>
    <mergeCell ref="C117:G117"/>
    <mergeCell ref="C118:G118"/>
    <mergeCell ref="C95:G95"/>
    <mergeCell ref="C96:G96"/>
    <mergeCell ref="C97:G97"/>
    <mergeCell ref="C98:G98"/>
    <mergeCell ref="C99:G99"/>
    <mergeCell ref="B71:G71"/>
    <mergeCell ref="B81:G81"/>
    <mergeCell ref="B91:G91"/>
    <mergeCell ref="C93:G93"/>
    <mergeCell ref="C94:G94"/>
    <mergeCell ref="B34:G34"/>
    <mergeCell ref="B39:G39"/>
    <mergeCell ref="B43:C43"/>
    <mergeCell ref="B45:G45"/>
    <mergeCell ref="B60:G60"/>
    <mergeCell ref="C12:E12"/>
    <mergeCell ref="C13:E13"/>
    <mergeCell ref="B16:G16"/>
    <mergeCell ref="B18:G18"/>
    <mergeCell ref="B25:G25"/>
    <mergeCell ref="C7:E7"/>
    <mergeCell ref="C8:E8"/>
    <mergeCell ref="C9:E9"/>
    <mergeCell ref="C10:E10"/>
    <mergeCell ref="C11:E11"/>
    <mergeCell ref="B2:G2"/>
    <mergeCell ref="B3:G3"/>
    <mergeCell ref="B4:G4"/>
    <mergeCell ref="C5:E5"/>
    <mergeCell ref="C6:E6"/>
  </mergeCells>
  <dataValidations count="2">
    <dataValidation type="list" allowBlank="1" sqref="G19:G23 G26:G32 G35:G37 G40:G41" xr:uid="{00000000-0002-0000-0600-000003000000}">
      <formula1>"Alta,Media,Baja,Sin mejora"</formula1>
      <formula2>0</formula2>
    </dataValidation>
    <dataValidation type="list" allowBlank="1" sqref="C83:C89" xr:uid="{00000000-0002-0000-0600-000004000000}">
      <formula1>"Sí,No,Parcial"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600-000000000000}">
          <x14:formula1>
            <xm:f>Listas!$H$5:$H$9</xm:f>
          </x14:formula1>
          <x14:formula2>
            <xm:f>0</xm:f>
          </x14:formula2>
          <xm:sqref>C12</xm:sqref>
        </x14:dataValidation>
        <x14:dataValidation type="list" allowBlank="1" xr:uid="{00000000-0002-0000-0600-000001000000}">
          <x14:formula1>
            <xm:f>Listas!$D$5:$D$10</xm:f>
          </x14:formula1>
          <x14:formula2>
            <xm:f>0</xm:f>
          </x14:formula2>
          <xm:sqref>C14</xm:sqref>
        </x14:dataValidation>
        <x14:dataValidation type="list" allowBlank="1" xr:uid="{00000000-0002-0000-0600-000002000000}">
          <x14:formula1>
            <xm:f>Listas!$B$5:$B$8</xm:f>
          </x14:formula1>
          <x14:formula2>
            <xm:f>0</xm:f>
          </x14:formula2>
          <xm:sqref>D19:D23 D26:D32 D35:D37 D40:D41</xm:sqref>
        </x14:dataValidation>
        <x14:dataValidation type="list" allowBlank="1" xr:uid="{00000000-0002-0000-0600-000005000000}">
          <x14:formula1>
            <xm:f>Listas!$F$5:$F$7</xm:f>
          </x14:formula1>
          <x14:formula2>
            <xm:f>0</xm:f>
          </x14:formula2>
          <xm:sqref>F83:F89</xm:sqref>
        </x14:dataValidation>
        <x14:dataValidation type="list" allowBlank="1" xr:uid="{00000000-0002-0000-0600-000006000000}">
          <x14:formula1>
            <xm:f>Listas!$L$5:$L$7</xm:f>
          </x14:formula1>
          <x14:formula2>
            <xm:f>0</xm:f>
          </x14:formula2>
          <xm:sqref>C130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7A4D"/>
  </sheetPr>
  <dimension ref="B1:G132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0" sqref="C10:E10"/>
    </sheetView>
  </sheetViews>
  <sheetFormatPr baseColWidth="10" defaultColWidth="8.6328125" defaultRowHeight="14.5" x14ac:dyDescent="0.35"/>
  <cols>
    <col min="1" max="1" width="3" style="1" customWidth="1"/>
    <col min="2" max="2" width="26.90625" style="1" customWidth="1"/>
    <col min="3" max="3" width="36" style="1" customWidth="1"/>
    <col min="4" max="4" width="14" style="1" customWidth="1"/>
    <col min="5" max="5" width="40" style="1" customWidth="1"/>
    <col min="6" max="6" width="14" style="1" customWidth="1"/>
    <col min="7" max="7" width="20" style="1" customWidth="1"/>
    <col min="8" max="16384" width="8.6328125" style="1"/>
  </cols>
  <sheetData>
    <row r="1" spans="2:7" ht="7.5" customHeight="1" x14ac:dyDescent="0.35"/>
    <row r="2" spans="2:7" ht="30" customHeight="1" x14ac:dyDescent="0.35">
      <c r="B2" s="107" t="s">
        <v>333</v>
      </c>
      <c r="C2" s="107"/>
      <c r="D2" s="107"/>
      <c r="E2" s="107"/>
      <c r="F2" s="107"/>
      <c r="G2" s="107"/>
    </row>
    <row r="4" spans="2:7" ht="24" customHeight="1" x14ac:dyDescent="0.35">
      <c r="B4" s="19" t="s">
        <v>165</v>
      </c>
      <c r="C4" s="19"/>
      <c r="D4" s="19"/>
      <c r="E4" s="19"/>
      <c r="F4" s="19"/>
      <c r="G4" s="19"/>
    </row>
    <row r="5" spans="2:7" ht="19.5" customHeight="1" x14ac:dyDescent="0.35">
      <c r="B5" s="109" t="s">
        <v>166</v>
      </c>
      <c r="C5" s="110"/>
      <c r="D5" s="110"/>
      <c r="E5" s="110"/>
    </row>
    <row r="6" spans="2:7" ht="19.5" customHeight="1" x14ac:dyDescent="0.35">
      <c r="B6" s="109" t="s">
        <v>167</v>
      </c>
      <c r="C6" s="110"/>
      <c r="D6" s="110"/>
      <c r="E6" s="110"/>
    </row>
    <row r="7" spans="2:7" ht="19.5" customHeight="1" x14ac:dyDescent="0.35">
      <c r="B7" s="109" t="s">
        <v>168</v>
      </c>
      <c r="C7" s="110"/>
      <c r="D7" s="110"/>
      <c r="E7" s="110"/>
    </row>
    <row r="8" spans="2:7" ht="19.5" customHeight="1" x14ac:dyDescent="0.35">
      <c r="B8" s="109" t="s">
        <v>169</v>
      </c>
      <c r="C8" s="110"/>
      <c r="D8" s="110"/>
      <c r="E8" s="110"/>
    </row>
    <row r="9" spans="2:7" ht="19.5" customHeight="1" x14ac:dyDescent="0.35">
      <c r="B9" s="109" t="s">
        <v>170</v>
      </c>
      <c r="C9" s="110"/>
      <c r="D9" s="110"/>
      <c r="E9" s="110"/>
    </row>
    <row r="10" spans="2:7" ht="19.5" customHeight="1" x14ac:dyDescent="0.35">
      <c r="B10" s="109" t="s">
        <v>171</v>
      </c>
      <c r="C10" s="110"/>
      <c r="D10" s="110"/>
      <c r="E10" s="110"/>
    </row>
    <row r="11" spans="2:7" ht="19.5" customHeight="1" x14ac:dyDescent="0.35">
      <c r="B11" s="109" t="s">
        <v>172</v>
      </c>
      <c r="C11" s="110"/>
      <c r="D11" s="110"/>
      <c r="E11" s="110"/>
    </row>
    <row r="12" spans="2:7" ht="19.5" customHeight="1" x14ac:dyDescent="0.35">
      <c r="B12" s="109" t="s">
        <v>173</v>
      </c>
      <c r="C12" s="110"/>
      <c r="D12" s="110"/>
      <c r="E12" s="110"/>
    </row>
    <row r="13" spans="2:7" ht="19.5" customHeight="1" x14ac:dyDescent="0.35">
      <c r="B13" s="109" t="s">
        <v>174</v>
      </c>
      <c r="C13" s="110"/>
      <c r="D13" s="110"/>
      <c r="E13" s="110"/>
    </row>
    <row r="14" spans="2:7" ht="19.5" customHeight="1" x14ac:dyDescent="0.35">
      <c r="B14" s="109" t="s">
        <v>175</v>
      </c>
      <c r="C14" s="111"/>
      <c r="D14" s="112" t="s">
        <v>176</v>
      </c>
    </row>
    <row r="16" spans="2:7" ht="24" customHeight="1" x14ac:dyDescent="0.35">
      <c r="B16" s="19" t="s">
        <v>177</v>
      </c>
      <c r="C16" s="19"/>
      <c r="D16" s="19"/>
      <c r="E16" s="19"/>
      <c r="F16" s="19"/>
      <c r="G16" s="19"/>
    </row>
    <row r="17" spans="2:7" ht="27.75" customHeight="1" x14ac:dyDescent="0.35">
      <c r="B17" s="20" t="s">
        <v>13</v>
      </c>
      <c r="C17" s="20" t="s">
        <v>178</v>
      </c>
      <c r="D17" s="20" t="s">
        <v>179</v>
      </c>
      <c r="E17" s="20" t="s">
        <v>180</v>
      </c>
      <c r="F17" s="20" t="s">
        <v>181</v>
      </c>
      <c r="G17" s="20" t="s">
        <v>182</v>
      </c>
    </row>
    <row r="18" spans="2:7" ht="21.75" customHeight="1" x14ac:dyDescent="0.35">
      <c r="B18" s="113" t="s">
        <v>183</v>
      </c>
      <c r="C18" s="113"/>
      <c r="D18" s="113"/>
      <c r="E18" s="113"/>
      <c r="F18" s="113"/>
      <c r="G18" s="113"/>
    </row>
    <row r="19" spans="2:7" ht="27.75" customHeight="1" x14ac:dyDescent="0.35">
      <c r="B19" s="114" t="s">
        <v>184</v>
      </c>
      <c r="C19" s="50" t="s">
        <v>185</v>
      </c>
      <c r="D19" s="61"/>
      <c r="E19" s="18"/>
      <c r="F19" s="78"/>
      <c r="G19" s="78"/>
    </row>
    <row r="20" spans="2:7" ht="27.75" customHeight="1" x14ac:dyDescent="0.35">
      <c r="B20" s="115" t="s">
        <v>186</v>
      </c>
      <c r="C20" s="46" t="s">
        <v>187</v>
      </c>
      <c r="D20" s="61"/>
      <c r="E20" s="18"/>
      <c r="F20" s="78"/>
      <c r="G20" s="78"/>
    </row>
    <row r="21" spans="2:7" ht="27.75" customHeight="1" x14ac:dyDescent="0.35">
      <c r="B21" s="114" t="s">
        <v>188</v>
      </c>
      <c r="C21" s="50" t="s">
        <v>189</v>
      </c>
      <c r="D21" s="61"/>
      <c r="E21" s="18"/>
      <c r="F21" s="78"/>
      <c r="G21" s="78"/>
    </row>
    <row r="22" spans="2:7" ht="27.75" customHeight="1" x14ac:dyDescent="0.35">
      <c r="B22" s="115" t="s">
        <v>190</v>
      </c>
      <c r="C22" s="46" t="s">
        <v>191</v>
      </c>
      <c r="D22" s="61"/>
      <c r="E22" s="18"/>
      <c r="F22" s="78"/>
      <c r="G22" s="78"/>
    </row>
    <row r="23" spans="2:7" ht="27.75" customHeight="1" x14ac:dyDescent="0.35">
      <c r="B23" s="114" t="s">
        <v>192</v>
      </c>
      <c r="C23" s="50" t="s">
        <v>193</v>
      </c>
      <c r="D23" s="61"/>
      <c r="E23" s="18"/>
      <c r="F23" s="78"/>
      <c r="G23" s="78"/>
    </row>
    <row r="25" spans="2:7" ht="21.75" customHeight="1" x14ac:dyDescent="0.35">
      <c r="B25" s="113" t="s">
        <v>194</v>
      </c>
      <c r="C25" s="113"/>
      <c r="D25" s="113"/>
      <c r="E25" s="113"/>
      <c r="F25" s="113"/>
      <c r="G25" s="113"/>
    </row>
    <row r="26" spans="2:7" ht="27.75" customHeight="1" x14ac:dyDescent="0.35">
      <c r="B26" s="115" t="s">
        <v>195</v>
      </c>
      <c r="C26" s="46" t="s">
        <v>196</v>
      </c>
      <c r="D26" s="61"/>
      <c r="E26" s="18"/>
      <c r="F26" s="78"/>
      <c r="G26" s="78"/>
    </row>
    <row r="27" spans="2:7" ht="27.75" customHeight="1" x14ac:dyDescent="0.35">
      <c r="B27" s="114" t="s">
        <v>197</v>
      </c>
      <c r="C27" s="50" t="s">
        <v>198</v>
      </c>
      <c r="D27" s="61"/>
      <c r="E27" s="18"/>
      <c r="F27" s="78"/>
      <c r="G27" s="78"/>
    </row>
    <row r="28" spans="2:7" ht="27.75" customHeight="1" x14ac:dyDescent="0.35">
      <c r="B28" s="115" t="s">
        <v>199</v>
      </c>
      <c r="C28" s="46" t="s">
        <v>200</v>
      </c>
      <c r="D28" s="61"/>
      <c r="E28" s="18"/>
      <c r="F28" s="78"/>
      <c r="G28" s="78"/>
    </row>
    <row r="29" spans="2:7" ht="27.75" customHeight="1" x14ac:dyDescent="0.35">
      <c r="B29" s="114" t="s">
        <v>201</v>
      </c>
      <c r="C29" s="50" t="s">
        <v>202</v>
      </c>
      <c r="D29" s="61"/>
      <c r="E29" s="18"/>
      <c r="F29" s="78"/>
      <c r="G29" s="78"/>
    </row>
    <row r="30" spans="2:7" ht="27.75" customHeight="1" x14ac:dyDescent="0.35">
      <c r="B30" s="115" t="s">
        <v>203</v>
      </c>
      <c r="C30" s="46" t="s">
        <v>204</v>
      </c>
      <c r="D30" s="61"/>
      <c r="E30" s="18"/>
      <c r="F30" s="78"/>
      <c r="G30" s="78"/>
    </row>
    <row r="31" spans="2:7" ht="27.75" customHeight="1" x14ac:dyDescent="0.35">
      <c r="B31" s="114" t="s">
        <v>205</v>
      </c>
      <c r="C31" s="50" t="s">
        <v>206</v>
      </c>
      <c r="D31" s="61"/>
      <c r="E31" s="18"/>
      <c r="F31" s="78"/>
      <c r="G31" s="78"/>
    </row>
    <row r="32" spans="2:7" ht="27.75" customHeight="1" x14ac:dyDescent="0.35">
      <c r="B32" s="115" t="s">
        <v>207</v>
      </c>
      <c r="C32" s="46" t="s">
        <v>208</v>
      </c>
      <c r="D32" s="61"/>
      <c r="E32" s="18"/>
      <c r="F32" s="78"/>
      <c r="G32" s="78"/>
    </row>
    <row r="34" spans="2:7" ht="21.75" customHeight="1" x14ac:dyDescent="0.35">
      <c r="B34" s="113" t="s">
        <v>209</v>
      </c>
      <c r="C34" s="113"/>
      <c r="D34" s="113"/>
      <c r="E34" s="113"/>
      <c r="F34" s="113"/>
      <c r="G34" s="113"/>
    </row>
    <row r="35" spans="2:7" ht="27.75" customHeight="1" x14ac:dyDescent="0.35">
      <c r="B35" s="114" t="s">
        <v>210</v>
      </c>
      <c r="C35" s="50" t="s">
        <v>211</v>
      </c>
      <c r="D35" s="61"/>
      <c r="E35" s="18"/>
      <c r="F35" s="78"/>
      <c r="G35" s="78"/>
    </row>
    <row r="36" spans="2:7" ht="27.75" customHeight="1" x14ac:dyDescent="0.35">
      <c r="B36" s="115" t="s">
        <v>212</v>
      </c>
      <c r="C36" s="46" t="s">
        <v>213</v>
      </c>
      <c r="D36" s="61"/>
      <c r="E36" s="18"/>
      <c r="F36" s="78"/>
      <c r="G36" s="78"/>
    </row>
    <row r="37" spans="2:7" ht="27.75" customHeight="1" x14ac:dyDescent="0.35">
      <c r="B37" s="114" t="s">
        <v>214</v>
      </c>
      <c r="C37" s="50" t="s">
        <v>215</v>
      </c>
      <c r="D37" s="61"/>
      <c r="E37" s="18"/>
      <c r="F37" s="78"/>
      <c r="G37" s="78"/>
    </row>
    <row r="39" spans="2:7" ht="21.75" customHeight="1" x14ac:dyDescent="0.35">
      <c r="B39" s="113" t="s">
        <v>216</v>
      </c>
      <c r="C39" s="113"/>
      <c r="D39" s="113"/>
      <c r="E39" s="113"/>
      <c r="F39" s="113"/>
      <c r="G39" s="113"/>
    </row>
    <row r="40" spans="2:7" ht="27.75" customHeight="1" x14ac:dyDescent="0.35">
      <c r="B40" s="115" t="s">
        <v>217</v>
      </c>
      <c r="C40" s="46" t="s">
        <v>218</v>
      </c>
      <c r="D40" s="61"/>
      <c r="E40" s="18"/>
      <c r="F40" s="78"/>
      <c r="G40" s="78"/>
    </row>
    <row r="41" spans="2:7" ht="27.75" customHeight="1" x14ac:dyDescent="0.35">
      <c r="B41" s="114" t="s">
        <v>219</v>
      </c>
      <c r="C41" s="50" t="s">
        <v>220</v>
      </c>
      <c r="D41" s="61"/>
      <c r="E41" s="18"/>
      <c r="F41" s="78"/>
      <c r="G41" s="78"/>
    </row>
    <row r="43" spans="2:7" ht="27.75" customHeight="1" x14ac:dyDescent="0.35">
      <c r="B43" s="19" t="s">
        <v>221</v>
      </c>
      <c r="C43" s="19"/>
      <c r="D43" s="116">
        <f>IF(D19="Sí",1,IF(D19="Parcial",0.5,0))+IF(D20="Sí",1,IF(D20="Parcial",0.5,0))+IF(D21="Sí",1,IF(D21="Parcial",0.5,0))+IF(D22="Sí",1,IF(D22="Parcial",0.5,0))+IF(D23="Sí",1,IF(D23="Parcial",0.5,0))+IF(D26="Sí",1,IF(D26="Parcial",0.5,0))+IF(D27="Sí",1,IF(D27="Parcial",0.5,0))+IF(D28="Sí",1,IF(D28="Parcial",0.5,0))+IF(D29="Sí",1,IF(D29="Parcial",0.5,0))+IF(D30="Sí",1,IF(D30="Parcial",0.5,0))+IF(D31="Sí",1,IF(D31="Parcial",0.5,0))+IF(D32="Sí",1,IF(D32="Parcial",0.5,0))+IF(D35="Sí",1,IF(D35="Parcial",0.5,0))+IF(D36="Sí",1,IF(D36="Parcial",0.5,0))+IF(D37="Sí",1,IF(D37="Parcial",0.5,0))+IF(D40="Sí",1,IF(D40="Parcial",0.5,0))+IF(D41="Sí",1,IF(D41="Parcial",0.5,0))</f>
        <v>0</v>
      </c>
      <c r="E43" s="117">
        <f>D43/17</f>
        <v>0</v>
      </c>
    </row>
    <row r="45" spans="2:7" ht="24" customHeight="1" x14ac:dyDescent="0.35">
      <c r="B45" s="19" t="s">
        <v>222</v>
      </c>
      <c r="C45" s="19"/>
      <c r="D45" s="19"/>
      <c r="E45" s="19"/>
      <c r="F45" s="19"/>
      <c r="G45" s="19"/>
    </row>
    <row r="46" spans="2:7" ht="21.75" customHeight="1" x14ac:dyDescent="0.35">
      <c r="B46" s="20" t="s">
        <v>223</v>
      </c>
      <c r="C46" s="20" t="s">
        <v>224</v>
      </c>
      <c r="D46" s="20" t="s">
        <v>225</v>
      </c>
      <c r="E46" s="20" t="s">
        <v>226</v>
      </c>
      <c r="F46" s="20" t="s">
        <v>227</v>
      </c>
      <c r="G46" s="20" t="s">
        <v>228</v>
      </c>
    </row>
    <row r="47" spans="2:7" ht="21.75" customHeight="1" x14ac:dyDescent="0.35">
      <c r="B47" s="118" t="s">
        <v>229</v>
      </c>
      <c r="C47" s="119"/>
      <c r="D47" s="119"/>
      <c r="E47" s="119"/>
      <c r="F47" s="119"/>
      <c r="G47" s="119"/>
    </row>
    <row r="48" spans="2:7" ht="21.75" customHeight="1" x14ac:dyDescent="0.35">
      <c r="B48" s="120" t="s">
        <v>230</v>
      </c>
      <c r="C48" s="121"/>
      <c r="D48" s="121"/>
      <c r="E48" s="121"/>
      <c r="F48" s="121"/>
      <c r="G48" s="121"/>
    </row>
    <row r="49" spans="2:7" ht="21.75" customHeight="1" x14ac:dyDescent="0.35">
      <c r="B49" s="118" t="s">
        <v>231</v>
      </c>
      <c r="C49" s="119"/>
      <c r="D49" s="119"/>
      <c r="E49" s="119"/>
      <c r="F49" s="119"/>
      <c r="G49" s="119"/>
    </row>
    <row r="50" spans="2:7" ht="21.75" customHeight="1" x14ac:dyDescent="0.35">
      <c r="B50" s="120" t="s">
        <v>232</v>
      </c>
      <c r="C50" s="121"/>
      <c r="D50" s="121"/>
      <c r="E50" s="121"/>
      <c r="F50" s="121"/>
      <c r="G50" s="121"/>
    </row>
    <row r="51" spans="2:7" ht="21.75" customHeight="1" x14ac:dyDescent="0.35">
      <c r="B51" s="118" t="s">
        <v>233</v>
      </c>
      <c r="C51" s="119"/>
      <c r="D51" s="119"/>
      <c r="E51" s="119"/>
      <c r="F51" s="119"/>
      <c r="G51" s="119"/>
    </row>
    <row r="52" spans="2:7" ht="21.75" customHeight="1" x14ac:dyDescent="0.35">
      <c r="B52" s="120" t="s">
        <v>234</v>
      </c>
      <c r="C52" s="121"/>
      <c r="D52" s="121"/>
      <c r="E52" s="121"/>
      <c r="F52" s="121"/>
      <c r="G52" s="121"/>
    </row>
    <row r="53" spans="2:7" ht="21.75" customHeight="1" x14ac:dyDescent="0.35">
      <c r="B53" s="118" t="s">
        <v>235</v>
      </c>
      <c r="C53" s="119"/>
      <c r="D53" s="119"/>
      <c r="E53" s="119"/>
      <c r="F53" s="119"/>
      <c r="G53" s="119"/>
    </row>
    <row r="54" spans="2:7" ht="21.75" customHeight="1" x14ac:dyDescent="0.35">
      <c r="B54" s="120" t="s">
        <v>236</v>
      </c>
      <c r="C54" s="121"/>
      <c r="D54" s="121"/>
      <c r="E54" s="121"/>
      <c r="F54" s="121"/>
      <c r="G54" s="121"/>
    </row>
    <row r="55" spans="2:7" ht="21.75" customHeight="1" x14ac:dyDescent="0.35">
      <c r="B55" s="118" t="s">
        <v>237</v>
      </c>
      <c r="C55" s="119"/>
      <c r="D55" s="119"/>
      <c r="E55" s="119"/>
      <c r="F55" s="119"/>
      <c r="G55" s="119"/>
    </row>
    <row r="56" spans="2:7" ht="21.75" customHeight="1" x14ac:dyDescent="0.35">
      <c r="B56" s="120" t="s">
        <v>238</v>
      </c>
      <c r="C56" s="121"/>
      <c r="D56" s="121"/>
      <c r="E56" s="121"/>
      <c r="F56" s="121"/>
      <c r="G56" s="121"/>
    </row>
    <row r="57" spans="2:7" ht="21.75" customHeight="1" x14ac:dyDescent="0.35">
      <c r="B57" s="118" t="s">
        <v>239</v>
      </c>
      <c r="C57" s="119"/>
      <c r="D57" s="119"/>
      <c r="E57" s="119"/>
      <c r="F57" s="119"/>
      <c r="G57" s="119"/>
    </row>
    <row r="58" spans="2:7" ht="21.75" customHeight="1" x14ac:dyDescent="0.35">
      <c r="B58" s="120" t="s">
        <v>240</v>
      </c>
      <c r="C58" s="121"/>
      <c r="D58" s="121"/>
      <c r="E58" s="121"/>
      <c r="F58" s="121"/>
      <c r="G58" s="121"/>
    </row>
    <row r="60" spans="2:7" ht="24" customHeight="1" x14ac:dyDescent="0.35">
      <c r="B60" s="19" t="s">
        <v>241</v>
      </c>
      <c r="C60" s="19"/>
      <c r="D60" s="19"/>
      <c r="E60" s="19"/>
      <c r="F60" s="19"/>
      <c r="G60" s="19"/>
    </row>
    <row r="61" spans="2:7" ht="21.75" customHeight="1" x14ac:dyDescent="0.35">
      <c r="B61" s="20" t="s">
        <v>242</v>
      </c>
      <c r="C61" s="20" t="s">
        <v>243</v>
      </c>
      <c r="D61" s="20" t="s">
        <v>244</v>
      </c>
      <c r="E61" s="20" t="s">
        <v>245</v>
      </c>
      <c r="F61" s="20" t="s">
        <v>246</v>
      </c>
    </row>
    <row r="62" spans="2:7" ht="19.5" customHeight="1" x14ac:dyDescent="0.35">
      <c r="B62" s="118" t="s">
        <v>247</v>
      </c>
      <c r="C62" s="119"/>
      <c r="D62" s="119"/>
      <c r="E62" s="119"/>
      <c r="F62" s="119"/>
    </row>
    <row r="63" spans="2:7" ht="19.5" customHeight="1" x14ac:dyDescent="0.35">
      <c r="B63" s="120" t="s">
        <v>248</v>
      </c>
      <c r="C63" s="121"/>
      <c r="D63" s="121"/>
      <c r="E63" s="121"/>
      <c r="F63" s="121"/>
    </row>
    <row r="64" spans="2:7" ht="19.5" customHeight="1" x14ac:dyDescent="0.35">
      <c r="B64" s="118" t="s">
        <v>249</v>
      </c>
      <c r="C64" s="119"/>
      <c r="D64" s="119"/>
      <c r="E64" s="119"/>
      <c r="F64" s="119"/>
    </row>
    <row r="65" spans="2:7" ht="19.5" customHeight="1" x14ac:dyDescent="0.35">
      <c r="B65" s="120" t="s">
        <v>250</v>
      </c>
      <c r="C65" s="121"/>
      <c r="D65" s="121"/>
      <c r="E65" s="121"/>
      <c r="F65" s="121"/>
    </row>
    <row r="66" spans="2:7" ht="19.5" customHeight="1" x14ac:dyDescent="0.35">
      <c r="B66" s="118" t="s">
        <v>251</v>
      </c>
      <c r="C66" s="119"/>
      <c r="D66" s="119"/>
      <c r="E66" s="119"/>
      <c r="F66" s="119"/>
    </row>
    <row r="67" spans="2:7" ht="19.5" customHeight="1" x14ac:dyDescent="0.35">
      <c r="B67" s="120" t="s">
        <v>252</v>
      </c>
      <c r="C67" s="121"/>
      <c r="D67" s="121"/>
      <c r="E67" s="121"/>
      <c r="F67" s="121"/>
    </row>
    <row r="68" spans="2:7" ht="19.5" customHeight="1" x14ac:dyDescent="0.35">
      <c r="B68" s="118" t="s">
        <v>253</v>
      </c>
      <c r="C68" s="119"/>
      <c r="D68" s="119"/>
      <c r="E68" s="119"/>
      <c r="F68" s="119"/>
    </row>
    <row r="69" spans="2:7" ht="19.5" customHeight="1" x14ac:dyDescent="0.35">
      <c r="B69" s="120" t="s">
        <v>254</v>
      </c>
      <c r="C69" s="121"/>
      <c r="D69" s="121"/>
      <c r="E69" s="121"/>
      <c r="F69" s="121"/>
    </row>
    <row r="71" spans="2:7" ht="24" customHeight="1" x14ac:dyDescent="0.35">
      <c r="B71" s="19" t="s">
        <v>255</v>
      </c>
      <c r="C71" s="19"/>
      <c r="D71" s="19"/>
      <c r="E71" s="19"/>
      <c r="F71" s="19"/>
      <c r="G71" s="19"/>
    </row>
    <row r="72" spans="2:7" ht="21.75" customHeight="1" x14ac:dyDescent="0.35">
      <c r="B72" s="20" t="s">
        <v>256</v>
      </c>
      <c r="C72" s="20" t="s">
        <v>224</v>
      </c>
      <c r="D72" s="20" t="s">
        <v>257</v>
      </c>
      <c r="E72" s="20" t="s">
        <v>258</v>
      </c>
      <c r="F72" s="20" t="s">
        <v>246</v>
      </c>
    </row>
    <row r="73" spans="2:7" ht="21.75" customHeight="1" x14ac:dyDescent="0.35">
      <c r="B73" s="46" t="s">
        <v>259</v>
      </c>
      <c r="C73" s="119"/>
      <c r="D73" s="119"/>
      <c r="E73" s="119"/>
      <c r="F73" s="119"/>
    </row>
    <row r="74" spans="2:7" ht="21.75" customHeight="1" x14ac:dyDescent="0.35">
      <c r="B74" s="50" t="s">
        <v>260</v>
      </c>
      <c r="C74" s="121"/>
      <c r="D74" s="121"/>
      <c r="E74" s="121"/>
      <c r="F74" s="121"/>
    </row>
    <row r="75" spans="2:7" ht="21.75" customHeight="1" x14ac:dyDescent="0.35">
      <c r="B75" s="46" t="s">
        <v>261</v>
      </c>
      <c r="C75" s="119"/>
      <c r="D75" s="119"/>
      <c r="E75" s="119"/>
      <c r="F75" s="119"/>
    </row>
    <row r="76" spans="2:7" ht="21.75" customHeight="1" x14ac:dyDescent="0.35">
      <c r="B76" s="50" t="s">
        <v>262</v>
      </c>
      <c r="C76" s="121"/>
      <c r="D76" s="121"/>
      <c r="E76" s="121"/>
      <c r="F76" s="121"/>
    </row>
    <row r="77" spans="2:7" ht="21.75" customHeight="1" x14ac:dyDescent="0.35">
      <c r="B77" s="46" t="s">
        <v>263</v>
      </c>
      <c r="C77" s="119"/>
      <c r="D77" s="119"/>
      <c r="E77" s="119"/>
      <c r="F77" s="119"/>
    </row>
    <row r="78" spans="2:7" ht="21.75" customHeight="1" x14ac:dyDescent="0.35">
      <c r="B78" s="50" t="s">
        <v>264</v>
      </c>
      <c r="C78" s="121"/>
      <c r="D78" s="121"/>
      <c r="E78" s="121"/>
      <c r="F78" s="121"/>
    </row>
    <row r="79" spans="2:7" ht="21.75" customHeight="1" x14ac:dyDescent="0.35">
      <c r="B79" s="46" t="s">
        <v>265</v>
      </c>
      <c r="C79" s="119"/>
      <c r="D79" s="119"/>
      <c r="E79" s="119"/>
      <c r="F79" s="119"/>
    </row>
    <row r="81" spans="2:7" ht="24" customHeight="1" x14ac:dyDescent="0.35">
      <c r="B81" s="19" t="s">
        <v>266</v>
      </c>
      <c r="C81" s="19"/>
      <c r="D81" s="19"/>
      <c r="E81" s="19"/>
      <c r="F81" s="19"/>
      <c r="G81" s="19"/>
    </row>
    <row r="82" spans="2:7" ht="27.75" customHeight="1" x14ac:dyDescent="0.35">
      <c r="B82" s="20" t="s">
        <v>138</v>
      </c>
      <c r="C82" s="20" t="s">
        <v>267</v>
      </c>
      <c r="D82" s="20" t="s">
        <v>268</v>
      </c>
      <c r="E82" s="20" t="s">
        <v>269</v>
      </c>
      <c r="F82" s="20" t="s">
        <v>270</v>
      </c>
      <c r="G82" s="20" t="s">
        <v>271</v>
      </c>
    </row>
    <row r="83" spans="2:7" ht="25.5" customHeight="1" x14ac:dyDescent="0.35">
      <c r="B83" s="123" t="s">
        <v>272</v>
      </c>
      <c r="C83" s="61"/>
      <c r="D83" s="46" t="s">
        <v>273</v>
      </c>
      <c r="E83" s="124"/>
      <c r="F83" s="78"/>
      <c r="G83" s="18"/>
    </row>
    <row r="84" spans="2:7" ht="25.5" customHeight="1" x14ac:dyDescent="0.35">
      <c r="B84" s="125" t="s">
        <v>274</v>
      </c>
      <c r="C84" s="61"/>
      <c r="D84" s="50" t="s">
        <v>275</v>
      </c>
      <c r="E84" s="124"/>
      <c r="F84" s="78"/>
      <c r="G84" s="18"/>
    </row>
    <row r="85" spans="2:7" ht="25.5" customHeight="1" x14ac:dyDescent="0.35">
      <c r="B85" s="123" t="s">
        <v>276</v>
      </c>
      <c r="C85" s="61"/>
      <c r="D85" s="46" t="s">
        <v>277</v>
      </c>
      <c r="E85" s="124"/>
      <c r="F85" s="78"/>
      <c r="G85" s="18"/>
    </row>
    <row r="86" spans="2:7" ht="25.5" customHeight="1" x14ac:dyDescent="0.35">
      <c r="B86" s="125" t="s">
        <v>278</v>
      </c>
      <c r="C86" s="61"/>
      <c r="D86" s="50" t="s">
        <v>279</v>
      </c>
      <c r="E86" s="124"/>
      <c r="F86" s="78"/>
      <c r="G86" s="18"/>
    </row>
    <row r="87" spans="2:7" ht="25.5" customHeight="1" x14ac:dyDescent="0.35">
      <c r="B87" s="123" t="s">
        <v>280</v>
      </c>
      <c r="C87" s="61"/>
      <c r="D87" s="46" t="s">
        <v>281</v>
      </c>
      <c r="E87" s="124"/>
      <c r="F87" s="78"/>
      <c r="G87" s="18"/>
    </row>
    <row r="88" spans="2:7" ht="25.5" customHeight="1" x14ac:dyDescent="0.35">
      <c r="B88" s="125" t="s">
        <v>282</v>
      </c>
      <c r="C88" s="61"/>
      <c r="D88" s="50" t="s">
        <v>283</v>
      </c>
      <c r="E88" s="124"/>
      <c r="F88" s="78"/>
      <c r="G88" s="18"/>
    </row>
    <row r="89" spans="2:7" ht="25.5" customHeight="1" x14ac:dyDescent="0.35">
      <c r="B89" s="123" t="s">
        <v>284</v>
      </c>
      <c r="C89" s="61"/>
      <c r="D89" s="46" t="s">
        <v>285</v>
      </c>
      <c r="E89" s="124"/>
      <c r="F89" s="78"/>
      <c r="G89" s="18"/>
    </row>
    <row r="91" spans="2:7" ht="24" customHeight="1" x14ac:dyDescent="0.35">
      <c r="B91" s="19" t="s">
        <v>286</v>
      </c>
      <c r="C91" s="19"/>
      <c r="D91" s="19"/>
      <c r="E91" s="19"/>
      <c r="F91" s="19"/>
      <c r="G91" s="19"/>
    </row>
    <row r="92" spans="2:7" ht="21.75" customHeight="1" x14ac:dyDescent="0.35">
      <c r="B92" s="20" t="s">
        <v>287</v>
      </c>
      <c r="C92" s="20" t="s">
        <v>288</v>
      </c>
    </row>
    <row r="93" spans="2:7" ht="21.75" customHeight="1" x14ac:dyDescent="0.35">
      <c r="B93" s="44" t="s">
        <v>289</v>
      </c>
      <c r="C93" s="126"/>
      <c r="D93" s="126"/>
      <c r="E93" s="126"/>
      <c r="F93" s="126"/>
      <c r="G93" s="126"/>
    </row>
    <row r="94" spans="2:7" ht="21.75" customHeight="1" x14ac:dyDescent="0.35">
      <c r="B94" s="48" t="s">
        <v>290</v>
      </c>
      <c r="C94" s="126"/>
      <c r="D94" s="126"/>
      <c r="E94" s="126"/>
      <c r="F94" s="126"/>
      <c r="G94" s="126"/>
    </row>
    <row r="95" spans="2:7" ht="21.75" customHeight="1" x14ac:dyDescent="0.35">
      <c r="B95" s="44" t="s">
        <v>291</v>
      </c>
      <c r="C95" s="126"/>
      <c r="D95" s="126"/>
      <c r="E95" s="126"/>
      <c r="F95" s="126"/>
      <c r="G95" s="126"/>
    </row>
    <row r="96" spans="2:7" ht="21.75" customHeight="1" x14ac:dyDescent="0.35">
      <c r="B96" s="48" t="s">
        <v>292</v>
      </c>
      <c r="C96" s="126"/>
      <c r="D96" s="126"/>
      <c r="E96" s="126"/>
      <c r="F96" s="126"/>
      <c r="G96" s="126"/>
    </row>
    <row r="97" spans="2:7" ht="21.75" customHeight="1" x14ac:dyDescent="0.35">
      <c r="B97" s="44" t="s">
        <v>293</v>
      </c>
      <c r="C97" s="126"/>
      <c r="D97" s="126"/>
      <c r="E97" s="126"/>
      <c r="F97" s="126"/>
      <c r="G97" s="126"/>
    </row>
    <row r="98" spans="2:7" ht="21.75" customHeight="1" x14ac:dyDescent="0.35">
      <c r="B98" s="48" t="s">
        <v>294</v>
      </c>
      <c r="C98" s="126"/>
      <c r="D98" s="126"/>
      <c r="E98" s="126"/>
      <c r="F98" s="126"/>
      <c r="G98" s="126"/>
    </row>
    <row r="99" spans="2:7" ht="21.75" customHeight="1" x14ac:dyDescent="0.35">
      <c r="B99" s="44" t="s">
        <v>295</v>
      </c>
      <c r="C99" s="126"/>
      <c r="D99" s="126"/>
      <c r="E99" s="126"/>
      <c r="F99" s="126"/>
      <c r="G99" s="126"/>
    </row>
    <row r="101" spans="2:7" ht="24" customHeight="1" x14ac:dyDescent="0.35">
      <c r="B101" s="19" t="s">
        <v>296</v>
      </c>
      <c r="C101" s="19"/>
      <c r="D101" s="19"/>
      <c r="E101" s="19"/>
      <c r="F101" s="19"/>
      <c r="G101" s="19"/>
    </row>
    <row r="102" spans="2:7" ht="21.75" customHeight="1" x14ac:dyDescent="0.35">
      <c r="B102" s="20" t="s">
        <v>297</v>
      </c>
      <c r="C102" s="20" t="s">
        <v>298</v>
      </c>
      <c r="D102" s="20" t="s">
        <v>299</v>
      </c>
      <c r="E102" s="20" t="s">
        <v>300</v>
      </c>
      <c r="F102" s="20" t="s">
        <v>301</v>
      </c>
    </row>
    <row r="103" spans="2:7" ht="21.75" customHeight="1" x14ac:dyDescent="0.35">
      <c r="B103" s="118" t="s">
        <v>302</v>
      </c>
      <c r="C103" s="119"/>
      <c r="D103" s="119"/>
      <c r="E103" s="46"/>
      <c r="F103" s="119"/>
    </row>
    <row r="104" spans="2:7" ht="21.75" customHeight="1" x14ac:dyDescent="0.35">
      <c r="B104" s="120" t="s">
        <v>303</v>
      </c>
      <c r="C104" s="121"/>
      <c r="D104" s="121"/>
      <c r="E104" s="50"/>
      <c r="F104" s="121"/>
    </row>
    <row r="105" spans="2:7" ht="21.75" customHeight="1" x14ac:dyDescent="0.35">
      <c r="B105" s="118" t="s">
        <v>304</v>
      </c>
      <c r="C105" s="119"/>
      <c r="D105" s="119"/>
      <c r="E105" s="46"/>
      <c r="F105" s="119"/>
    </row>
    <row r="106" spans="2:7" ht="21.75" customHeight="1" x14ac:dyDescent="0.35">
      <c r="B106" s="120" t="s">
        <v>305</v>
      </c>
      <c r="C106" s="121"/>
      <c r="D106" s="121"/>
      <c r="E106" s="50"/>
      <c r="F106" s="121"/>
    </row>
    <row r="107" spans="2:7" ht="21.75" customHeight="1" x14ac:dyDescent="0.35">
      <c r="B107" s="118" t="s">
        <v>306</v>
      </c>
      <c r="C107" s="119"/>
      <c r="D107" s="119"/>
      <c r="E107" s="46"/>
      <c r="F107" s="119"/>
    </row>
    <row r="108" spans="2:7" ht="21.75" customHeight="1" x14ac:dyDescent="0.35">
      <c r="B108" s="120" t="s">
        <v>307</v>
      </c>
      <c r="C108" s="121"/>
      <c r="D108" s="121"/>
      <c r="E108" s="50"/>
      <c r="F108" s="121"/>
    </row>
    <row r="109" spans="2:7" ht="21.75" customHeight="1" x14ac:dyDescent="0.35">
      <c r="B109" s="118" t="s">
        <v>308</v>
      </c>
      <c r="C109" s="119"/>
      <c r="D109" s="119"/>
      <c r="E109" s="46"/>
      <c r="F109" s="119"/>
    </row>
    <row r="110" spans="2:7" ht="21.75" customHeight="1" x14ac:dyDescent="0.35">
      <c r="B110" s="120" t="s">
        <v>309</v>
      </c>
      <c r="C110" s="121"/>
      <c r="D110" s="121"/>
      <c r="E110" s="50"/>
      <c r="F110" s="121"/>
    </row>
    <row r="111" spans="2:7" ht="21.75" customHeight="1" x14ac:dyDescent="0.35">
      <c r="B111" s="118" t="s">
        <v>310</v>
      </c>
      <c r="C111" s="119"/>
      <c r="D111" s="119"/>
      <c r="E111" s="46"/>
      <c r="F111" s="119"/>
    </row>
    <row r="112" spans="2:7" ht="21.75" customHeight="1" x14ac:dyDescent="0.35">
      <c r="B112" s="120" t="s">
        <v>311</v>
      </c>
      <c r="C112" s="121"/>
      <c r="D112" s="121"/>
      <c r="E112" s="50"/>
      <c r="F112" s="121"/>
    </row>
    <row r="114" spans="2:7" ht="24" customHeight="1" x14ac:dyDescent="0.35">
      <c r="B114" s="19" t="s">
        <v>312</v>
      </c>
      <c r="C114" s="19"/>
      <c r="D114" s="19"/>
      <c r="E114" s="19"/>
      <c r="F114" s="19"/>
      <c r="G114" s="19"/>
    </row>
    <row r="115" spans="2:7" ht="21.75" customHeight="1" x14ac:dyDescent="0.35">
      <c r="B115" s="20" t="s">
        <v>313</v>
      </c>
      <c r="C115" s="20" t="s">
        <v>314</v>
      </c>
    </row>
    <row r="116" spans="2:7" ht="21.75" customHeight="1" x14ac:dyDescent="0.35">
      <c r="B116" s="44" t="s">
        <v>315</v>
      </c>
      <c r="C116" s="126"/>
      <c r="D116" s="126"/>
      <c r="E116" s="126"/>
      <c r="F116" s="126"/>
      <c r="G116" s="126"/>
    </row>
    <row r="117" spans="2:7" ht="21.75" customHeight="1" x14ac:dyDescent="0.35">
      <c r="B117" s="48" t="s">
        <v>316</v>
      </c>
      <c r="C117" s="126"/>
      <c r="D117" s="126"/>
      <c r="E117" s="126"/>
      <c r="F117" s="126"/>
      <c r="G117" s="126"/>
    </row>
    <row r="118" spans="2:7" ht="21.75" customHeight="1" x14ac:dyDescent="0.35">
      <c r="B118" s="44" t="s">
        <v>317</v>
      </c>
      <c r="C118" s="126"/>
      <c r="D118" s="126"/>
      <c r="E118" s="126"/>
      <c r="F118" s="126"/>
      <c r="G118" s="126"/>
    </row>
    <row r="119" spans="2:7" ht="21.75" customHeight="1" x14ac:dyDescent="0.35">
      <c r="B119" s="48" t="s">
        <v>318</v>
      </c>
      <c r="C119" s="126"/>
      <c r="D119" s="126"/>
      <c r="E119" s="126"/>
      <c r="F119" s="126"/>
      <c r="G119" s="126"/>
    </row>
    <row r="120" spans="2:7" ht="21.75" customHeight="1" x14ac:dyDescent="0.35">
      <c r="B120" s="44" t="s">
        <v>319</v>
      </c>
      <c r="C120" s="126"/>
      <c r="D120" s="126"/>
      <c r="E120" s="126"/>
      <c r="F120" s="126"/>
      <c r="G120" s="126"/>
    </row>
    <row r="121" spans="2:7" ht="21.75" customHeight="1" x14ac:dyDescent="0.35">
      <c r="B121" s="48" t="s">
        <v>320</v>
      </c>
      <c r="C121" s="126"/>
      <c r="D121" s="126"/>
      <c r="E121" s="126"/>
      <c r="F121" s="126"/>
      <c r="G121" s="126"/>
    </row>
    <row r="122" spans="2:7" ht="21.75" customHeight="1" x14ac:dyDescent="0.35">
      <c r="B122" s="44" t="s">
        <v>321</v>
      </c>
      <c r="C122" s="126"/>
      <c r="D122" s="126"/>
      <c r="E122" s="126"/>
      <c r="F122" s="126"/>
      <c r="G122" s="126"/>
    </row>
    <row r="124" spans="2:7" ht="24" customHeight="1" x14ac:dyDescent="0.35">
      <c r="B124" s="19" t="s">
        <v>322</v>
      </c>
      <c r="C124" s="19"/>
      <c r="D124" s="19"/>
      <c r="E124" s="19"/>
      <c r="F124" s="19"/>
      <c r="G124" s="19"/>
    </row>
    <row r="125" spans="2:7" ht="21.75" customHeight="1" x14ac:dyDescent="0.35">
      <c r="B125" s="20" t="s">
        <v>323</v>
      </c>
      <c r="C125" s="20" t="s">
        <v>324</v>
      </c>
    </row>
    <row r="126" spans="2:7" ht="30" customHeight="1" x14ac:dyDescent="0.35">
      <c r="B126" s="127" t="s">
        <v>325</v>
      </c>
      <c r="C126" s="126"/>
      <c r="D126" s="126"/>
      <c r="E126" s="126"/>
      <c r="F126" s="126"/>
      <c r="G126" s="126"/>
    </row>
    <row r="127" spans="2:7" ht="30" customHeight="1" x14ac:dyDescent="0.35">
      <c r="B127" s="128" t="s">
        <v>326</v>
      </c>
      <c r="C127" s="126"/>
      <c r="D127" s="126"/>
      <c r="E127" s="126"/>
      <c r="F127" s="126"/>
      <c r="G127" s="126"/>
    </row>
    <row r="128" spans="2:7" ht="30" customHeight="1" x14ac:dyDescent="0.35">
      <c r="B128" s="127" t="s">
        <v>327</v>
      </c>
      <c r="C128" s="126"/>
      <c r="D128" s="126"/>
      <c r="E128" s="126"/>
      <c r="F128" s="126"/>
      <c r="G128" s="126"/>
    </row>
    <row r="129" spans="2:7" ht="30" customHeight="1" x14ac:dyDescent="0.35">
      <c r="B129" s="128" t="s">
        <v>328</v>
      </c>
      <c r="C129" s="126"/>
      <c r="D129" s="126"/>
      <c r="E129" s="126"/>
      <c r="F129" s="126"/>
      <c r="G129" s="126"/>
    </row>
    <row r="130" spans="2:7" ht="30" customHeight="1" x14ac:dyDescent="0.35">
      <c r="B130" s="127" t="s">
        <v>329</v>
      </c>
      <c r="C130" s="126"/>
      <c r="D130" s="126"/>
      <c r="E130" s="126"/>
      <c r="F130" s="126"/>
      <c r="G130" s="126"/>
    </row>
    <row r="131" spans="2:7" ht="30" customHeight="1" x14ac:dyDescent="0.35">
      <c r="B131" s="128" t="s">
        <v>330</v>
      </c>
      <c r="C131" s="126"/>
      <c r="D131" s="126"/>
      <c r="E131" s="126"/>
      <c r="F131" s="126"/>
      <c r="G131" s="126"/>
    </row>
    <row r="132" spans="2:7" ht="30" customHeight="1" x14ac:dyDescent="0.35">
      <c r="B132" s="127" t="s">
        <v>331</v>
      </c>
      <c r="C132" s="126"/>
      <c r="D132" s="126"/>
      <c r="E132" s="126"/>
      <c r="F132" s="126"/>
      <c r="G132" s="126"/>
    </row>
  </sheetData>
  <mergeCells count="46">
    <mergeCell ref="C132:G132"/>
    <mergeCell ref="C127:G127"/>
    <mergeCell ref="C128:G128"/>
    <mergeCell ref="C129:G129"/>
    <mergeCell ref="C130:G130"/>
    <mergeCell ref="C131:G131"/>
    <mergeCell ref="C120:G120"/>
    <mergeCell ref="C121:G121"/>
    <mergeCell ref="C122:G122"/>
    <mergeCell ref="B124:G124"/>
    <mergeCell ref="C126:G126"/>
    <mergeCell ref="B114:G114"/>
    <mergeCell ref="C116:G116"/>
    <mergeCell ref="C117:G117"/>
    <mergeCell ref="C118:G118"/>
    <mergeCell ref="C119:G119"/>
    <mergeCell ref="C96:G96"/>
    <mergeCell ref="C97:G97"/>
    <mergeCell ref="C98:G98"/>
    <mergeCell ref="C99:G99"/>
    <mergeCell ref="B101:G101"/>
    <mergeCell ref="B81:G81"/>
    <mergeCell ref="B91:G91"/>
    <mergeCell ref="C93:G93"/>
    <mergeCell ref="C94:G94"/>
    <mergeCell ref="C95:G95"/>
    <mergeCell ref="B39:G39"/>
    <mergeCell ref="B43:C43"/>
    <mergeCell ref="B45:G45"/>
    <mergeCell ref="B60:G60"/>
    <mergeCell ref="B71:G71"/>
    <mergeCell ref="C13:E13"/>
    <mergeCell ref="B16:G16"/>
    <mergeCell ref="B18:G18"/>
    <mergeCell ref="B25:G25"/>
    <mergeCell ref="B34:G34"/>
    <mergeCell ref="C8:E8"/>
    <mergeCell ref="C9:E9"/>
    <mergeCell ref="C10:E10"/>
    <mergeCell ref="C11:E11"/>
    <mergeCell ref="C12:E12"/>
    <mergeCell ref="B2:G2"/>
    <mergeCell ref="B4:G4"/>
    <mergeCell ref="C5:E5"/>
    <mergeCell ref="C6:E6"/>
    <mergeCell ref="C7:E7"/>
  </mergeCells>
  <dataValidations count="2">
    <dataValidation type="list" allowBlank="1" sqref="G19:G23 G26:G32 G35:G37 G40:G41" xr:uid="{00000000-0002-0000-0700-000003000000}">
      <formula1>"Alta,Media,Baja,Sin mejora"</formula1>
      <formula2>0</formula2>
    </dataValidation>
    <dataValidation type="list" allowBlank="1" sqref="C83:C89" xr:uid="{00000000-0002-0000-0700-000004000000}">
      <formula1>"Sí,No,Parcial"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700-000000000000}">
          <x14:formula1>
            <xm:f>Listas!$H$5:$H$9</xm:f>
          </x14:formula1>
          <x14:formula2>
            <xm:f>0</xm:f>
          </x14:formula2>
          <xm:sqref>C12</xm:sqref>
        </x14:dataValidation>
        <x14:dataValidation type="list" allowBlank="1" xr:uid="{00000000-0002-0000-0700-000001000000}">
          <x14:formula1>
            <xm:f>Listas!$D$5:$D$10</xm:f>
          </x14:formula1>
          <x14:formula2>
            <xm:f>0</xm:f>
          </x14:formula2>
          <xm:sqref>C14</xm:sqref>
        </x14:dataValidation>
        <x14:dataValidation type="list" allowBlank="1" xr:uid="{00000000-0002-0000-0700-000002000000}">
          <x14:formula1>
            <xm:f>Listas!$B$5:$B$8</xm:f>
          </x14:formula1>
          <x14:formula2>
            <xm:f>0</xm:f>
          </x14:formula2>
          <xm:sqref>D19:D23 D26:D32 D35:D37 D40:D41</xm:sqref>
        </x14:dataValidation>
        <x14:dataValidation type="list" allowBlank="1" xr:uid="{00000000-0002-0000-0700-000005000000}">
          <x14:formula1>
            <xm:f>Listas!$F$5:$F$7</xm:f>
          </x14:formula1>
          <x14:formula2>
            <xm:f>0</xm:f>
          </x14:formula2>
          <xm:sqref>F83:F89</xm:sqref>
        </x14:dataValidation>
        <x14:dataValidation type="list" allowBlank="1" xr:uid="{00000000-0002-0000-0700-000006000000}">
          <x14:formula1>
            <xm:f>Listas!$L$5:$L$7</xm:f>
          </x14:formula1>
          <x14:formula2>
            <xm:f>0</xm:f>
          </x14:formula2>
          <xm:sqref>C130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7A4D"/>
  </sheetPr>
  <dimension ref="B1:G132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3" sqref="D3"/>
    </sheetView>
  </sheetViews>
  <sheetFormatPr baseColWidth="10" defaultColWidth="8.6328125" defaultRowHeight="14.5" x14ac:dyDescent="0.35"/>
  <cols>
    <col min="1" max="1" width="3" style="1" customWidth="1"/>
    <col min="2" max="2" width="22.08984375" style="1" customWidth="1"/>
    <col min="3" max="3" width="36" style="1" customWidth="1"/>
    <col min="4" max="4" width="14" style="1" customWidth="1"/>
    <col min="5" max="5" width="40" style="1" customWidth="1"/>
    <col min="6" max="6" width="14" style="1" customWidth="1"/>
    <col min="7" max="7" width="20" style="1" customWidth="1"/>
    <col min="8" max="16384" width="8.6328125" style="1"/>
  </cols>
  <sheetData>
    <row r="1" spans="2:7" ht="7.5" customHeight="1" x14ac:dyDescent="0.35"/>
    <row r="2" spans="2:7" ht="30" customHeight="1" x14ac:dyDescent="0.35">
      <c r="B2" s="107" t="s">
        <v>334</v>
      </c>
      <c r="C2" s="107"/>
      <c r="D2" s="107"/>
      <c r="E2" s="107"/>
      <c r="F2" s="107"/>
      <c r="G2" s="107"/>
    </row>
    <row r="4" spans="2:7" ht="24" customHeight="1" x14ac:dyDescent="0.35">
      <c r="B4" s="19" t="s">
        <v>165</v>
      </c>
      <c r="C4" s="19"/>
      <c r="D4" s="19"/>
      <c r="E4" s="19"/>
      <c r="F4" s="19"/>
      <c r="G4" s="19"/>
    </row>
    <row r="5" spans="2:7" ht="19.5" customHeight="1" x14ac:dyDescent="0.35">
      <c r="B5" s="109" t="s">
        <v>166</v>
      </c>
      <c r="C5" s="110"/>
      <c r="D5" s="110"/>
      <c r="E5" s="110"/>
    </row>
    <row r="6" spans="2:7" ht="19.5" customHeight="1" x14ac:dyDescent="0.35">
      <c r="B6" s="109" t="s">
        <v>167</v>
      </c>
      <c r="C6" s="110"/>
      <c r="D6" s="110"/>
      <c r="E6" s="110"/>
    </row>
    <row r="7" spans="2:7" ht="19.5" customHeight="1" x14ac:dyDescent="0.35">
      <c r="B7" s="109" t="s">
        <v>168</v>
      </c>
      <c r="C7" s="110"/>
      <c r="D7" s="110"/>
      <c r="E7" s="110"/>
    </row>
    <row r="8" spans="2:7" ht="19.5" customHeight="1" x14ac:dyDescent="0.35">
      <c r="B8" s="109" t="s">
        <v>169</v>
      </c>
      <c r="C8" s="110"/>
      <c r="D8" s="110"/>
      <c r="E8" s="110"/>
    </row>
    <row r="9" spans="2:7" ht="19.5" customHeight="1" x14ac:dyDescent="0.35">
      <c r="B9" s="109" t="s">
        <v>170</v>
      </c>
      <c r="C9" s="110"/>
      <c r="D9" s="110"/>
      <c r="E9" s="110"/>
    </row>
    <row r="10" spans="2:7" ht="19.5" customHeight="1" x14ac:dyDescent="0.35">
      <c r="B10" s="109" t="s">
        <v>171</v>
      </c>
      <c r="C10" s="110"/>
      <c r="D10" s="110"/>
      <c r="E10" s="110"/>
    </row>
    <row r="11" spans="2:7" ht="19.5" customHeight="1" x14ac:dyDescent="0.35">
      <c r="B11" s="109" t="s">
        <v>172</v>
      </c>
      <c r="C11" s="110"/>
      <c r="D11" s="110"/>
      <c r="E11" s="110"/>
    </row>
    <row r="12" spans="2:7" ht="19.5" customHeight="1" x14ac:dyDescent="0.35">
      <c r="B12" s="109" t="s">
        <v>173</v>
      </c>
      <c r="C12" s="110"/>
      <c r="D12" s="110"/>
      <c r="E12" s="110"/>
    </row>
    <row r="13" spans="2:7" ht="19.5" customHeight="1" x14ac:dyDescent="0.35">
      <c r="B13" s="109" t="s">
        <v>174</v>
      </c>
      <c r="C13" s="110"/>
      <c r="D13" s="110"/>
      <c r="E13" s="110"/>
    </row>
    <row r="14" spans="2:7" ht="19.5" customHeight="1" x14ac:dyDescent="0.35">
      <c r="B14" s="109" t="s">
        <v>175</v>
      </c>
      <c r="C14" s="111"/>
      <c r="D14" s="112" t="s">
        <v>176</v>
      </c>
    </row>
    <row r="16" spans="2:7" ht="24" customHeight="1" x14ac:dyDescent="0.35">
      <c r="B16" s="19" t="s">
        <v>177</v>
      </c>
      <c r="C16" s="19"/>
      <c r="D16" s="19"/>
      <c r="E16" s="19"/>
      <c r="F16" s="19"/>
      <c r="G16" s="19"/>
    </row>
    <row r="17" spans="2:7" ht="27.75" customHeight="1" x14ac:dyDescent="0.35">
      <c r="B17" s="20" t="s">
        <v>13</v>
      </c>
      <c r="C17" s="20" t="s">
        <v>178</v>
      </c>
      <c r="D17" s="20" t="s">
        <v>179</v>
      </c>
      <c r="E17" s="20" t="s">
        <v>180</v>
      </c>
      <c r="F17" s="20" t="s">
        <v>181</v>
      </c>
      <c r="G17" s="20" t="s">
        <v>182</v>
      </c>
    </row>
    <row r="18" spans="2:7" ht="21.75" customHeight="1" x14ac:dyDescent="0.35">
      <c r="B18" s="113" t="s">
        <v>183</v>
      </c>
      <c r="C18" s="113"/>
      <c r="D18" s="113"/>
      <c r="E18" s="113"/>
      <c r="F18" s="113"/>
      <c r="G18" s="113"/>
    </row>
    <row r="19" spans="2:7" ht="27.75" customHeight="1" x14ac:dyDescent="0.35">
      <c r="B19" s="114" t="s">
        <v>184</v>
      </c>
      <c r="C19" s="50" t="s">
        <v>185</v>
      </c>
      <c r="D19" s="61"/>
      <c r="E19" s="18"/>
      <c r="F19" s="78"/>
      <c r="G19" s="78"/>
    </row>
    <row r="20" spans="2:7" ht="27.75" customHeight="1" x14ac:dyDescent="0.35">
      <c r="B20" s="115" t="s">
        <v>186</v>
      </c>
      <c r="C20" s="46" t="s">
        <v>187</v>
      </c>
      <c r="D20" s="61"/>
      <c r="E20" s="18"/>
      <c r="F20" s="78"/>
      <c r="G20" s="78"/>
    </row>
    <row r="21" spans="2:7" ht="27.75" customHeight="1" x14ac:dyDescent="0.35">
      <c r="B21" s="114" t="s">
        <v>188</v>
      </c>
      <c r="C21" s="50" t="s">
        <v>189</v>
      </c>
      <c r="D21" s="61"/>
      <c r="E21" s="18"/>
      <c r="F21" s="78"/>
      <c r="G21" s="78"/>
    </row>
    <row r="22" spans="2:7" ht="27.75" customHeight="1" x14ac:dyDescent="0.35">
      <c r="B22" s="115" t="s">
        <v>190</v>
      </c>
      <c r="C22" s="46" t="s">
        <v>191</v>
      </c>
      <c r="D22" s="61"/>
      <c r="E22" s="18"/>
      <c r="F22" s="78"/>
      <c r="G22" s="78"/>
    </row>
    <row r="23" spans="2:7" ht="27.75" customHeight="1" x14ac:dyDescent="0.35">
      <c r="B23" s="114" t="s">
        <v>192</v>
      </c>
      <c r="C23" s="50" t="s">
        <v>193</v>
      </c>
      <c r="D23" s="61"/>
      <c r="E23" s="18"/>
      <c r="F23" s="78"/>
      <c r="G23" s="78"/>
    </row>
    <row r="25" spans="2:7" ht="21.75" customHeight="1" x14ac:dyDescent="0.35">
      <c r="B25" s="113" t="s">
        <v>194</v>
      </c>
      <c r="C25" s="113"/>
      <c r="D25" s="113"/>
      <c r="E25" s="113"/>
      <c r="F25" s="113"/>
      <c r="G25" s="113"/>
    </row>
    <row r="26" spans="2:7" ht="27.75" customHeight="1" x14ac:dyDescent="0.35">
      <c r="B26" s="115" t="s">
        <v>195</v>
      </c>
      <c r="C26" s="46" t="s">
        <v>196</v>
      </c>
      <c r="D26" s="61"/>
      <c r="E26" s="18"/>
      <c r="F26" s="78"/>
      <c r="G26" s="78"/>
    </row>
    <row r="27" spans="2:7" ht="27.75" customHeight="1" x14ac:dyDescent="0.35">
      <c r="B27" s="114" t="s">
        <v>197</v>
      </c>
      <c r="C27" s="50" t="s">
        <v>198</v>
      </c>
      <c r="D27" s="61"/>
      <c r="E27" s="18"/>
      <c r="F27" s="78"/>
      <c r="G27" s="78"/>
    </row>
    <row r="28" spans="2:7" ht="27.75" customHeight="1" x14ac:dyDescent="0.35">
      <c r="B28" s="115" t="s">
        <v>199</v>
      </c>
      <c r="C28" s="46" t="s">
        <v>200</v>
      </c>
      <c r="D28" s="61"/>
      <c r="E28" s="18"/>
      <c r="F28" s="78"/>
      <c r="G28" s="78"/>
    </row>
    <row r="29" spans="2:7" ht="27.75" customHeight="1" x14ac:dyDescent="0.35">
      <c r="B29" s="114" t="s">
        <v>201</v>
      </c>
      <c r="C29" s="50" t="s">
        <v>202</v>
      </c>
      <c r="D29" s="61"/>
      <c r="E29" s="18"/>
      <c r="F29" s="78"/>
      <c r="G29" s="78"/>
    </row>
    <row r="30" spans="2:7" ht="27.75" customHeight="1" x14ac:dyDescent="0.35">
      <c r="B30" s="115" t="s">
        <v>203</v>
      </c>
      <c r="C30" s="46" t="s">
        <v>204</v>
      </c>
      <c r="D30" s="61"/>
      <c r="E30" s="18"/>
      <c r="F30" s="78"/>
      <c r="G30" s="78"/>
    </row>
    <row r="31" spans="2:7" ht="27.75" customHeight="1" x14ac:dyDescent="0.35">
      <c r="B31" s="114" t="s">
        <v>205</v>
      </c>
      <c r="C31" s="50" t="s">
        <v>206</v>
      </c>
      <c r="D31" s="61"/>
      <c r="E31" s="18"/>
      <c r="F31" s="78"/>
      <c r="G31" s="78"/>
    </row>
    <row r="32" spans="2:7" ht="27.75" customHeight="1" x14ac:dyDescent="0.35">
      <c r="B32" s="115" t="s">
        <v>207</v>
      </c>
      <c r="C32" s="46" t="s">
        <v>208</v>
      </c>
      <c r="D32" s="61"/>
      <c r="E32" s="18"/>
      <c r="F32" s="78"/>
      <c r="G32" s="78"/>
    </row>
    <row r="34" spans="2:7" ht="21.75" customHeight="1" x14ac:dyDescent="0.35">
      <c r="B34" s="113" t="s">
        <v>209</v>
      </c>
      <c r="C34" s="113"/>
      <c r="D34" s="113"/>
      <c r="E34" s="113"/>
      <c r="F34" s="113"/>
      <c r="G34" s="113"/>
    </row>
    <row r="35" spans="2:7" ht="27.75" customHeight="1" x14ac:dyDescent="0.35">
      <c r="B35" s="114" t="s">
        <v>210</v>
      </c>
      <c r="C35" s="50" t="s">
        <v>211</v>
      </c>
      <c r="D35" s="61"/>
      <c r="E35" s="18"/>
      <c r="F35" s="78"/>
      <c r="G35" s="78"/>
    </row>
    <row r="36" spans="2:7" ht="27.75" customHeight="1" x14ac:dyDescent="0.35">
      <c r="B36" s="115" t="s">
        <v>212</v>
      </c>
      <c r="C36" s="46" t="s">
        <v>213</v>
      </c>
      <c r="D36" s="61"/>
      <c r="E36" s="18"/>
      <c r="F36" s="78"/>
      <c r="G36" s="78"/>
    </row>
    <row r="37" spans="2:7" ht="27.75" customHeight="1" x14ac:dyDescent="0.35">
      <c r="B37" s="114" t="s">
        <v>214</v>
      </c>
      <c r="C37" s="50" t="s">
        <v>215</v>
      </c>
      <c r="D37" s="61"/>
      <c r="E37" s="18"/>
      <c r="F37" s="78"/>
      <c r="G37" s="78"/>
    </row>
    <row r="39" spans="2:7" ht="21.75" customHeight="1" x14ac:dyDescent="0.35">
      <c r="B39" s="113" t="s">
        <v>216</v>
      </c>
      <c r="C39" s="113"/>
      <c r="D39" s="113"/>
      <c r="E39" s="113"/>
      <c r="F39" s="113"/>
      <c r="G39" s="113"/>
    </row>
    <row r="40" spans="2:7" ht="27.75" customHeight="1" x14ac:dyDescent="0.35">
      <c r="B40" s="115" t="s">
        <v>217</v>
      </c>
      <c r="C40" s="46" t="s">
        <v>218</v>
      </c>
      <c r="D40" s="61"/>
      <c r="E40" s="18"/>
      <c r="F40" s="78"/>
      <c r="G40" s="78"/>
    </row>
    <row r="41" spans="2:7" ht="27.75" customHeight="1" x14ac:dyDescent="0.35">
      <c r="B41" s="114" t="s">
        <v>219</v>
      </c>
      <c r="C41" s="50" t="s">
        <v>220</v>
      </c>
      <c r="D41" s="61"/>
      <c r="E41" s="18"/>
      <c r="F41" s="78"/>
      <c r="G41" s="78"/>
    </row>
    <row r="43" spans="2:7" ht="27.75" customHeight="1" x14ac:dyDescent="0.35">
      <c r="B43" s="19" t="s">
        <v>221</v>
      </c>
      <c r="C43" s="19"/>
      <c r="D43" s="116">
        <f>IF(D19="Sí",1,IF(D19="Parcial",0.5,0))+IF(D20="Sí",1,IF(D20="Parcial",0.5,0))+IF(D21="Sí",1,IF(D21="Parcial",0.5,0))+IF(D22="Sí",1,IF(D22="Parcial",0.5,0))+IF(D23="Sí",1,IF(D23="Parcial",0.5,0))+IF(D26="Sí",1,IF(D26="Parcial",0.5,0))+IF(D27="Sí",1,IF(D27="Parcial",0.5,0))+IF(D28="Sí",1,IF(D28="Parcial",0.5,0))+IF(D29="Sí",1,IF(D29="Parcial",0.5,0))+IF(D30="Sí",1,IF(D30="Parcial",0.5,0))+IF(D31="Sí",1,IF(D31="Parcial",0.5,0))+IF(D32="Sí",1,IF(D32="Parcial",0.5,0))+IF(D35="Sí",1,IF(D35="Parcial",0.5,0))+IF(D36="Sí",1,IF(D36="Parcial",0.5,0))+IF(D37="Sí",1,IF(D37="Parcial",0.5,0))+IF(D40="Sí",1,IF(D40="Parcial",0.5,0))+IF(D41="Sí",1,IF(D41="Parcial",0.5,0))</f>
        <v>0</v>
      </c>
      <c r="E43" s="117">
        <f>D43/17</f>
        <v>0</v>
      </c>
    </row>
    <row r="45" spans="2:7" ht="24" customHeight="1" x14ac:dyDescent="0.35">
      <c r="B45" s="19" t="s">
        <v>222</v>
      </c>
      <c r="C45" s="19"/>
      <c r="D45" s="19"/>
      <c r="E45" s="19"/>
      <c r="F45" s="19"/>
      <c r="G45" s="19"/>
    </row>
    <row r="46" spans="2:7" ht="21.75" customHeight="1" x14ac:dyDescent="0.35">
      <c r="B46" s="20" t="s">
        <v>223</v>
      </c>
      <c r="C46" s="20" t="s">
        <v>224</v>
      </c>
      <c r="D46" s="20" t="s">
        <v>225</v>
      </c>
      <c r="E46" s="20" t="s">
        <v>226</v>
      </c>
      <c r="F46" s="20" t="s">
        <v>227</v>
      </c>
      <c r="G46" s="20" t="s">
        <v>228</v>
      </c>
    </row>
    <row r="47" spans="2:7" ht="21.75" customHeight="1" x14ac:dyDescent="0.35">
      <c r="B47" s="118" t="s">
        <v>229</v>
      </c>
      <c r="C47" s="119"/>
      <c r="D47" s="119"/>
      <c r="E47" s="119"/>
      <c r="F47" s="119"/>
      <c r="G47" s="119"/>
    </row>
    <row r="48" spans="2:7" ht="21.75" customHeight="1" x14ac:dyDescent="0.35">
      <c r="B48" s="120" t="s">
        <v>230</v>
      </c>
      <c r="C48" s="121"/>
      <c r="D48" s="121"/>
      <c r="E48" s="121"/>
      <c r="F48" s="121"/>
      <c r="G48" s="121"/>
    </row>
    <row r="49" spans="2:7" ht="21.75" customHeight="1" x14ac:dyDescent="0.35">
      <c r="B49" s="118" t="s">
        <v>231</v>
      </c>
      <c r="C49" s="119"/>
      <c r="D49" s="119"/>
      <c r="E49" s="119"/>
      <c r="F49" s="119"/>
      <c r="G49" s="119"/>
    </row>
    <row r="50" spans="2:7" ht="21.75" customHeight="1" x14ac:dyDescent="0.35">
      <c r="B50" s="120" t="s">
        <v>232</v>
      </c>
      <c r="C50" s="121"/>
      <c r="D50" s="121"/>
      <c r="E50" s="121"/>
      <c r="F50" s="121"/>
      <c r="G50" s="121"/>
    </row>
    <row r="51" spans="2:7" ht="21.75" customHeight="1" x14ac:dyDescent="0.35">
      <c r="B51" s="118" t="s">
        <v>233</v>
      </c>
      <c r="C51" s="119"/>
      <c r="D51" s="119"/>
      <c r="E51" s="119"/>
      <c r="F51" s="119"/>
      <c r="G51" s="119"/>
    </row>
    <row r="52" spans="2:7" ht="21.75" customHeight="1" x14ac:dyDescent="0.35">
      <c r="B52" s="120" t="s">
        <v>234</v>
      </c>
      <c r="C52" s="121"/>
      <c r="D52" s="121"/>
      <c r="E52" s="121"/>
      <c r="F52" s="121"/>
      <c r="G52" s="121"/>
    </row>
    <row r="53" spans="2:7" ht="21.75" customHeight="1" x14ac:dyDescent="0.35">
      <c r="B53" s="118" t="s">
        <v>235</v>
      </c>
      <c r="C53" s="119"/>
      <c r="D53" s="119"/>
      <c r="E53" s="119"/>
      <c r="F53" s="119"/>
      <c r="G53" s="119"/>
    </row>
    <row r="54" spans="2:7" ht="21.75" customHeight="1" x14ac:dyDescent="0.35">
      <c r="B54" s="120" t="s">
        <v>236</v>
      </c>
      <c r="C54" s="121"/>
      <c r="D54" s="121"/>
      <c r="E54" s="121"/>
      <c r="F54" s="121"/>
      <c r="G54" s="121"/>
    </row>
    <row r="55" spans="2:7" ht="21.75" customHeight="1" x14ac:dyDescent="0.35">
      <c r="B55" s="118" t="s">
        <v>237</v>
      </c>
      <c r="C55" s="119"/>
      <c r="D55" s="119"/>
      <c r="E55" s="119"/>
      <c r="F55" s="119"/>
      <c r="G55" s="119"/>
    </row>
    <row r="56" spans="2:7" ht="21.75" customHeight="1" x14ac:dyDescent="0.35">
      <c r="B56" s="120" t="s">
        <v>238</v>
      </c>
      <c r="C56" s="121"/>
      <c r="D56" s="121"/>
      <c r="E56" s="121"/>
      <c r="F56" s="121"/>
      <c r="G56" s="121"/>
    </row>
    <row r="57" spans="2:7" ht="21.75" customHeight="1" x14ac:dyDescent="0.35">
      <c r="B57" s="118" t="s">
        <v>239</v>
      </c>
      <c r="C57" s="119"/>
      <c r="D57" s="119"/>
      <c r="E57" s="119"/>
      <c r="F57" s="119"/>
      <c r="G57" s="119"/>
    </row>
    <row r="58" spans="2:7" ht="21.75" customHeight="1" x14ac:dyDescent="0.35">
      <c r="B58" s="120" t="s">
        <v>240</v>
      </c>
      <c r="C58" s="121"/>
      <c r="D58" s="121"/>
      <c r="E58" s="121"/>
      <c r="F58" s="121"/>
      <c r="G58" s="121"/>
    </row>
    <row r="60" spans="2:7" ht="24" customHeight="1" x14ac:dyDescent="0.35">
      <c r="B60" s="19" t="s">
        <v>241</v>
      </c>
      <c r="C60" s="19"/>
      <c r="D60" s="19"/>
      <c r="E60" s="19"/>
      <c r="F60" s="19"/>
      <c r="G60" s="19"/>
    </row>
    <row r="61" spans="2:7" ht="21.75" customHeight="1" x14ac:dyDescent="0.35">
      <c r="B61" s="20" t="s">
        <v>242</v>
      </c>
      <c r="C61" s="20" t="s">
        <v>243</v>
      </c>
      <c r="D61" s="20" t="s">
        <v>244</v>
      </c>
      <c r="E61" s="20" t="s">
        <v>245</v>
      </c>
      <c r="F61" s="20" t="s">
        <v>246</v>
      </c>
    </row>
    <row r="62" spans="2:7" ht="19.5" customHeight="1" x14ac:dyDescent="0.35">
      <c r="B62" s="118" t="s">
        <v>247</v>
      </c>
      <c r="C62" s="119"/>
      <c r="D62" s="119"/>
      <c r="E62" s="119"/>
      <c r="F62" s="119"/>
    </row>
    <row r="63" spans="2:7" ht="19.5" customHeight="1" x14ac:dyDescent="0.35">
      <c r="B63" s="120" t="s">
        <v>248</v>
      </c>
      <c r="C63" s="121"/>
      <c r="D63" s="121"/>
      <c r="E63" s="121"/>
      <c r="F63" s="121"/>
    </row>
    <row r="64" spans="2:7" ht="19.5" customHeight="1" x14ac:dyDescent="0.35">
      <c r="B64" s="118" t="s">
        <v>249</v>
      </c>
      <c r="C64" s="119"/>
      <c r="D64" s="119"/>
      <c r="E64" s="119"/>
      <c r="F64" s="119"/>
    </row>
    <row r="65" spans="2:7" ht="19.5" customHeight="1" x14ac:dyDescent="0.35">
      <c r="B65" s="120" t="s">
        <v>250</v>
      </c>
      <c r="C65" s="121"/>
      <c r="D65" s="121"/>
      <c r="E65" s="121"/>
      <c r="F65" s="121"/>
    </row>
    <row r="66" spans="2:7" ht="19.5" customHeight="1" x14ac:dyDescent="0.35">
      <c r="B66" s="118" t="s">
        <v>251</v>
      </c>
      <c r="C66" s="119"/>
      <c r="D66" s="119"/>
      <c r="E66" s="119"/>
      <c r="F66" s="119"/>
    </row>
    <row r="67" spans="2:7" ht="19.5" customHeight="1" x14ac:dyDescent="0.35">
      <c r="B67" s="120" t="s">
        <v>252</v>
      </c>
      <c r="C67" s="121"/>
      <c r="D67" s="121"/>
      <c r="E67" s="121"/>
      <c r="F67" s="121"/>
    </row>
    <row r="68" spans="2:7" ht="19.5" customHeight="1" x14ac:dyDescent="0.35">
      <c r="B68" s="118" t="s">
        <v>253</v>
      </c>
      <c r="C68" s="119"/>
      <c r="D68" s="119"/>
      <c r="E68" s="119"/>
      <c r="F68" s="119"/>
    </row>
    <row r="69" spans="2:7" ht="19.5" customHeight="1" x14ac:dyDescent="0.35">
      <c r="B69" s="120" t="s">
        <v>254</v>
      </c>
      <c r="C69" s="121"/>
      <c r="D69" s="121"/>
      <c r="E69" s="121"/>
      <c r="F69" s="121"/>
    </row>
    <row r="71" spans="2:7" ht="24" customHeight="1" x14ac:dyDescent="0.35">
      <c r="B71" s="19" t="s">
        <v>255</v>
      </c>
      <c r="C71" s="19"/>
      <c r="D71" s="19"/>
      <c r="E71" s="19"/>
      <c r="F71" s="19"/>
      <c r="G71" s="19"/>
    </row>
    <row r="72" spans="2:7" ht="21.75" customHeight="1" x14ac:dyDescent="0.35">
      <c r="B72" s="20" t="s">
        <v>256</v>
      </c>
      <c r="C72" s="20" t="s">
        <v>224</v>
      </c>
      <c r="D72" s="20" t="s">
        <v>257</v>
      </c>
      <c r="E72" s="20" t="s">
        <v>258</v>
      </c>
      <c r="F72" s="20" t="s">
        <v>246</v>
      </c>
    </row>
    <row r="73" spans="2:7" ht="21.75" customHeight="1" x14ac:dyDescent="0.35">
      <c r="B73" s="46" t="s">
        <v>259</v>
      </c>
      <c r="C73" s="119"/>
      <c r="D73" s="119"/>
      <c r="E73" s="119"/>
      <c r="F73" s="119"/>
    </row>
    <row r="74" spans="2:7" ht="21.75" customHeight="1" x14ac:dyDescent="0.35">
      <c r="B74" s="50" t="s">
        <v>260</v>
      </c>
      <c r="C74" s="121"/>
      <c r="D74" s="121"/>
      <c r="E74" s="121"/>
      <c r="F74" s="121"/>
    </row>
    <row r="75" spans="2:7" ht="21.75" customHeight="1" x14ac:dyDescent="0.35">
      <c r="B75" s="46" t="s">
        <v>261</v>
      </c>
      <c r="C75" s="119"/>
      <c r="D75" s="119"/>
      <c r="E75" s="119"/>
      <c r="F75" s="119"/>
    </row>
    <row r="76" spans="2:7" ht="21.75" customHeight="1" x14ac:dyDescent="0.35">
      <c r="B76" s="50" t="s">
        <v>262</v>
      </c>
      <c r="C76" s="121"/>
      <c r="D76" s="121"/>
      <c r="E76" s="121"/>
      <c r="F76" s="121"/>
    </row>
    <row r="77" spans="2:7" ht="21.75" customHeight="1" x14ac:dyDescent="0.35">
      <c r="B77" s="46" t="s">
        <v>263</v>
      </c>
      <c r="C77" s="119"/>
      <c r="D77" s="119"/>
      <c r="E77" s="119"/>
      <c r="F77" s="119"/>
    </row>
    <row r="78" spans="2:7" ht="21.75" customHeight="1" x14ac:dyDescent="0.35">
      <c r="B78" s="50" t="s">
        <v>264</v>
      </c>
      <c r="C78" s="121"/>
      <c r="D78" s="121"/>
      <c r="E78" s="121"/>
      <c r="F78" s="121"/>
    </row>
    <row r="79" spans="2:7" ht="21.75" customHeight="1" x14ac:dyDescent="0.35">
      <c r="B79" s="46" t="s">
        <v>265</v>
      </c>
      <c r="C79" s="119"/>
      <c r="D79" s="119"/>
      <c r="E79" s="119"/>
      <c r="F79" s="119"/>
    </row>
    <row r="81" spans="2:7" ht="24" customHeight="1" x14ac:dyDescent="0.35">
      <c r="B81" s="19" t="s">
        <v>266</v>
      </c>
      <c r="C81" s="19"/>
      <c r="D81" s="19"/>
      <c r="E81" s="19"/>
      <c r="F81" s="19"/>
      <c r="G81" s="19"/>
    </row>
    <row r="82" spans="2:7" ht="27.75" customHeight="1" x14ac:dyDescent="0.35">
      <c r="B82" s="20" t="s">
        <v>138</v>
      </c>
      <c r="C82" s="20" t="s">
        <v>267</v>
      </c>
      <c r="D82" s="20" t="s">
        <v>268</v>
      </c>
      <c r="E82" s="20" t="s">
        <v>269</v>
      </c>
      <c r="F82" s="20" t="s">
        <v>270</v>
      </c>
      <c r="G82" s="20" t="s">
        <v>271</v>
      </c>
    </row>
    <row r="83" spans="2:7" ht="25.5" customHeight="1" x14ac:dyDescent="0.35">
      <c r="B83" s="123" t="s">
        <v>272</v>
      </c>
      <c r="C83" s="61"/>
      <c r="D83" s="46" t="s">
        <v>273</v>
      </c>
      <c r="E83" s="124"/>
      <c r="F83" s="78"/>
      <c r="G83" s="18"/>
    </row>
    <row r="84" spans="2:7" ht="25.5" customHeight="1" x14ac:dyDescent="0.35">
      <c r="B84" s="125" t="s">
        <v>274</v>
      </c>
      <c r="C84" s="61"/>
      <c r="D84" s="50" t="s">
        <v>275</v>
      </c>
      <c r="E84" s="124"/>
      <c r="F84" s="78"/>
      <c r="G84" s="18"/>
    </row>
    <row r="85" spans="2:7" ht="25.5" customHeight="1" x14ac:dyDescent="0.35">
      <c r="B85" s="123" t="s">
        <v>276</v>
      </c>
      <c r="C85" s="61"/>
      <c r="D85" s="46" t="s">
        <v>277</v>
      </c>
      <c r="E85" s="124"/>
      <c r="F85" s="78"/>
      <c r="G85" s="18"/>
    </row>
    <row r="86" spans="2:7" ht="25.5" customHeight="1" x14ac:dyDescent="0.35">
      <c r="B86" s="125" t="s">
        <v>278</v>
      </c>
      <c r="C86" s="61"/>
      <c r="D86" s="50" t="s">
        <v>279</v>
      </c>
      <c r="E86" s="124"/>
      <c r="F86" s="78"/>
      <c r="G86" s="18"/>
    </row>
    <row r="87" spans="2:7" ht="25.5" customHeight="1" x14ac:dyDescent="0.35">
      <c r="B87" s="123" t="s">
        <v>280</v>
      </c>
      <c r="C87" s="61"/>
      <c r="D87" s="46" t="s">
        <v>281</v>
      </c>
      <c r="E87" s="124"/>
      <c r="F87" s="78"/>
      <c r="G87" s="18"/>
    </row>
    <row r="88" spans="2:7" ht="25.5" customHeight="1" x14ac:dyDescent="0.35">
      <c r="B88" s="125" t="s">
        <v>282</v>
      </c>
      <c r="C88" s="61"/>
      <c r="D88" s="50" t="s">
        <v>283</v>
      </c>
      <c r="E88" s="124"/>
      <c r="F88" s="78"/>
      <c r="G88" s="18"/>
    </row>
    <row r="89" spans="2:7" ht="25.5" customHeight="1" x14ac:dyDescent="0.35">
      <c r="B89" s="123" t="s">
        <v>284</v>
      </c>
      <c r="C89" s="61"/>
      <c r="D89" s="46" t="s">
        <v>285</v>
      </c>
      <c r="E89" s="124"/>
      <c r="F89" s="78"/>
      <c r="G89" s="18"/>
    </row>
    <row r="91" spans="2:7" ht="24" customHeight="1" x14ac:dyDescent="0.35">
      <c r="B91" s="19" t="s">
        <v>286</v>
      </c>
      <c r="C91" s="19"/>
      <c r="D91" s="19"/>
      <c r="E91" s="19"/>
      <c r="F91" s="19"/>
      <c r="G91" s="19"/>
    </row>
    <row r="92" spans="2:7" ht="21.75" customHeight="1" x14ac:dyDescent="0.35">
      <c r="B92" s="20" t="s">
        <v>287</v>
      </c>
      <c r="C92" s="20" t="s">
        <v>288</v>
      </c>
    </row>
    <row r="93" spans="2:7" ht="21.75" customHeight="1" x14ac:dyDescent="0.35">
      <c r="B93" s="44" t="s">
        <v>289</v>
      </c>
      <c r="C93" s="126"/>
      <c r="D93" s="126"/>
      <c r="E93" s="126"/>
      <c r="F93" s="126"/>
      <c r="G93" s="126"/>
    </row>
    <row r="94" spans="2:7" ht="21.75" customHeight="1" x14ac:dyDescent="0.35">
      <c r="B94" s="48" t="s">
        <v>290</v>
      </c>
      <c r="C94" s="126"/>
      <c r="D94" s="126"/>
      <c r="E94" s="126"/>
      <c r="F94" s="126"/>
      <c r="G94" s="126"/>
    </row>
    <row r="95" spans="2:7" ht="21.75" customHeight="1" x14ac:dyDescent="0.35">
      <c r="B95" s="44" t="s">
        <v>291</v>
      </c>
      <c r="C95" s="126"/>
      <c r="D95" s="126"/>
      <c r="E95" s="126"/>
      <c r="F95" s="126"/>
      <c r="G95" s="126"/>
    </row>
    <row r="96" spans="2:7" ht="21.75" customHeight="1" x14ac:dyDescent="0.35">
      <c r="B96" s="48" t="s">
        <v>292</v>
      </c>
      <c r="C96" s="126"/>
      <c r="D96" s="126"/>
      <c r="E96" s="126"/>
      <c r="F96" s="126"/>
      <c r="G96" s="126"/>
    </row>
    <row r="97" spans="2:7" ht="21.75" customHeight="1" x14ac:dyDescent="0.35">
      <c r="B97" s="44" t="s">
        <v>293</v>
      </c>
      <c r="C97" s="126"/>
      <c r="D97" s="126"/>
      <c r="E97" s="126"/>
      <c r="F97" s="126"/>
      <c r="G97" s="126"/>
    </row>
    <row r="98" spans="2:7" ht="21.75" customHeight="1" x14ac:dyDescent="0.35">
      <c r="B98" s="48" t="s">
        <v>294</v>
      </c>
      <c r="C98" s="126"/>
      <c r="D98" s="126"/>
      <c r="E98" s="126"/>
      <c r="F98" s="126"/>
      <c r="G98" s="126"/>
    </row>
    <row r="99" spans="2:7" ht="21.75" customHeight="1" x14ac:dyDescent="0.35">
      <c r="B99" s="44" t="s">
        <v>295</v>
      </c>
      <c r="C99" s="126"/>
      <c r="D99" s="126"/>
      <c r="E99" s="126"/>
      <c r="F99" s="126"/>
      <c r="G99" s="126"/>
    </row>
    <row r="101" spans="2:7" ht="24" customHeight="1" x14ac:dyDescent="0.35">
      <c r="B101" s="19" t="s">
        <v>296</v>
      </c>
      <c r="C101" s="19"/>
      <c r="D101" s="19"/>
      <c r="E101" s="19"/>
      <c r="F101" s="19"/>
      <c r="G101" s="19"/>
    </row>
    <row r="102" spans="2:7" ht="21.75" customHeight="1" x14ac:dyDescent="0.35">
      <c r="B102" s="20" t="s">
        <v>297</v>
      </c>
      <c r="C102" s="20" t="s">
        <v>298</v>
      </c>
      <c r="D102" s="20" t="s">
        <v>299</v>
      </c>
      <c r="E102" s="20" t="s">
        <v>300</v>
      </c>
      <c r="F102" s="20" t="s">
        <v>301</v>
      </c>
    </row>
    <row r="103" spans="2:7" ht="21.75" customHeight="1" x14ac:dyDescent="0.35">
      <c r="B103" s="118" t="s">
        <v>302</v>
      </c>
      <c r="C103" s="119"/>
      <c r="D103" s="119"/>
      <c r="E103" s="46"/>
      <c r="F103" s="119"/>
    </row>
    <row r="104" spans="2:7" ht="21.75" customHeight="1" x14ac:dyDescent="0.35">
      <c r="B104" s="120" t="s">
        <v>303</v>
      </c>
      <c r="C104" s="121"/>
      <c r="D104" s="121"/>
      <c r="E104" s="50"/>
      <c r="F104" s="121"/>
    </row>
    <row r="105" spans="2:7" ht="21.75" customHeight="1" x14ac:dyDescent="0.35">
      <c r="B105" s="118" t="s">
        <v>304</v>
      </c>
      <c r="C105" s="119"/>
      <c r="D105" s="119"/>
      <c r="E105" s="46"/>
      <c r="F105" s="119"/>
    </row>
    <row r="106" spans="2:7" ht="21.75" customHeight="1" x14ac:dyDescent="0.35">
      <c r="B106" s="120" t="s">
        <v>305</v>
      </c>
      <c r="C106" s="121"/>
      <c r="D106" s="121"/>
      <c r="E106" s="50"/>
      <c r="F106" s="121"/>
    </row>
    <row r="107" spans="2:7" ht="21.75" customHeight="1" x14ac:dyDescent="0.35">
      <c r="B107" s="118" t="s">
        <v>306</v>
      </c>
      <c r="C107" s="119"/>
      <c r="D107" s="119"/>
      <c r="E107" s="46"/>
      <c r="F107" s="119"/>
    </row>
    <row r="108" spans="2:7" ht="21.75" customHeight="1" x14ac:dyDescent="0.35">
      <c r="B108" s="120" t="s">
        <v>307</v>
      </c>
      <c r="C108" s="121"/>
      <c r="D108" s="121"/>
      <c r="E108" s="50"/>
      <c r="F108" s="121"/>
    </row>
    <row r="109" spans="2:7" ht="21.75" customHeight="1" x14ac:dyDescent="0.35">
      <c r="B109" s="118" t="s">
        <v>308</v>
      </c>
      <c r="C109" s="119"/>
      <c r="D109" s="119"/>
      <c r="E109" s="46"/>
      <c r="F109" s="119"/>
    </row>
    <row r="110" spans="2:7" ht="21.75" customHeight="1" x14ac:dyDescent="0.35">
      <c r="B110" s="120" t="s">
        <v>309</v>
      </c>
      <c r="C110" s="121"/>
      <c r="D110" s="121"/>
      <c r="E110" s="50"/>
      <c r="F110" s="121"/>
    </row>
    <row r="111" spans="2:7" ht="21.75" customHeight="1" x14ac:dyDescent="0.35">
      <c r="B111" s="118" t="s">
        <v>310</v>
      </c>
      <c r="C111" s="119"/>
      <c r="D111" s="119"/>
      <c r="E111" s="46"/>
      <c r="F111" s="119"/>
    </row>
    <row r="112" spans="2:7" ht="21.75" customHeight="1" x14ac:dyDescent="0.35">
      <c r="B112" s="120" t="s">
        <v>311</v>
      </c>
      <c r="C112" s="121"/>
      <c r="D112" s="121"/>
      <c r="E112" s="50"/>
      <c r="F112" s="121"/>
    </row>
    <row r="114" spans="2:7" ht="24" customHeight="1" x14ac:dyDescent="0.35">
      <c r="B114" s="19" t="s">
        <v>312</v>
      </c>
      <c r="C114" s="19"/>
      <c r="D114" s="19"/>
      <c r="E114" s="19"/>
      <c r="F114" s="19"/>
      <c r="G114" s="19"/>
    </row>
    <row r="115" spans="2:7" ht="21.75" customHeight="1" x14ac:dyDescent="0.35">
      <c r="B115" s="20" t="s">
        <v>313</v>
      </c>
      <c r="C115" s="20" t="s">
        <v>314</v>
      </c>
    </row>
    <row r="116" spans="2:7" ht="21.75" customHeight="1" x14ac:dyDescent="0.35">
      <c r="B116" s="44" t="s">
        <v>315</v>
      </c>
      <c r="C116" s="126"/>
      <c r="D116" s="126"/>
      <c r="E116" s="126"/>
      <c r="F116" s="126"/>
      <c r="G116" s="126"/>
    </row>
    <row r="117" spans="2:7" ht="21.75" customHeight="1" x14ac:dyDescent="0.35">
      <c r="B117" s="48" t="s">
        <v>316</v>
      </c>
      <c r="C117" s="126"/>
      <c r="D117" s="126"/>
      <c r="E117" s="126"/>
      <c r="F117" s="126"/>
      <c r="G117" s="126"/>
    </row>
    <row r="118" spans="2:7" ht="21.75" customHeight="1" x14ac:dyDescent="0.35">
      <c r="B118" s="44" t="s">
        <v>317</v>
      </c>
      <c r="C118" s="126"/>
      <c r="D118" s="126"/>
      <c r="E118" s="126"/>
      <c r="F118" s="126"/>
      <c r="G118" s="126"/>
    </row>
    <row r="119" spans="2:7" ht="21.75" customHeight="1" x14ac:dyDescent="0.35">
      <c r="B119" s="48" t="s">
        <v>318</v>
      </c>
      <c r="C119" s="126"/>
      <c r="D119" s="126"/>
      <c r="E119" s="126"/>
      <c r="F119" s="126"/>
      <c r="G119" s="126"/>
    </row>
    <row r="120" spans="2:7" ht="21.75" customHeight="1" x14ac:dyDescent="0.35">
      <c r="B120" s="44" t="s">
        <v>319</v>
      </c>
      <c r="C120" s="126"/>
      <c r="D120" s="126"/>
      <c r="E120" s="126"/>
      <c r="F120" s="126"/>
      <c r="G120" s="126"/>
    </row>
    <row r="121" spans="2:7" ht="21.75" customHeight="1" x14ac:dyDescent="0.35">
      <c r="B121" s="48" t="s">
        <v>320</v>
      </c>
      <c r="C121" s="126"/>
      <c r="D121" s="126"/>
      <c r="E121" s="126"/>
      <c r="F121" s="126"/>
      <c r="G121" s="126"/>
    </row>
    <row r="122" spans="2:7" ht="21.75" customHeight="1" x14ac:dyDescent="0.35">
      <c r="B122" s="44" t="s">
        <v>321</v>
      </c>
      <c r="C122" s="126"/>
      <c r="D122" s="126"/>
      <c r="E122" s="126"/>
      <c r="F122" s="126"/>
      <c r="G122" s="126"/>
    </row>
    <row r="124" spans="2:7" ht="24" customHeight="1" x14ac:dyDescent="0.35">
      <c r="B124" s="19" t="s">
        <v>322</v>
      </c>
      <c r="C124" s="19"/>
      <c r="D124" s="19"/>
      <c r="E124" s="19"/>
      <c r="F124" s="19"/>
      <c r="G124" s="19"/>
    </row>
    <row r="125" spans="2:7" ht="21.75" customHeight="1" x14ac:dyDescent="0.35">
      <c r="B125" s="20" t="s">
        <v>323</v>
      </c>
      <c r="C125" s="20" t="s">
        <v>324</v>
      </c>
    </row>
    <row r="126" spans="2:7" ht="30" customHeight="1" x14ac:dyDescent="0.35">
      <c r="B126" s="127" t="s">
        <v>325</v>
      </c>
      <c r="C126" s="126"/>
      <c r="D126" s="126"/>
      <c r="E126" s="126"/>
      <c r="F126" s="126"/>
      <c r="G126" s="126"/>
    </row>
    <row r="127" spans="2:7" ht="30" customHeight="1" x14ac:dyDescent="0.35">
      <c r="B127" s="128" t="s">
        <v>326</v>
      </c>
      <c r="C127" s="126"/>
      <c r="D127" s="126"/>
      <c r="E127" s="126"/>
      <c r="F127" s="126"/>
      <c r="G127" s="126"/>
    </row>
    <row r="128" spans="2:7" ht="30" customHeight="1" x14ac:dyDescent="0.35">
      <c r="B128" s="127" t="s">
        <v>327</v>
      </c>
      <c r="C128" s="126"/>
      <c r="D128" s="126"/>
      <c r="E128" s="126"/>
      <c r="F128" s="126"/>
      <c r="G128" s="126"/>
    </row>
    <row r="129" spans="2:7" ht="30" customHeight="1" x14ac:dyDescent="0.35">
      <c r="B129" s="128" t="s">
        <v>328</v>
      </c>
      <c r="C129" s="126"/>
      <c r="D129" s="126"/>
      <c r="E129" s="126"/>
      <c r="F129" s="126"/>
      <c r="G129" s="126"/>
    </row>
    <row r="130" spans="2:7" ht="30" customHeight="1" x14ac:dyDescent="0.35">
      <c r="B130" s="127" t="s">
        <v>329</v>
      </c>
      <c r="C130" s="126"/>
      <c r="D130" s="126"/>
      <c r="E130" s="126"/>
      <c r="F130" s="126"/>
      <c r="G130" s="126"/>
    </row>
    <row r="131" spans="2:7" ht="30" customHeight="1" x14ac:dyDescent="0.35">
      <c r="B131" s="128" t="s">
        <v>330</v>
      </c>
      <c r="C131" s="126"/>
      <c r="D131" s="126"/>
      <c r="E131" s="126"/>
      <c r="F131" s="126"/>
      <c r="G131" s="126"/>
    </row>
    <row r="132" spans="2:7" ht="30" customHeight="1" x14ac:dyDescent="0.35">
      <c r="B132" s="127" t="s">
        <v>331</v>
      </c>
      <c r="C132" s="126"/>
      <c r="D132" s="126"/>
      <c r="E132" s="126"/>
      <c r="F132" s="126"/>
      <c r="G132" s="126"/>
    </row>
  </sheetData>
  <mergeCells count="46">
    <mergeCell ref="C132:G132"/>
    <mergeCell ref="C127:G127"/>
    <mergeCell ref="C128:G128"/>
    <mergeCell ref="C129:G129"/>
    <mergeCell ref="C130:G130"/>
    <mergeCell ref="C131:G131"/>
    <mergeCell ref="C120:G120"/>
    <mergeCell ref="C121:G121"/>
    <mergeCell ref="C122:G122"/>
    <mergeCell ref="B124:G124"/>
    <mergeCell ref="C126:G126"/>
    <mergeCell ref="B114:G114"/>
    <mergeCell ref="C116:G116"/>
    <mergeCell ref="C117:G117"/>
    <mergeCell ref="C118:G118"/>
    <mergeCell ref="C119:G119"/>
    <mergeCell ref="C96:G96"/>
    <mergeCell ref="C97:G97"/>
    <mergeCell ref="C98:G98"/>
    <mergeCell ref="C99:G99"/>
    <mergeCell ref="B101:G101"/>
    <mergeCell ref="B81:G81"/>
    <mergeCell ref="B91:G91"/>
    <mergeCell ref="C93:G93"/>
    <mergeCell ref="C94:G94"/>
    <mergeCell ref="C95:G95"/>
    <mergeCell ref="B39:G39"/>
    <mergeCell ref="B43:C43"/>
    <mergeCell ref="B45:G45"/>
    <mergeCell ref="B60:G60"/>
    <mergeCell ref="B71:G71"/>
    <mergeCell ref="C13:E13"/>
    <mergeCell ref="B16:G16"/>
    <mergeCell ref="B18:G18"/>
    <mergeCell ref="B25:G25"/>
    <mergeCell ref="B34:G34"/>
    <mergeCell ref="C8:E8"/>
    <mergeCell ref="C9:E9"/>
    <mergeCell ref="C10:E10"/>
    <mergeCell ref="C11:E11"/>
    <mergeCell ref="C12:E12"/>
    <mergeCell ref="B2:G2"/>
    <mergeCell ref="B4:G4"/>
    <mergeCell ref="C5:E5"/>
    <mergeCell ref="C6:E6"/>
    <mergeCell ref="C7:E7"/>
  </mergeCells>
  <dataValidations count="2">
    <dataValidation type="list" allowBlank="1" sqref="G19:G23 G26:G32 G35:G37 G40:G41" xr:uid="{00000000-0002-0000-0800-000003000000}">
      <formula1>"Alta,Media,Baja,Sin mejora"</formula1>
      <formula2>0</formula2>
    </dataValidation>
    <dataValidation type="list" allowBlank="1" sqref="C83:C89" xr:uid="{00000000-0002-0000-0800-000004000000}">
      <formula1>"Sí,No,Parcial"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800-000000000000}">
          <x14:formula1>
            <xm:f>Listas!$H$5:$H$9</xm:f>
          </x14:formula1>
          <x14:formula2>
            <xm:f>0</xm:f>
          </x14:formula2>
          <xm:sqref>C12</xm:sqref>
        </x14:dataValidation>
        <x14:dataValidation type="list" allowBlank="1" xr:uid="{00000000-0002-0000-0800-000001000000}">
          <x14:formula1>
            <xm:f>Listas!$D$5:$D$10</xm:f>
          </x14:formula1>
          <x14:formula2>
            <xm:f>0</xm:f>
          </x14:formula2>
          <xm:sqref>C14</xm:sqref>
        </x14:dataValidation>
        <x14:dataValidation type="list" allowBlank="1" xr:uid="{00000000-0002-0000-0800-000002000000}">
          <x14:formula1>
            <xm:f>Listas!$B$5:$B$8</xm:f>
          </x14:formula1>
          <x14:formula2>
            <xm:f>0</xm:f>
          </x14:formula2>
          <xm:sqref>D19:D23 D26:D32 D35:D37 D40:D41</xm:sqref>
        </x14:dataValidation>
        <x14:dataValidation type="list" allowBlank="1" xr:uid="{00000000-0002-0000-0800-000005000000}">
          <x14:formula1>
            <xm:f>Listas!$F$5:$F$7</xm:f>
          </x14:formula1>
          <x14:formula2>
            <xm:f>0</xm:f>
          </x14:formula2>
          <xm:sqref>F83:F89</xm:sqref>
        </x14:dataValidation>
        <x14:dataValidation type="list" allowBlank="1" xr:uid="{00000000-0002-0000-0800-000006000000}">
          <x14:formula1>
            <xm:f>Listas!$L$5:$L$7</xm:f>
          </x14:formula1>
          <x14:formula2>
            <xm:f>0</xm:f>
          </x14:formula2>
          <xm:sqref>C130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D4A017"/>
  </sheetPr>
  <dimension ref="B1:G132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6" sqref="C6:E6"/>
    </sheetView>
  </sheetViews>
  <sheetFormatPr baseColWidth="10" defaultColWidth="8.6328125" defaultRowHeight="14.5" x14ac:dyDescent="0.35"/>
  <cols>
    <col min="1" max="1" width="3" style="1" customWidth="1"/>
    <col min="2" max="2" width="24" style="1" customWidth="1"/>
    <col min="3" max="3" width="36" style="1" customWidth="1"/>
    <col min="4" max="4" width="14" style="1" customWidth="1"/>
    <col min="5" max="5" width="40" style="1" customWidth="1"/>
    <col min="6" max="6" width="14" style="1" customWidth="1"/>
    <col min="7" max="7" width="20" style="1" customWidth="1"/>
    <col min="8" max="16384" width="8.6328125" style="1"/>
  </cols>
  <sheetData>
    <row r="1" spans="2:7" ht="7.5" customHeight="1" x14ac:dyDescent="0.35"/>
    <row r="2" spans="2:7" ht="30" customHeight="1" x14ac:dyDescent="0.35">
      <c r="B2" s="107" t="s">
        <v>335</v>
      </c>
      <c r="C2" s="107"/>
      <c r="D2" s="107"/>
      <c r="E2" s="107"/>
      <c r="F2" s="107"/>
      <c r="G2" s="107"/>
    </row>
    <row r="3" spans="2:7" ht="18" customHeight="1" x14ac:dyDescent="0.35">
      <c r="B3" s="108" t="s">
        <v>164</v>
      </c>
      <c r="C3" s="108"/>
      <c r="D3" s="108"/>
      <c r="E3" s="108"/>
      <c r="F3" s="108"/>
      <c r="G3" s="108"/>
    </row>
    <row r="4" spans="2:7" ht="24" customHeight="1" x14ac:dyDescent="0.35">
      <c r="B4" s="19" t="s">
        <v>165</v>
      </c>
      <c r="C4" s="19"/>
      <c r="D4" s="19"/>
      <c r="E4" s="19"/>
      <c r="F4" s="19"/>
      <c r="G4" s="19"/>
    </row>
    <row r="5" spans="2:7" ht="19.5" customHeight="1" x14ac:dyDescent="0.35">
      <c r="B5" s="109" t="s">
        <v>166</v>
      </c>
      <c r="C5" s="110"/>
      <c r="D5" s="110"/>
      <c r="E5" s="110"/>
    </row>
    <row r="6" spans="2:7" ht="19.5" customHeight="1" x14ac:dyDescent="0.35">
      <c r="B6" s="109" t="s">
        <v>167</v>
      </c>
      <c r="C6" s="110"/>
      <c r="D6" s="110"/>
      <c r="E6" s="110"/>
    </row>
    <row r="7" spans="2:7" ht="19.5" customHeight="1" x14ac:dyDescent="0.35">
      <c r="B7" s="109" t="s">
        <v>168</v>
      </c>
      <c r="C7" s="110"/>
      <c r="D7" s="110"/>
      <c r="E7" s="110"/>
    </row>
    <row r="8" spans="2:7" ht="19.5" customHeight="1" x14ac:dyDescent="0.35">
      <c r="B8" s="109" t="s">
        <v>169</v>
      </c>
      <c r="C8" s="110"/>
      <c r="D8" s="110"/>
      <c r="E8" s="110"/>
    </row>
    <row r="9" spans="2:7" ht="19.5" customHeight="1" x14ac:dyDescent="0.35">
      <c r="B9" s="109" t="s">
        <v>170</v>
      </c>
      <c r="C9" s="110"/>
      <c r="D9" s="110"/>
      <c r="E9" s="110"/>
    </row>
    <row r="10" spans="2:7" ht="19.5" customHeight="1" x14ac:dyDescent="0.35">
      <c r="B10" s="109" t="s">
        <v>171</v>
      </c>
      <c r="C10" s="110"/>
      <c r="D10" s="110"/>
      <c r="E10" s="110"/>
    </row>
    <row r="11" spans="2:7" ht="19.5" customHeight="1" x14ac:dyDescent="0.35">
      <c r="B11" s="109" t="s">
        <v>172</v>
      </c>
      <c r="C11" s="110"/>
      <c r="D11" s="110"/>
      <c r="E11" s="110"/>
    </row>
    <row r="12" spans="2:7" ht="19.5" customHeight="1" x14ac:dyDescent="0.35">
      <c r="B12" s="109" t="s">
        <v>173</v>
      </c>
      <c r="C12" s="110"/>
      <c r="D12" s="110"/>
      <c r="E12" s="110"/>
    </row>
    <row r="13" spans="2:7" ht="19.5" customHeight="1" x14ac:dyDescent="0.35">
      <c r="B13" s="109" t="s">
        <v>174</v>
      </c>
      <c r="C13" s="110"/>
      <c r="D13" s="110"/>
      <c r="E13" s="110"/>
    </row>
    <row r="14" spans="2:7" ht="19.5" customHeight="1" x14ac:dyDescent="0.35">
      <c r="B14" s="109" t="s">
        <v>175</v>
      </c>
      <c r="C14" s="111" t="s">
        <v>53</v>
      </c>
      <c r="D14" s="112" t="s">
        <v>176</v>
      </c>
    </row>
    <row r="16" spans="2:7" ht="24" customHeight="1" x14ac:dyDescent="0.35">
      <c r="B16" s="19" t="s">
        <v>177</v>
      </c>
      <c r="C16" s="19"/>
      <c r="D16" s="19"/>
      <c r="E16" s="19"/>
      <c r="F16" s="19"/>
      <c r="G16" s="19"/>
    </row>
    <row r="17" spans="2:7" ht="27.75" customHeight="1" x14ac:dyDescent="0.35">
      <c r="B17" s="20" t="s">
        <v>13</v>
      </c>
      <c r="C17" s="20" t="s">
        <v>178</v>
      </c>
      <c r="D17" s="20" t="s">
        <v>179</v>
      </c>
      <c r="E17" s="20" t="s">
        <v>180</v>
      </c>
      <c r="F17" s="20" t="s">
        <v>181</v>
      </c>
      <c r="G17" s="20" t="s">
        <v>182</v>
      </c>
    </row>
    <row r="18" spans="2:7" ht="21.75" customHeight="1" x14ac:dyDescent="0.35">
      <c r="B18" s="113" t="s">
        <v>183</v>
      </c>
      <c r="C18" s="113"/>
      <c r="D18" s="113"/>
      <c r="E18" s="113"/>
      <c r="F18" s="113"/>
      <c r="G18" s="113"/>
    </row>
    <row r="19" spans="2:7" ht="27.75" customHeight="1" x14ac:dyDescent="0.35">
      <c r="B19" s="114" t="s">
        <v>184</v>
      </c>
      <c r="C19" s="50" t="s">
        <v>185</v>
      </c>
      <c r="D19" s="61" t="s">
        <v>67</v>
      </c>
      <c r="E19" s="18"/>
      <c r="F19" s="78"/>
      <c r="G19" s="78"/>
    </row>
    <row r="20" spans="2:7" ht="27.75" customHeight="1" x14ac:dyDescent="0.35">
      <c r="B20" s="115" t="s">
        <v>186</v>
      </c>
      <c r="C20" s="46" t="s">
        <v>187</v>
      </c>
      <c r="D20" s="61" t="s">
        <v>67</v>
      </c>
      <c r="E20" s="18"/>
      <c r="F20" s="78"/>
      <c r="G20" s="78"/>
    </row>
    <row r="21" spans="2:7" ht="27.75" customHeight="1" x14ac:dyDescent="0.35">
      <c r="B21" s="114" t="s">
        <v>188</v>
      </c>
      <c r="C21" s="50" t="s">
        <v>189</v>
      </c>
      <c r="D21" s="61" t="s">
        <v>67</v>
      </c>
      <c r="E21" s="18"/>
      <c r="F21" s="78"/>
      <c r="G21" s="78"/>
    </row>
    <row r="22" spans="2:7" ht="27.75" customHeight="1" x14ac:dyDescent="0.35">
      <c r="B22" s="115" t="s">
        <v>190</v>
      </c>
      <c r="C22" s="46" t="s">
        <v>191</v>
      </c>
      <c r="D22" s="61" t="s">
        <v>70</v>
      </c>
      <c r="E22" s="18"/>
      <c r="F22" s="78"/>
      <c r="G22" s="78"/>
    </row>
    <row r="23" spans="2:7" ht="27.75" customHeight="1" x14ac:dyDescent="0.35">
      <c r="B23" s="114" t="s">
        <v>192</v>
      </c>
      <c r="C23" s="50" t="s">
        <v>193</v>
      </c>
      <c r="D23" s="61" t="s">
        <v>70</v>
      </c>
      <c r="E23" s="18"/>
      <c r="F23" s="78"/>
      <c r="G23" s="78"/>
    </row>
    <row r="25" spans="2:7" ht="21.75" customHeight="1" x14ac:dyDescent="0.35">
      <c r="B25" s="113" t="s">
        <v>194</v>
      </c>
      <c r="C25" s="113"/>
      <c r="D25" s="113"/>
      <c r="E25" s="113"/>
      <c r="F25" s="113"/>
      <c r="G25" s="113"/>
    </row>
    <row r="26" spans="2:7" ht="27.75" customHeight="1" x14ac:dyDescent="0.35">
      <c r="B26" s="115" t="s">
        <v>195</v>
      </c>
      <c r="C26" s="46" t="s">
        <v>196</v>
      </c>
      <c r="D26" s="61" t="s">
        <v>67</v>
      </c>
      <c r="E26" s="18"/>
      <c r="F26" s="78"/>
      <c r="G26" s="78"/>
    </row>
    <row r="27" spans="2:7" ht="27.75" customHeight="1" x14ac:dyDescent="0.35">
      <c r="B27" s="114" t="s">
        <v>197</v>
      </c>
      <c r="C27" s="50" t="s">
        <v>198</v>
      </c>
      <c r="D27" s="61" t="s">
        <v>67</v>
      </c>
      <c r="E27" s="18"/>
      <c r="F27" s="78"/>
      <c r="G27" s="78"/>
    </row>
    <row r="28" spans="2:7" ht="27.75" customHeight="1" x14ac:dyDescent="0.35">
      <c r="B28" s="115" t="s">
        <v>199</v>
      </c>
      <c r="C28" s="46" t="s">
        <v>200</v>
      </c>
      <c r="D28" s="61" t="s">
        <v>67</v>
      </c>
      <c r="E28" s="18"/>
      <c r="F28" s="78"/>
      <c r="G28" s="78"/>
    </row>
    <row r="29" spans="2:7" ht="27.75" customHeight="1" x14ac:dyDescent="0.35">
      <c r="B29" s="114" t="s">
        <v>201</v>
      </c>
      <c r="C29" s="50" t="s">
        <v>202</v>
      </c>
      <c r="D29" s="61" t="s">
        <v>70</v>
      </c>
      <c r="E29" s="18"/>
      <c r="F29" s="78"/>
      <c r="G29" s="78"/>
    </row>
    <row r="30" spans="2:7" ht="27.75" customHeight="1" x14ac:dyDescent="0.35">
      <c r="B30" s="115" t="s">
        <v>203</v>
      </c>
      <c r="C30" s="46" t="s">
        <v>204</v>
      </c>
      <c r="D30" s="61" t="s">
        <v>70</v>
      </c>
      <c r="E30" s="18"/>
      <c r="F30" s="78"/>
      <c r="G30" s="78"/>
    </row>
    <row r="31" spans="2:7" ht="27.75" customHeight="1" x14ac:dyDescent="0.35">
      <c r="B31" s="114" t="s">
        <v>205</v>
      </c>
      <c r="C31" s="50" t="s">
        <v>206</v>
      </c>
      <c r="D31" s="61" t="s">
        <v>70</v>
      </c>
      <c r="E31" s="18"/>
      <c r="F31" s="78"/>
      <c r="G31" s="78"/>
    </row>
    <row r="32" spans="2:7" ht="27.75" customHeight="1" x14ac:dyDescent="0.35">
      <c r="B32" s="115" t="s">
        <v>207</v>
      </c>
      <c r="C32" s="46" t="s">
        <v>208</v>
      </c>
      <c r="D32" s="61" t="s">
        <v>67</v>
      </c>
      <c r="E32" s="18"/>
      <c r="F32" s="78"/>
      <c r="G32" s="78"/>
    </row>
    <row r="34" spans="2:7" ht="21.75" customHeight="1" x14ac:dyDescent="0.35">
      <c r="B34" s="113" t="s">
        <v>209</v>
      </c>
      <c r="C34" s="113"/>
      <c r="D34" s="113"/>
      <c r="E34" s="113"/>
      <c r="F34" s="113"/>
      <c r="G34" s="113"/>
    </row>
    <row r="35" spans="2:7" ht="27.75" customHeight="1" x14ac:dyDescent="0.35">
      <c r="B35" s="114" t="s">
        <v>210</v>
      </c>
      <c r="C35" s="50" t="s">
        <v>211</v>
      </c>
      <c r="D35" s="61" t="s">
        <v>67</v>
      </c>
      <c r="E35" s="18"/>
      <c r="F35" s="78"/>
      <c r="G35" s="78"/>
    </row>
    <row r="36" spans="2:7" ht="27.75" customHeight="1" x14ac:dyDescent="0.35">
      <c r="B36" s="115" t="s">
        <v>212</v>
      </c>
      <c r="C36" s="46" t="s">
        <v>213</v>
      </c>
      <c r="D36" s="61" t="s">
        <v>67</v>
      </c>
      <c r="E36" s="18"/>
      <c r="F36" s="78"/>
      <c r="G36" s="78"/>
    </row>
    <row r="37" spans="2:7" ht="27.75" customHeight="1" x14ac:dyDescent="0.35">
      <c r="B37" s="114" t="s">
        <v>214</v>
      </c>
      <c r="C37" s="50" t="s">
        <v>215</v>
      </c>
      <c r="D37" s="61" t="s">
        <v>70</v>
      </c>
      <c r="E37" s="18"/>
      <c r="F37" s="78"/>
      <c r="G37" s="78"/>
    </row>
    <row r="39" spans="2:7" ht="21.75" customHeight="1" x14ac:dyDescent="0.35">
      <c r="B39" s="113" t="s">
        <v>216</v>
      </c>
      <c r="C39" s="113"/>
      <c r="D39" s="113"/>
      <c r="E39" s="113"/>
      <c r="F39" s="113"/>
      <c r="G39" s="113"/>
    </row>
    <row r="40" spans="2:7" ht="27.75" customHeight="1" x14ac:dyDescent="0.35">
      <c r="B40" s="115" t="s">
        <v>217</v>
      </c>
      <c r="C40" s="46" t="s">
        <v>218</v>
      </c>
      <c r="D40" s="61" t="s">
        <v>67</v>
      </c>
      <c r="E40" s="18"/>
      <c r="F40" s="78"/>
      <c r="G40" s="78"/>
    </row>
    <row r="41" spans="2:7" ht="27.75" customHeight="1" x14ac:dyDescent="0.35">
      <c r="B41" s="114" t="s">
        <v>219</v>
      </c>
      <c r="C41" s="50" t="s">
        <v>220</v>
      </c>
      <c r="D41" s="61" t="s">
        <v>70</v>
      </c>
      <c r="E41" s="18"/>
      <c r="F41" s="78"/>
      <c r="G41" s="78"/>
    </row>
    <row r="43" spans="2:7" ht="27.75" customHeight="1" x14ac:dyDescent="0.35">
      <c r="B43" s="19" t="s">
        <v>221</v>
      </c>
      <c r="C43" s="19"/>
      <c r="D43" s="116">
        <f>IF(D19="Sí",1,IF(D19="Parcial",0.5,0))+IF(D20="Sí",1,IF(D20="Parcial",0.5,0))+IF(D21="Sí",1,IF(D21="Parcial",0.5,0))+IF(D22="Sí",1,IF(D22="Parcial",0.5,0))+IF(D23="Sí",1,IF(D23="Parcial",0.5,0))+IF(D26="Sí",1,IF(D26="Parcial",0.5,0))+IF(D27="Sí",1,IF(D27="Parcial",0.5,0))+IF(D28="Sí",1,IF(D28="Parcial",0.5,0))+IF(D29="Sí",1,IF(D29="Parcial",0.5,0))+IF(D30="Sí",1,IF(D30="Parcial",0.5,0))+IF(D31="Sí",1,IF(D31="Parcial",0.5,0))+IF(D32="Sí",1,IF(D32="Parcial",0.5,0))+IF(D35="Sí",1,IF(D35="Parcial",0.5,0))+IF(D36="Sí",1,IF(D36="Parcial",0.5,0))+IF(D37="Sí",1,IF(D37="Parcial",0.5,0))+IF(D40="Sí",1,IF(D40="Parcial",0.5,0))+IF(D41="Sí",1,IF(D41="Parcial",0.5,0))</f>
        <v>13.5</v>
      </c>
      <c r="E43" s="117">
        <f>D43/17</f>
        <v>0.79411764705882348</v>
      </c>
    </row>
    <row r="45" spans="2:7" ht="24" customHeight="1" x14ac:dyDescent="0.35">
      <c r="B45" s="19" t="s">
        <v>222</v>
      </c>
      <c r="C45" s="19"/>
      <c r="D45" s="19"/>
      <c r="E45" s="19"/>
      <c r="F45" s="19"/>
      <c r="G45" s="19"/>
    </row>
    <row r="46" spans="2:7" ht="21.75" customHeight="1" x14ac:dyDescent="0.35">
      <c r="B46" s="20" t="s">
        <v>223</v>
      </c>
      <c r="C46" s="20" t="s">
        <v>224</v>
      </c>
      <c r="D46" s="20" t="s">
        <v>225</v>
      </c>
      <c r="E46" s="20" t="s">
        <v>226</v>
      </c>
      <c r="F46" s="20" t="s">
        <v>227</v>
      </c>
      <c r="G46" s="20" t="s">
        <v>228</v>
      </c>
    </row>
    <row r="47" spans="2:7" ht="21.75" customHeight="1" x14ac:dyDescent="0.35">
      <c r="B47" s="118" t="s">
        <v>229</v>
      </c>
      <c r="C47" s="119"/>
      <c r="D47" s="119"/>
      <c r="E47" s="119"/>
      <c r="F47" s="119"/>
      <c r="G47" s="119"/>
    </row>
    <row r="48" spans="2:7" ht="21.75" customHeight="1" x14ac:dyDescent="0.35">
      <c r="B48" s="120" t="s">
        <v>230</v>
      </c>
      <c r="C48" s="121"/>
      <c r="D48" s="121"/>
      <c r="E48" s="121"/>
      <c r="F48" s="121"/>
      <c r="G48" s="121"/>
    </row>
    <row r="49" spans="2:7" ht="21.75" customHeight="1" x14ac:dyDescent="0.35">
      <c r="B49" s="118" t="s">
        <v>231</v>
      </c>
      <c r="C49" s="119"/>
      <c r="D49" s="119"/>
      <c r="E49" s="119"/>
      <c r="F49" s="119"/>
      <c r="G49" s="119"/>
    </row>
    <row r="50" spans="2:7" ht="21.75" customHeight="1" x14ac:dyDescent="0.35">
      <c r="B50" s="120" t="s">
        <v>232</v>
      </c>
      <c r="C50" s="121"/>
      <c r="D50" s="121"/>
      <c r="E50" s="121"/>
      <c r="F50" s="121"/>
      <c r="G50" s="121"/>
    </row>
    <row r="51" spans="2:7" ht="21.75" customHeight="1" x14ac:dyDescent="0.35">
      <c r="B51" s="118" t="s">
        <v>233</v>
      </c>
      <c r="C51" s="122">
        <v>0.82</v>
      </c>
      <c r="D51" s="119"/>
      <c r="E51" s="119"/>
      <c r="F51" s="119"/>
      <c r="G51" s="119"/>
    </row>
    <row r="52" spans="2:7" ht="21.75" customHeight="1" x14ac:dyDescent="0.35">
      <c r="B52" s="120" t="s">
        <v>234</v>
      </c>
      <c r="C52" s="121"/>
      <c r="D52" s="121"/>
      <c r="E52" s="121"/>
      <c r="F52" s="121"/>
      <c r="G52" s="121"/>
    </row>
    <row r="53" spans="2:7" ht="21.75" customHeight="1" x14ac:dyDescent="0.35">
      <c r="B53" s="118" t="s">
        <v>235</v>
      </c>
      <c r="C53" s="122">
        <v>0.96</v>
      </c>
      <c r="D53" s="119"/>
      <c r="E53" s="119"/>
      <c r="F53" s="119"/>
      <c r="G53" s="119"/>
    </row>
    <row r="54" spans="2:7" ht="21.75" customHeight="1" x14ac:dyDescent="0.35">
      <c r="B54" s="120" t="s">
        <v>236</v>
      </c>
      <c r="C54" s="121"/>
      <c r="D54" s="121"/>
      <c r="E54" s="121"/>
      <c r="F54" s="121"/>
      <c r="G54" s="121"/>
    </row>
    <row r="55" spans="2:7" ht="21.75" customHeight="1" x14ac:dyDescent="0.35">
      <c r="B55" s="118" t="s">
        <v>237</v>
      </c>
      <c r="C55" s="119"/>
      <c r="D55" s="119"/>
      <c r="E55" s="119"/>
      <c r="F55" s="119"/>
      <c r="G55" s="119"/>
    </row>
    <row r="56" spans="2:7" ht="21.75" customHeight="1" x14ac:dyDescent="0.35">
      <c r="B56" s="120" t="s">
        <v>238</v>
      </c>
      <c r="C56" s="121"/>
      <c r="D56" s="121"/>
      <c r="E56" s="121"/>
      <c r="F56" s="121"/>
      <c r="G56" s="121"/>
    </row>
    <row r="57" spans="2:7" ht="21.75" customHeight="1" x14ac:dyDescent="0.35">
      <c r="B57" s="118" t="s">
        <v>239</v>
      </c>
      <c r="C57" s="119">
        <v>18</v>
      </c>
      <c r="D57" s="119"/>
      <c r="E57" s="119"/>
      <c r="F57" s="119"/>
      <c r="G57" s="119"/>
    </row>
    <row r="58" spans="2:7" ht="21.75" customHeight="1" x14ac:dyDescent="0.35">
      <c r="B58" s="120" t="s">
        <v>240</v>
      </c>
      <c r="C58" s="121"/>
      <c r="D58" s="121"/>
      <c r="E58" s="121"/>
      <c r="F58" s="121"/>
      <c r="G58" s="121"/>
    </row>
    <row r="60" spans="2:7" ht="24" customHeight="1" x14ac:dyDescent="0.35">
      <c r="B60" s="19" t="s">
        <v>241</v>
      </c>
      <c r="C60" s="19"/>
      <c r="D60" s="19"/>
      <c r="E60" s="19"/>
      <c r="F60" s="19"/>
      <c r="G60" s="19"/>
    </row>
    <row r="61" spans="2:7" ht="21.75" customHeight="1" x14ac:dyDescent="0.35">
      <c r="B61" s="20" t="s">
        <v>242</v>
      </c>
      <c r="C61" s="20" t="s">
        <v>243</v>
      </c>
      <c r="D61" s="20" t="s">
        <v>244</v>
      </c>
      <c r="E61" s="20" t="s">
        <v>245</v>
      </c>
      <c r="F61" s="20" t="s">
        <v>246</v>
      </c>
    </row>
    <row r="62" spans="2:7" ht="19.5" customHeight="1" x14ac:dyDescent="0.35">
      <c r="B62" s="118" t="s">
        <v>247</v>
      </c>
      <c r="C62" s="119"/>
      <c r="D62" s="119"/>
      <c r="E62" s="119"/>
      <c r="F62" s="119"/>
    </row>
    <row r="63" spans="2:7" ht="19.5" customHeight="1" x14ac:dyDescent="0.35">
      <c r="B63" s="120" t="s">
        <v>248</v>
      </c>
      <c r="C63" s="121"/>
      <c r="D63" s="121"/>
      <c r="E63" s="121"/>
      <c r="F63" s="121"/>
    </row>
    <row r="64" spans="2:7" ht="19.5" customHeight="1" x14ac:dyDescent="0.35">
      <c r="B64" s="118" t="s">
        <v>249</v>
      </c>
      <c r="C64" s="119"/>
      <c r="D64" s="119"/>
      <c r="E64" s="119"/>
      <c r="F64" s="119"/>
    </row>
    <row r="65" spans="2:7" ht="19.5" customHeight="1" x14ac:dyDescent="0.35">
      <c r="B65" s="120" t="s">
        <v>250</v>
      </c>
      <c r="C65" s="121"/>
      <c r="D65" s="121"/>
      <c r="E65" s="121"/>
      <c r="F65" s="121"/>
    </row>
    <row r="66" spans="2:7" ht="19.5" customHeight="1" x14ac:dyDescent="0.35">
      <c r="B66" s="118" t="s">
        <v>251</v>
      </c>
      <c r="C66" s="119"/>
      <c r="D66" s="119"/>
      <c r="E66" s="119"/>
      <c r="F66" s="119"/>
    </row>
    <row r="67" spans="2:7" ht="19.5" customHeight="1" x14ac:dyDescent="0.35">
      <c r="B67" s="120" t="s">
        <v>252</v>
      </c>
      <c r="C67" s="121"/>
      <c r="D67" s="121"/>
      <c r="E67" s="121"/>
      <c r="F67" s="121"/>
    </row>
    <row r="68" spans="2:7" ht="19.5" customHeight="1" x14ac:dyDescent="0.35">
      <c r="B68" s="118" t="s">
        <v>253</v>
      </c>
      <c r="C68" s="119"/>
      <c r="D68" s="119"/>
      <c r="E68" s="119"/>
      <c r="F68" s="119"/>
    </row>
    <row r="69" spans="2:7" ht="19.5" customHeight="1" x14ac:dyDescent="0.35">
      <c r="B69" s="120" t="s">
        <v>254</v>
      </c>
      <c r="C69" s="121"/>
      <c r="D69" s="121"/>
      <c r="E69" s="121"/>
      <c r="F69" s="121"/>
    </row>
    <row r="71" spans="2:7" ht="24" customHeight="1" x14ac:dyDescent="0.35">
      <c r="B71" s="19" t="s">
        <v>255</v>
      </c>
      <c r="C71" s="19"/>
      <c r="D71" s="19"/>
      <c r="E71" s="19"/>
      <c r="F71" s="19"/>
      <c r="G71" s="19"/>
    </row>
    <row r="72" spans="2:7" ht="21.75" customHeight="1" x14ac:dyDescent="0.35">
      <c r="B72" s="20" t="s">
        <v>256</v>
      </c>
      <c r="C72" s="20" t="s">
        <v>224</v>
      </c>
      <c r="D72" s="20" t="s">
        <v>257</v>
      </c>
      <c r="E72" s="20" t="s">
        <v>258</v>
      </c>
      <c r="F72" s="20" t="s">
        <v>246</v>
      </c>
    </row>
    <row r="73" spans="2:7" ht="21.75" customHeight="1" x14ac:dyDescent="0.35">
      <c r="B73" s="46" t="s">
        <v>259</v>
      </c>
      <c r="C73" s="119">
        <v>48</v>
      </c>
      <c r="D73" s="119"/>
      <c r="E73" s="119"/>
      <c r="F73" s="119"/>
    </row>
    <row r="74" spans="2:7" ht="21.75" customHeight="1" x14ac:dyDescent="0.35">
      <c r="B74" s="50" t="s">
        <v>260</v>
      </c>
      <c r="C74" s="121"/>
      <c r="D74" s="121"/>
      <c r="E74" s="121"/>
      <c r="F74" s="121"/>
    </row>
    <row r="75" spans="2:7" ht="21.75" customHeight="1" x14ac:dyDescent="0.35">
      <c r="B75" s="46" t="s">
        <v>261</v>
      </c>
      <c r="C75" s="119"/>
      <c r="D75" s="119"/>
      <c r="E75" s="119"/>
      <c r="F75" s="119"/>
    </row>
    <row r="76" spans="2:7" ht="21.75" customHeight="1" x14ac:dyDescent="0.35">
      <c r="B76" s="50" t="s">
        <v>262</v>
      </c>
      <c r="C76" s="121"/>
      <c r="D76" s="121"/>
      <c r="E76" s="121"/>
      <c r="F76" s="121"/>
    </row>
    <row r="77" spans="2:7" ht="21.75" customHeight="1" x14ac:dyDescent="0.35">
      <c r="B77" s="46" t="s">
        <v>263</v>
      </c>
      <c r="C77" s="119"/>
      <c r="D77" s="119"/>
      <c r="E77" s="119"/>
      <c r="F77" s="119"/>
    </row>
    <row r="78" spans="2:7" ht="21.75" customHeight="1" x14ac:dyDescent="0.35">
      <c r="B78" s="50" t="s">
        <v>264</v>
      </c>
      <c r="C78" s="121"/>
      <c r="D78" s="121"/>
      <c r="E78" s="121"/>
      <c r="F78" s="121"/>
    </row>
    <row r="79" spans="2:7" ht="21.75" customHeight="1" x14ac:dyDescent="0.35">
      <c r="B79" s="46" t="s">
        <v>265</v>
      </c>
      <c r="C79" s="119"/>
      <c r="D79" s="119"/>
      <c r="E79" s="119"/>
      <c r="F79" s="119"/>
    </row>
    <row r="81" spans="2:7" ht="24" customHeight="1" x14ac:dyDescent="0.35">
      <c r="B81" s="19" t="s">
        <v>266</v>
      </c>
      <c r="C81" s="19"/>
      <c r="D81" s="19"/>
      <c r="E81" s="19"/>
      <c r="F81" s="19"/>
      <c r="G81" s="19"/>
    </row>
    <row r="82" spans="2:7" ht="27.75" customHeight="1" x14ac:dyDescent="0.35">
      <c r="B82" s="20" t="s">
        <v>138</v>
      </c>
      <c r="C82" s="20" t="s">
        <v>267</v>
      </c>
      <c r="D82" s="20" t="s">
        <v>268</v>
      </c>
      <c r="E82" s="20" t="s">
        <v>269</v>
      </c>
      <c r="F82" s="20" t="s">
        <v>270</v>
      </c>
      <c r="G82" s="20" t="s">
        <v>271</v>
      </c>
    </row>
    <row r="83" spans="2:7" ht="25.5" customHeight="1" x14ac:dyDescent="0.35">
      <c r="B83" s="123" t="s">
        <v>272</v>
      </c>
      <c r="C83" s="61" t="s">
        <v>70</v>
      </c>
      <c r="D83" s="46" t="s">
        <v>273</v>
      </c>
      <c r="E83" s="124"/>
      <c r="F83" s="78"/>
      <c r="G83" s="18"/>
    </row>
    <row r="84" spans="2:7" ht="25.5" customHeight="1" x14ac:dyDescent="0.35">
      <c r="B84" s="125" t="s">
        <v>274</v>
      </c>
      <c r="C84" s="61" t="s">
        <v>74</v>
      </c>
      <c r="D84" s="50" t="s">
        <v>275</v>
      </c>
      <c r="E84" s="124"/>
      <c r="F84" s="78"/>
      <c r="G84" s="18"/>
    </row>
    <row r="85" spans="2:7" ht="25.5" customHeight="1" x14ac:dyDescent="0.35">
      <c r="B85" s="123" t="s">
        <v>276</v>
      </c>
      <c r="C85" s="61" t="s">
        <v>70</v>
      </c>
      <c r="D85" s="46" t="s">
        <v>277</v>
      </c>
      <c r="E85" s="124"/>
      <c r="F85" s="78"/>
      <c r="G85" s="18"/>
    </row>
    <row r="86" spans="2:7" ht="25.5" customHeight="1" x14ac:dyDescent="0.35">
      <c r="B86" s="125" t="s">
        <v>278</v>
      </c>
      <c r="C86" s="61" t="s">
        <v>74</v>
      </c>
      <c r="D86" s="50" t="s">
        <v>279</v>
      </c>
      <c r="E86" s="124"/>
      <c r="F86" s="78"/>
      <c r="G86" s="18"/>
    </row>
    <row r="87" spans="2:7" ht="25.5" customHeight="1" x14ac:dyDescent="0.35">
      <c r="B87" s="123" t="s">
        <v>280</v>
      </c>
      <c r="C87" s="61" t="s">
        <v>74</v>
      </c>
      <c r="D87" s="46" t="s">
        <v>281</v>
      </c>
      <c r="E87" s="124"/>
      <c r="F87" s="78"/>
      <c r="G87" s="18"/>
    </row>
    <row r="88" spans="2:7" ht="25.5" customHeight="1" x14ac:dyDescent="0.35">
      <c r="B88" s="125" t="s">
        <v>282</v>
      </c>
      <c r="C88" s="61" t="s">
        <v>74</v>
      </c>
      <c r="D88" s="50" t="s">
        <v>283</v>
      </c>
      <c r="E88" s="124"/>
      <c r="F88" s="78"/>
      <c r="G88" s="18"/>
    </row>
    <row r="89" spans="2:7" ht="25.5" customHeight="1" x14ac:dyDescent="0.35">
      <c r="B89" s="123" t="s">
        <v>284</v>
      </c>
      <c r="C89" s="61" t="s">
        <v>74</v>
      </c>
      <c r="D89" s="46" t="s">
        <v>285</v>
      </c>
      <c r="E89" s="124"/>
      <c r="F89" s="78"/>
      <c r="G89" s="18"/>
    </row>
    <row r="91" spans="2:7" ht="24" customHeight="1" x14ac:dyDescent="0.35">
      <c r="B91" s="19" t="s">
        <v>286</v>
      </c>
      <c r="C91" s="19"/>
      <c r="D91" s="19"/>
      <c r="E91" s="19"/>
      <c r="F91" s="19"/>
      <c r="G91" s="19"/>
    </row>
    <row r="92" spans="2:7" ht="21.75" customHeight="1" x14ac:dyDescent="0.35">
      <c r="B92" s="20" t="s">
        <v>287</v>
      </c>
      <c r="C92" s="20" t="s">
        <v>288</v>
      </c>
    </row>
    <row r="93" spans="2:7" ht="21.75" customHeight="1" x14ac:dyDescent="0.35">
      <c r="B93" s="44" t="s">
        <v>289</v>
      </c>
      <c r="C93" s="126"/>
      <c r="D93" s="126"/>
      <c r="E93" s="126"/>
      <c r="F93" s="126"/>
      <c r="G93" s="126"/>
    </row>
    <row r="94" spans="2:7" ht="21.75" customHeight="1" x14ac:dyDescent="0.35">
      <c r="B94" s="48" t="s">
        <v>290</v>
      </c>
      <c r="C94" s="126"/>
      <c r="D94" s="126"/>
      <c r="E94" s="126"/>
      <c r="F94" s="126"/>
      <c r="G94" s="126"/>
    </row>
    <row r="95" spans="2:7" ht="21.75" customHeight="1" x14ac:dyDescent="0.35">
      <c r="B95" s="44" t="s">
        <v>291</v>
      </c>
      <c r="C95" s="126"/>
      <c r="D95" s="126"/>
      <c r="E95" s="126"/>
      <c r="F95" s="126"/>
      <c r="G95" s="126"/>
    </row>
    <row r="96" spans="2:7" ht="21.75" customHeight="1" x14ac:dyDescent="0.35">
      <c r="B96" s="48" t="s">
        <v>292</v>
      </c>
      <c r="C96" s="126"/>
      <c r="D96" s="126"/>
      <c r="E96" s="126"/>
      <c r="F96" s="126"/>
      <c r="G96" s="126"/>
    </row>
    <row r="97" spans="2:7" ht="21.75" customHeight="1" x14ac:dyDescent="0.35">
      <c r="B97" s="44" t="s">
        <v>293</v>
      </c>
      <c r="C97" s="126"/>
      <c r="D97" s="126"/>
      <c r="E97" s="126"/>
      <c r="F97" s="126"/>
      <c r="G97" s="126"/>
    </row>
    <row r="98" spans="2:7" ht="21.75" customHeight="1" x14ac:dyDescent="0.35">
      <c r="B98" s="48" t="s">
        <v>294</v>
      </c>
      <c r="C98" s="126"/>
      <c r="D98" s="126"/>
      <c r="E98" s="126"/>
      <c r="F98" s="126"/>
      <c r="G98" s="126"/>
    </row>
    <row r="99" spans="2:7" ht="21.75" customHeight="1" x14ac:dyDescent="0.35">
      <c r="B99" s="44" t="s">
        <v>295</v>
      </c>
      <c r="C99" s="126"/>
      <c r="D99" s="126"/>
      <c r="E99" s="126"/>
      <c r="F99" s="126"/>
      <c r="G99" s="126"/>
    </row>
    <row r="101" spans="2:7" ht="24" customHeight="1" x14ac:dyDescent="0.35">
      <c r="B101" s="19" t="s">
        <v>296</v>
      </c>
      <c r="C101" s="19"/>
      <c r="D101" s="19"/>
      <c r="E101" s="19"/>
      <c r="F101" s="19"/>
      <c r="G101" s="19"/>
    </row>
    <row r="102" spans="2:7" ht="21.75" customHeight="1" x14ac:dyDescent="0.35">
      <c r="B102" s="20" t="s">
        <v>297</v>
      </c>
      <c r="C102" s="20" t="s">
        <v>298</v>
      </c>
      <c r="D102" s="20" t="s">
        <v>299</v>
      </c>
      <c r="E102" s="20" t="s">
        <v>300</v>
      </c>
      <c r="F102" s="20" t="s">
        <v>301</v>
      </c>
    </row>
    <row r="103" spans="2:7" ht="21.75" customHeight="1" x14ac:dyDescent="0.35">
      <c r="B103" s="118" t="s">
        <v>302</v>
      </c>
      <c r="C103" s="119"/>
      <c r="D103" s="119"/>
      <c r="E103" s="46"/>
      <c r="F103" s="119"/>
    </row>
    <row r="104" spans="2:7" ht="21.75" customHeight="1" x14ac:dyDescent="0.35">
      <c r="B104" s="120" t="s">
        <v>303</v>
      </c>
      <c r="C104" s="121"/>
      <c r="D104" s="121"/>
      <c r="E104" s="50"/>
      <c r="F104" s="121"/>
    </row>
    <row r="105" spans="2:7" ht="21.75" customHeight="1" x14ac:dyDescent="0.35">
      <c r="B105" s="118" t="s">
        <v>304</v>
      </c>
      <c r="C105" s="119"/>
      <c r="D105" s="119"/>
      <c r="E105" s="46"/>
      <c r="F105" s="119"/>
    </row>
    <row r="106" spans="2:7" ht="21.75" customHeight="1" x14ac:dyDescent="0.35">
      <c r="B106" s="120" t="s">
        <v>305</v>
      </c>
      <c r="C106" s="121"/>
      <c r="D106" s="121"/>
      <c r="E106" s="50"/>
      <c r="F106" s="121"/>
    </row>
    <row r="107" spans="2:7" ht="21.75" customHeight="1" x14ac:dyDescent="0.35">
      <c r="B107" s="118" t="s">
        <v>306</v>
      </c>
      <c r="C107" s="119"/>
      <c r="D107" s="119"/>
      <c r="E107" s="46"/>
      <c r="F107" s="119"/>
    </row>
    <row r="108" spans="2:7" ht="21.75" customHeight="1" x14ac:dyDescent="0.35">
      <c r="B108" s="120" t="s">
        <v>307</v>
      </c>
      <c r="C108" s="121"/>
      <c r="D108" s="121"/>
      <c r="E108" s="50"/>
      <c r="F108" s="121"/>
    </row>
    <row r="109" spans="2:7" ht="21.75" customHeight="1" x14ac:dyDescent="0.35">
      <c r="B109" s="118" t="s">
        <v>308</v>
      </c>
      <c r="C109" s="119"/>
      <c r="D109" s="119"/>
      <c r="E109" s="46"/>
      <c r="F109" s="119"/>
    </row>
    <row r="110" spans="2:7" ht="21.75" customHeight="1" x14ac:dyDescent="0.35">
      <c r="B110" s="120" t="s">
        <v>309</v>
      </c>
      <c r="C110" s="121"/>
      <c r="D110" s="121"/>
      <c r="E110" s="50"/>
      <c r="F110" s="121"/>
    </row>
    <row r="111" spans="2:7" ht="21.75" customHeight="1" x14ac:dyDescent="0.35">
      <c r="B111" s="118" t="s">
        <v>310</v>
      </c>
      <c r="C111" s="119"/>
      <c r="D111" s="119"/>
      <c r="E111" s="46"/>
      <c r="F111" s="119"/>
    </row>
    <row r="112" spans="2:7" ht="21.75" customHeight="1" x14ac:dyDescent="0.35">
      <c r="B112" s="120" t="s">
        <v>311</v>
      </c>
      <c r="C112" s="121"/>
      <c r="D112" s="121"/>
      <c r="E112" s="50"/>
      <c r="F112" s="121"/>
    </row>
    <row r="114" spans="2:7" ht="24" customHeight="1" x14ac:dyDescent="0.35">
      <c r="B114" s="19" t="s">
        <v>312</v>
      </c>
      <c r="C114" s="19"/>
      <c r="D114" s="19"/>
      <c r="E114" s="19"/>
      <c r="F114" s="19"/>
      <c r="G114" s="19"/>
    </row>
    <row r="115" spans="2:7" ht="21.75" customHeight="1" x14ac:dyDescent="0.35">
      <c r="B115" s="20" t="s">
        <v>313</v>
      </c>
      <c r="C115" s="20" t="s">
        <v>314</v>
      </c>
    </row>
    <row r="116" spans="2:7" ht="21.75" customHeight="1" x14ac:dyDescent="0.35">
      <c r="B116" s="44" t="s">
        <v>315</v>
      </c>
      <c r="C116" s="126"/>
      <c r="D116" s="126"/>
      <c r="E116" s="126"/>
      <c r="F116" s="126"/>
      <c r="G116" s="126"/>
    </row>
    <row r="117" spans="2:7" ht="21.75" customHeight="1" x14ac:dyDescent="0.35">
      <c r="B117" s="48" t="s">
        <v>316</v>
      </c>
      <c r="C117" s="126"/>
      <c r="D117" s="126"/>
      <c r="E117" s="126"/>
      <c r="F117" s="126"/>
      <c r="G117" s="126"/>
    </row>
    <row r="118" spans="2:7" ht="21.75" customHeight="1" x14ac:dyDescent="0.35">
      <c r="B118" s="44" t="s">
        <v>317</v>
      </c>
      <c r="C118" s="126"/>
      <c r="D118" s="126"/>
      <c r="E118" s="126"/>
      <c r="F118" s="126"/>
      <c r="G118" s="126"/>
    </row>
    <row r="119" spans="2:7" ht="21.75" customHeight="1" x14ac:dyDescent="0.35">
      <c r="B119" s="48" t="s">
        <v>318</v>
      </c>
      <c r="C119" s="126"/>
      <c r="D119" s="126"/>
      <c r="E119" s="126"/>
      <c r="F119" s="126"/>
      <c r="G119" s="126"/>
    </row>
    <row r="120" spans="2:7" ht="21.75" customHeight="1" x14ac:dyDescent="0.35">
      <c r="B120" s="44" t="s">
        <v>319</v>
      </c>
      <c r="C120" s="126"/>
      <c r="D120" s="126"/>
      <c r="E120" s="126"/>
      <c r="F120" s="126"/>
      <c r="G120" s="126"/>
    </row>
    <row r="121" spans="2:7" ht="21.75" customHeight="1" x14ac:dyDescent="0.35">
      <c r="B121" s="48" t="s">
        <v>320</v>
      </c>
      <c r="C121" s="126"/>
      <c r="D121" s="126"/>
      <c r="E121" s="126"/>
      <c r="F121" s="126"/>
      <c r="G121" s="126"/>
    </row>
    <row r="122" spans="2:7" ht="21.75" customHeight="1" x14ac:dyDescent="0.35">
      <c r="B122" s="44" t="s">
        <v>321</v>
      </c>
      <c r="C122" s="126"/>
      <c r="D122" s="126"/>
      <c r="E122" s="126"/>
      <c r="F122" s="126"/>
      <c r="G122" s="126"/>
    </row>
    <row r="124" spans="2:7" ht="24" customHeight="1" x14ac:dyDescent="0.35">
      <c r="B124" s="19" t="s">
        <v>322</v>
      </c>
      <c r="C124" s="19"/>
      <c r="D124" s="19"/>
      <c r="E124" s="19"/>
      <c r="F124" s="19"/>
      <c r="G124" s="19"/>
    </row>
    <row r="125" spans="2:7" ht="21.75" customHeight="1" x14ac:dyDescent="0.35">
      <c r="B125" s="20" t="s">
        <v>323</v>
      </c>
      <c r="C125" s="20" t="s">
        <v>324</v>
      </c>
    </row>
    <row r="126" spans="2:7" ht="30" customHeight="1" x14ac:dyDescent="0.35">
      <c r="B126" s="127" t="s">
        <v>325</v>
      </c>
      <c r="C126" s="126"/>
      <c r="D126" s="126"/>
      <c r="E126" s="126"/>
      <c r="F126" s="126"/>
      <c r="G126" s="126"/>
    </row>
    <row r="127" spans="2:7" ht="30" customHeight="1" x14ac:dyDescent="0.35">
      <c r="B127" s="128" t="s">
        <v>326</v>
      </c>
      <c r="C127" s="126"/>
      <c r="D127" s="126"/>
      <c r="E127" s="126"/>
      <c r="F127" s="126"/>
      <c r="G127" s="126"/>
    </row>
    <row r="128" spans="2:7" ht="30" customHeight="1" x14ac:dyDescent="0.35">
      <c r="B128" s="127" t="s">
        <v>327</v>
      </c>
      <c r="C128" s="126"/>
      <c r="D128" s="126"/>
      <c r="E128" s="126"/>
      <c r="F128" s="126"/>
      <c r="G128" s="126"/>
    </row>
    <row r="129" spans="2:7" ht="30" customHeight="1" x14ac:dyDescent="0.35">
      <c r="B129" s="128" t="s">
        <v>328</v>
      </c>
      <c r="C129" s="126"/>
      <c r="D129" s="126"/>
      <c r="E129" s="126"/>
      <c r="F129" s="126"/>
      <c r="G129" s="126"/>
    </row>
    <row r="130" spans="2:7" ht="30" customHeight="1" x14ac:dyDescent="0.35">
      <c r="B130" s="127" t="s">
        <v>329</v>
      </c>
      <c r="C130" s="126"/>
      <c r="D130" s="126"/>
      <c r="E130" s="126"/>
      <c r="F130" s="126"/>
      <c r="G130" s="126"/>
    </row>
    <row r="131" spans="2:7" ht="30" customHeight="1" x14ac:dyDescent="0.35">
      <c r="B131" s="128" t="s">
        <v>330</v>
      </c>
      <c r="C131" s="126"/>
      <c r="D131" s="126"/>
      <c r="E131" s="126"/>
      <c r="F131" s="126"/>
      <c r="G131" s="126"/>
    </row>
    <row r="132" spans="2:7" ht="30" customHeight="1" x14ac:dyDescent="0.35">
      <c r="B132" s="127" t="s">
        <v>331</v>
      </c>
      <c r="C132" s="126"/>
      <c r="D132" s="126"/>
      <c r="E132" s="126"/>
      <c r="F132" s="126"/>
      <c r="G132" s="126"/>
    </row>
  </sheetData>
  <mergeCells count="47">
    <mergeCell ref="C131:G131"/>
    <mergeCell ref="C132:G132"/>
    <mergeCell ref="C126:G126"/>
    <mergeCell ref="C127:G127"/>
    <mergeCell ref="C128:G128"/>
    <mergeCell ref="C129:G129"/>
    <mergeCell ref="C130:G130"/>
    <mergeCell ref="C119:G119"/>
    <mergeCell ref="C120:G120"/>
    <mergeCell ref="C121:G121"/>
    <mergeCell ref="C122:G122"/>
    <mergeCell ref="B124:G124"/>
    <mergeCell ref="B101:G101"/>
    <mergeCell ref="B114:G114"/>
    <mergeCell ref="C116:G116"/>
    <mergeCell ref="C117:G117"/>
    <mergeCell ref="C118:G118"/>
    <mergeCell ref="C95:G95"/>
    <mergeCell ref="C96:G96"/>
    <mergeCell ref="C97:G97"/>
    <mergeCell ref="C98:G98"/>
    <mergeCell ref="C99:G99"/>
    <mergeCell ref="B71:G71"/>
    <mergeCell ref="B81:G81"/>
    <mergeCell ref="B91:G91"/>
    <mergeCell ref="C93:G93"/>
    <mergeCell ref="C94:G94"/>
    <mergeCell ref="B34:G34"/>
    <mergeCell ref="B39:G39"/>
    <mergeCell ref="B43:C43"/>
    <mergeCell ref="B45:G45"/>
    <mergeCell ref="B60:G60"/>
    <mergeCell ref="C12:E12"/>
    <mergeCell ref="C13:E13"/>
    <mergeCell ref="B16:G16"/>
    <mergeCell ref="B18:G18"/>
    <mergeCell ref="B25:G25"/>
    <mergeCell ref="C7:E7"/>
    <mergeCell ref="C8:E8"/>
    <mergeCell ref="C9:E9"/>
    <mergeCell ref="C10:E10"/>
    <mergeCell ref="C11:E11"/>
    <mergeCell ref="B2:G2"/>
    <mergeCell ref="B3:G3"/>
    <mergeCell ref="B4:G4"/>
    <mergeCell ref="C5:E5"/>
    <mergeCell ref="C6:E6"/>
  </mergeCells>
  <dataValidations count="2">
    <dataValidation type="list" allowBlank="1" sqref="G19:G23 G26:G32 G35:G37 G40:G41" xr:uid="{00000000-0002-0000-0900-000003000000}">
      <formula1>"Alta,Media,Baja,Sin mejora"</formula1>
      <formula2>0</formula2>
    </dataValidation>
    <dataValidation type="list" allowBlank="1" sqref="C83:C89" xr:uid="{00000000-0002-0000-0900-000004000000}">
      <formula1>"Sí,No,Parcial"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900-000000000000}">
          <x14:formula1>
            <xm:f>Listas!$H$5:$H$9</xm:f>
          </x14:formula1>
          <x14:formula2>
            <xm:f>0</xm:f>
          </x14:formula2>
          <xm:sqref>C12</xm:sqref>
        </x14:dataValidation>
        <x14:dataValidation type="list" allowBlank="1" xr:uid="{00000000-0002-0000-0900-000001000000}">
          <x14:formula1>
            <xm:f>Listas!$D$5:$D$10</xm:f>
          </x14:formula1>
          <x14:formula2>
            <xm:f>0</xm:f>
          </x14:formula2>
          <xm:sqref>C14</xm:sqref>
        </x14:dataValidation>
        <x14:dataValidation type="list" allowBlank="1" xr:uid="{00000000-0002-0000-0900-000002000000}">
          <x14:formula1>
            <xm:f>Listas!$B$5:$B$8</xm:f>
          </x14:formula1>
          <x14:formula2>
            <xm:f>0</xm:f>
          </x14:formula2>
          <xm:sqref>D19:D23 D26:D32 D35:D37 D40:D41</xm:sqref>
        </x14:dataValidation>
        <x14:dataValidation type="list" allowBlank="1" xr:uid="{00000000-0002-0000-0900-000005000000}">
          <x14:formula1>
            <xm:f>Listas!$F$5:$F$7</xm:f>
          </x14:formula1>
          <x14:formula2>
            <xm:f>0</xm:f>
          </x14:formula2>
          <xm:sqref>F83:F89</xm:sqref>
        </x14:dataValidation>
        <x14:dataValidation type="list" allowBlank="1" xr:uid="{00000000-0002-0000-0900-000006000000}">
          <x14:formula1>
            <xm:f>Listas!$L$5:$L$7</xm:f>
          </x14:formula1>
          <x14:formula2>
            <xm:f>0</xm:f>
          </x14:formula2>
          <xm:sqref>C130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4A017"/>
  </sheetPr>
  <dimension ref="B1:G132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2" sqref="B2:G2"/>
    </sheetView>
  </sheetViews>
  <sheetFormatPr baseColWidth="10" defaultColWidth="8.6328125" defaultRowHeight="14.5" x14ac:dyDescent="0.35"/>
  <cols>
    <col min="1" max="1" width="3" style="1" customWidth="1"/>
    <col min="2" max="2" width="24.81640625" style="1" customWidth="1"/>
    <col min="3" max="3" width="36" style="1" customWidth="1"/>
    <col min="4" max="4" width="14" style="1" customWidth="1"/>
    <col min="5" max="5" width="40" style="1" customWidth="1"/>
    <col min="6" max="6" width="14" style="1" customWidth="1"/>
    <col min="7" max="7" width="20" style="1" customWidth="1"/>
    <col min="8" max="16384" width="8.6328125" style="1"/>
  </cols>
  <sheetData>
    <row r="1" spans="2:7" ht="7.5" customHeight="1" x14ac:dyDescent="0.35"/>
    <row r="2" spans="2:7" ht="30" customHeight="1" x14ac:dyDescent="0.35">
      <c r="B2" s="107" t="s">
        <v>336</v>
      </c>
      <c r="C2" s="107"/>
      <c r="D2" s="107"/>
      <c r="E2" s="107"/>
      <c r="F2" s="107"/>
      <c r="G2" s="107"/>
    </row>
    <row r="4" spans="2:7" ht="24" customHeight="1" x14ac:dyDescent="0.35">
      <c r="B4" s="19" t="s">
        <v>165</v>
      </c>
      <c r="C4" s="19"/>
      <c r="D4" s="19"/>
      <c r="E4" s="19"/>
      <c r="F4" s="19"/>
      <c r="G4" s="19"/>
    </row>
    <row r="5" spans="2:7" ht="19.5" customHeight="1" x14ac:dyDescent="0.35">
      <c r="B5" s="109" t="s">
        <v>166</v>
      </c>
      <c r="C5" s="110"/>
      <c r="D5" s="110"/>
      <c r="E5" s="110"/>
    </row>
    <row r="6" spans="2:7" ht="19.5" customHeight="1" x14ac:dyDescent="0.35">
      <c r="B6" s="109" t="s">
        <v>167</v>
      </c>
      <c r="C6" s="110"/>
      <c r="D6" s="110"/>
      <c r="E6" s="110"/>
    </row>
    <row r="7" spans="2:7" ht="19.5" customHeight="1" x14ac:dyDescent="0.35">
      <c r="B7" s="109" t="s">
        <v>168</v>
      </c>
      <c r="C7" s="110"/>
      <c r="D7" s="110"/>
      <c r="E7" s="110"/>
    </row>
    <row r="8" spans="2:7" ht="19.5" customHeight="1" x14ac:dyDescent="0.35">
      <c r="B8" s="109" t="s">
        <v>169</v>
      </c>
      <c r="C8" s="110"/>
      <c r="D8" s="110"/>
      <c r="E8" s="110"/>
    </row>
    <row r="9" spans="2:7" ht="19.5" customHeight="1" x14ac:dyDescent="0.35">
      <c r="B9" s="109" t="s">
        <v>170</v>
      </c>
      <c r="C9" s="110"/>
      <c r="D9" s="110"/>
      <c r="E9" s="110"/>
    </row>
    <row r="10" spans="2:7" ht="19.5" customHeight="1" x14ac:dyDescent="0.35">
      <c r="B10" s="109" t="s">
        <v>171</v>
      </c>
      <c r="C10" s="110"/>
      <c r="D10" s="110"/>
      <c r="E10" s="110"/>
    </row>
    <row r="11" spans="2:7" ht="19.5" customHeight="1" x14ac:dyDescent="0.35">
      <c r="B11" s="109" t="s">
        <v>172</v>
      </c>
      <c r="C11" s="110"/>
      <c r="D11" s="110"/>
      <c r="E11" s="110"/>
    </row>
    <row r="12" spans="2:7" ht="19.5" customHeight="1" x14ac:dyDescent="0.35">
      <c r="B12" s="109" t="s">
        <v>173</v>
      </c>
      <c r="C12" s="110"/>
      <c r="D12" s="110"/>
      <c r="E12" s="110"/>
    </row>
    <row r="13" spans="2:7" ht="19.5" customHeight="1" x14ac:dyDescent="0.35">
      <c r="B13" s="109" t="s">
        <v>174</v>
      </c>
      <c r="C13" s="110"/>
      <c r="D13" s="110"/>
      <c r="E13" s="110"/>
    </row>
    <row r="14" spans="2:7" ht="19.5" customHeight="1" x14ac:dyDescent="0.35">
      <c r="B14" s="109" t="s">
        <v>175</v>
      </c>
      <c r="C14" s="111"/>
      <c r="D14" s="112" t="s">
        <v>176</v>
      </c>
    </row>
    <row r="16" spans="2:7" ht="24" customHeight="1" x14ac:dyDescent="0.35">
      <c r="B16" s="19" t="s">
        <v>177</v>
      </c>
      <c r="C16" s="19"/>
      <c r="D16" s="19"/>
      <c r="E16" s="19"/>
      <c r="F16" s="19"/>
      <c r="G16" s="19"/>
    </row>
    <row r="17" spans="2:7" ht="27.75" customHeight="1" x14ac:dyDescent="0.35">
      <c r="B17" s="20" t="s">
        <v>13</v>
      </c>
      <c r="C17" s="20" t="s">
        <v>178</v>
      </c>
      <c r="D17" s="20" t="s">
        <v>179</v>
      </c>
      <c r="E17" s="20" t="s">
        <v>180</v>
      </c>
      <c r="F17" s="20" t="s">
        <v>181</v>
      </c>
      <c r="G17" s="20" t="s">
        <v>182</v>
      </c>
    </row>
    <row r="18" spans="2:7" ht="21.75" customHeight="1" x14ac:dyDescent="0.35">
      <c r="B18" s="113" t="s">
        <v>183</v>
      </c>
      <c r="C18" s="113"/>
      <c r="D18" s="113"/>
      <c r="E18" s="113"/>
      <c r="F18" s="113"/>
      <c r="G18" s="113"/>
    </row>
    <row r="19" spans="2:7" ht="27.75" customHeight="1" x14ac:dyDescent="0.35">
      <c r="B19" s="114" t="s">
        <v>184</v>
      </c>
      <c r="C19" s="50" t="s">
        <v>185</v>
      </c>
      <c r="D19" s="61"/>
      <c r="E19" s="18"/>
      <c r="F19" s="78"/>
      <c r="G19" s="78"/>
    </row>
    <row r="20" spans="2:7" ht="27.75" customHeight="1" x14ac:dyDescent="0.35">
      <c r="B20" s="115" t="s">
        <v>186</v>
      </c>
      <c r="C20" s="46" t="s">
        <v>187</v>
      </c>
      <c r="D20" s="61"/>
      <c r="E20" s="18"/>
      <c r="F20" s="78"/>
      <c r="G20" s="78"/>
    </row>
    <row r="21" spans="2:7" ht="27.75" customHeight="1" x14ac:dyDescent="0.35">
      <c r="B21" s="114" t="s">
        <v>188</v>
      </c>
      <c r="C21" s="50" t="s">
        <v>189</v>
      </c>
      <c r="D21" s="61"/>
      <c r="E21" s="18"/>
      <c r="F21" s="78"/>
      <c r="G21" s="78"/>
    </row>
    <row r="22" spans="2:7" ht="27.75" customHeight="1" x14ac:dyDescent="0.35">
      <c r="B22" s="115" t="s">
        <v>190</v>
      </c>
      <c r="C22" s="46" t="s">
        <v>191</v>
      </c>
      <c r="D22" s="61"/>
      <c r="E22" s="18"/>
      <c r="F22" s="78"/>
      <c r="G22" s="78"/>
    </row>
    <row r="23" spans="2:7" ht="27.75" customHeight="1" x14ac:dyDescent="0.35">
      <c r="B23" s="114" t="s">
        <v>192</v>
      </c>
      <c r="C23" s="50" t="s">
        <v>193</v>
      </c>
      <c r="D23" s="61"/>
      <c r="E23" s="18"/>
      <c r="F23" s="78"/>
      <c r="G23" s="78"/>
    </row>
    <row r="25" spans="2:7" ht="21.75" customHeight="1" x14ac:dyDescent="0.35">
      <c r="B25" s="113" t="s">
        <v>194</v>
      </c>
      <c r="C25" s="113"/>
      <c r="D25" s="113"/>
      <c r="E25" s="113"/>
      <c r="F25" s="113"/>
      <c r="G25" s="113"/>
    </row>
    <row r="26" spans="2:7" ht="27.75" customHeight="1" x14ac:dyDescent="0.35">
      <c r="B26" s="115" t="s">
        <v>195</v>
      </c>
      <c r="C26" s="46" t="s">
        <v>196</v>
      </c>
      <c r="D26" s="61"/>
      <c r="E26" s="18"/>
      <c r="F26" s="78"/>
      <c r="G26" s="78"/>
    </row>
    <row r="27" spans="2:7" ht="27.75" customHeight="1" x14ac:dyDescent="0.35">
      <c r="B27" s="114" t="s">
        <v>197</v>
      </c>
      <c r="C27" s="50" t="s">
        <v>198</v>
      </c>
      <c r="D27" s="61"/>
      <c r="E27" s="18"/>
      <c r="F27" s="78"/>
      <c r="G27" s="78"/>
    </row>
    <row r="28" spans="2:7" ht="27.75" customHeight="1" x14ac:dyDescent="0.35">
      <c r="B28" s="115" t="s">
        <v>199</v>
      </c>
      <c r="C28" s="46" t="s">
        <v>200</v>
      </c>
      <c r="D28" s="61"/>
      <c r="E28" s="18"/>
      <c r="F28" s="78"/>
      <c r="G28" s="78"/>
    </row>
    <row r="29" spans="2:7" ht="27.75" customHeight="1" x14ac:dyDescent="0.35">
      <c r="B29" s="114" t="s">
        <v>201</v>
      </c>
      <c r="C29" s="50" t="s">
        <v>202</v>
      </c>
      <c r="D29" s="61"/>
      <c r="E29" s="18"/>
      <c r="F29" s="78"/>
      <c r="G29" s="78"/>
    </row>
    <row r="30" spans="2:7" ht="27.75" customHeight="1" x14ac:dyDescent="0.35">
      <c r="B30" s="115" t="s">
        <v>203</v>
      </c>
      <c r="C30" s="46" t="s">
        <v>204</v>
      </c>
      <c r="D30" s="61"/>
      <c r="E30" s="18"/>
      <c r="F30" s="78"/>
      <c r="G30" s="78"/>
    </row>
    <row r="31" spans="2:7" ht="27.75" customHeight="1" x14ac:dyDescent="0.35">
      <c r="B31" s="114" t="s">
        <v>205</v>
      </c>
      <c r="C31" s="50" t="s">
        <v>206</v>
      </c>
      <c r="D31" s="61"/>
      <c r="E31" s="18"/>
      <c r="F31" s="78"/>
      <c r="G31" s="78"/>
    </row>
    <row r="32" spans="2:7" ht="27.75" customHeight="1" x14ac:dyDescent="0.35">
      <c r="B32" s="115" t="s">
        <v>207</v>
      </c>
      <c r="C32" s="46" t="s">
        <v>208</v>
      </c>
      <c r="D32" s="61"/>
      <c r="E32" s="18"/>
      <c r="F32" s="78"/>
      <c r="G32" s="78"/>
    </row>
    <row r="34" spans="2:7" ht="21.75" customHeight="1" x14ac:dyDescent="0.35">
      <c r="B34" s="113" t="s">
        <v>209</v>
      </c>
      <c r="C34" s="113"/>
      <c r="D34" s="113"/>
      <c r="E34" s="113"/>
      <c r="F34" s="113"/>
      <c r="G34" s="113"/>
    </row>
    <row r="35" spans="2:7" ht="27.75" customHeight="1" x14ac:dyDescent="0.35">
      <c r="B35" s="114" t="s">
        <v>210</v>
      </c>
      <c r="C35" s="50" t="s">
        <v>211</v>
      </c>
      <c r="D35" s="61"/>
      <c r="E35" s="18"/>
      <c r="F35" s="78"/>
      <c r="G35" s="78"/>
    </row>
    <row r="36" spans="2:7" ht="27.75" customHeight="1" x14ac:dyDescent="0.35">
      <c r="B36" s="115" t="s">
        <v>212</v>
      </c>
      <c r="C36" s="46" t="s">
        <v>213</v>
      </c>
      <c r="D36" s="61"/>
      <c r="E36" s="18"/>
      <c r="F36" s="78"/>
      <c r="G36" s="78"/>
    </row>
    <row r="37" spans="2:7" ht="27.75" customHeight="1" x14ac:dyDescent="0.35">
      <c r="B37" s="114" t="s">
        <v>214</v>
      </c>
      <c r="C37" s="50" t="s">
        <v>215</v>
      </c>
      <c r="D37" s="61"/>
      <c r="E37" s="18"/>
      <c r="F37" s="78"/>
      <c r="G37" s="78"/>
    </row>
    <row r="39" spans="2:7" ht="21.75" customHeight="1" x14ac:dyDescent="0.35">
      <c r="B39" s="113" t="s">
        <v>216</v>
      </c>
      <c r="C39" s="113"/>
      <c r="D39" s="113"/>
      <c r="E39" s="113"/>
      <c r="F39" s="113"/>
      <c r="G39" s="113"/>
    </row>
    <row r="40" spans="2:7" ht="27.75" customHeight="1" x14ac:dyDescent="0.35">
      <c r="B40" s="115" t="s">
        <v>217</v>
      </c>
      <c r="C40" s="46" t="s">
        <v>218</v>
      </c>
      <c r="D40" s="61"/>
      <c r="E40" s="18"/>
      <c r="F40" s="78"/>
      <c r="G40" s="78"/>
    </row>
    <row r="41" spans="2:7" ht="27.75" customHeight="1" x14ac:dyDescent="0.35">
      <c r="B41" s="114" t="s">
        <v>219</v>
      </c>
      <c r="C41" s="50" t="s">
        <v>220</v>
      </c>
      <c r="D41" s="61"/>
      <c r="E41" s="18"/>
      <c r="F41" s="78"/>
      <c r="G41" s="78"/>
    </row>
    <row r="43" spans="2:7" ht="27.75" customHeight="1" x14ac:dyDescent="0.35">
      <c r="B43" s="19" t="s">
        <v>221</v>
      </c>
      <c r="C43" s="19"/>
      <c r="D43" s="116">
        <f>IF(D19="Sí",1,IF(D19="Parcial",0.5,0))+IF(D20="Sí",1,IF(D20="Parcial",0.5,0))+IF(D21="Sí",1,IF(D21="Parcial",0.5,0))+IF(D22="Sí",1,IF(D22="Parcial",0.5,0))+IF(D23="Sí",1,IF(D23="Parcial",0.5,0))+IF(D26="Sí",1,IF(D26="Parcial",0.5,0))+IF(D27="Sí",1,IF(D27="Parcial",0.5,0))+IF(D28="Sí",1,IF(D28="Parcial",0.5,0))+IF(D29="Sí",1,IF(D29="Parcial",0.5,0))+IF(D30="Sí",1,IF(D30="Parcial",0.5,0))+IF(D31="Sí",1,IF(D31="Parcial",0.5,0))+IF(D32="Sí",1,IF(D32="Parcial",0.5,0))+IF(D35="Sí",1,IF(D35="Parcial",0.5,0))+IF(D36="Sí",1,IF(D36="Parcial",0.5,0))+IF(D37="Sí",1,IF(D37="Parcial",0.5,0))+IF(D40="Sí",1,IF(D40="Parcial",0.5,0))+IF(D41="Sí",1,IF(D41="Parcial",0.5,0))</f>
        <v>0</v>
      </c>
      <c r="E43" s="117">
        <f>D43/17</f>
        <v>0</v>
      </c>
    </row>
    <row r="45" spans="2:7" ht="24" customHeight="1" x14ac:dyDescent="0.35">
      <c r="B45" s="19" t="s">
        <v>222</v>
      </c>
      <c r="C45" s="19"/>
      <c r="D45" s="19"/>
      <c r="E45" s="19"/>
      <c r="F45" s="19"/>
      <c r="G45" s="19"/>
    </row>
    <row r="46" spans="2:7" ht="21.75" customHeight="1" x14ac:dyDescent="0.35">
      <c r="B46" s="20" t="s">
        <v>223</v>
      </c>
      <c r="C46" s="20" t="s">
        <v>224</v>
      </c>
      <c r="D46" s="20" t="s">
        <v>225</v>
      </c>
      <c r="E46" s="20" t="s">
        <v>226</v>
      </c>
      <c r="F46" s="20" t="s">
        <v>227</v>
      </c>
      <c r="G46" s="20" t="s">
        <v>228</v>
      </c>
    </row>
    <row r="47" spans="2:7" ht="21.75" customHeight="1" x14ac:dyDescent="0.35">
      <c r="B47" s="118" t="s">
        <v>229</v>
      </c>
      <c r="C47" s="119"/>
      <c r="D47" s="119"/>
      <c r="E47" s="119"/>
      <c r="F47" s="119"/>
      <c r="G47" s="119"/>
    </row>
    <row r="48" spans="2:7" ht="21.75" customHeight="1" x14ac:dyDescent="0.35">
      <c r="B48" s="120" t="s">
        <v>230</v>
      </c>
      <c r="C48" s="121"/>
      <c r="D48" s="121"/>
      <c r="E48" s="121"/>
      <c r="F48" s="121"/>
      <c r="G48" s="121"/>
    </row>
    <row r="49" spans="2:7" ht="21.75" customHeight="1" x14ac:dyDescent="0.35">
      <c r="B49" s="118" t="s">
        <v>231</v>
      </c>
      <c r="C49" s="119"/>
      <c r="D49" s="119"/>
      <c r="E49" s="119"/>
      <c r="F49" s="119"/>
      <c r="G49" s="119"/>
    </row>
    <row r="50" spans="2:7" ht="21.75" customHeight="1" x14ac:dyDescent="0.35">
      <c r="B50" s="120" t="s">
        <v>232</v>
      </c>
      <c r="C50" s="121"/>
      <c r="D50" s="121"/>
      <c r="E50" s="121"/>
      <c r="F50" s="121"/>
      <c r="G50" s="121"/>
    </row>
    <row r="51" spans="2:7" ht="21.75" customHeight="1" x14ac:dyDescent="0.35">
      <c r="B51" s="118" t="s">
        <v>233</v>
      </c>
      <c r="C51" s="119"/>
      <c r="D51" s="119"/>
      <c r="E51" s="119"/>
      <c r="F51" s="119"/>
      <c r="G51" s="119"/>
    </row>
    <row r="52" spans="2:7" ht="21.75" customHeight="1" x14ac:dyDescent="0.35">
      <c r="B52" s="120" t="s">
        <v>234</v>
      </c>
      <c r="C52" s="121"/>
      <c r="D52" s="121"/>
      <c r="E52" s="121"/>
      <c r="F52" s="121"/>
      <c r="G52" s="121"/>
    </row>
    <row r="53" spans="2:7" ht="21.75" customHeight="1" x14ac:dyDescent="0.35">
      <c r="B53" s="118" t="s">
        <v>235</v>
      </c>
      <c r="C53" s="119"/>
      <c r="D53" s="119"/>
      <c r="E53" s="119"/>
      <c r="F53" s="119"/>
      <c r="G53" s="119"/>
    </row>
    <row r="54" spans="2:7" ht="21.75" customHeight="1" x14ac:dyDescent="0.35">
      <c r="B54" s="120" t="s">
        <v>236</v>
      </c>
      <c r="C54" s="121"/>
      <c r="D54" s="121"/>
      <c r="E54" s="121"/>
      <c r="F54" s="121"/>
      <c r="G54" s="121"/>
    </row>
    <row r="55" spans="2:7" ht="21.75" customHeight="1" x14ac:dyDescent="0.35">
      <c r="B55" s="118" t="s">
        <v>237</v>
      </c>
      <c r="C55" s="119"/>
      <c r="D55" s="119"/>
      <c r="E55" s="119"/>
      <c r="F55" s="119"/>
      <c r="G55" s="119"/>
    </row>
    <row r="56" spans="2:7" ht="21.75" customHeight="1" x14ac:dyDescent="0.35">
      <c r="B56" s="120" t="s">
        <v>238</v>
      </c>
      <c r="C56" s="121"/>
      <c r="D56" s="121"/>
      <c r="E56" s="121"/>
      <c r="F56" s="121"/>
      <c r="G56" s="121"/>
    </row>
    <row r="57" spans="2:7" ht="21.75" customHeight="1" x14ac:dyDescent="0.35">
      <c r="B57" s="118" t="s">
        <v>239</v>
      </c>
      <c r="C57" s="119"/>
      <c r="D57" s="119"/>
      <c r="E57" s="119"/>
      <c r="F57" s="119"/>
      <c r="G57" s="119"/>
    </row>
    <row r="58" spans="2:7" ht="21.75" customHeight="1" x14ac:dyDescent="0.35">
      <c r="B58" s="120" t="s">
        <v>240</v>
      </c>
      <c r="C58" s="121"/>
      <c r="D58" s="121"/>
      <c r="E58" s="121"/>
      <c r="F58" s="121"/>
      <c r="G58" s="121"/>
    </row>
    <row r="60" spans="2:7" ht="24" customHeight="1" x14ac:dyDescent="0.35">
      <c r="B60" s="19" t="s">
        <v>241</v>
      </c>
      <c r="C60" s="19"/>
      <c r="D60" s="19"/>
      <c r="E60" s="19"/>
      <c r="F60" s="19"/>
      <c r="G60" s="19"/>
    </row>
    <row r="61" spans="2:7" ht="21.75" customHeight="1" x14ac:dyDescent="0.35">
      <c r="B61" s="20" t="s">
        <v>242</v>
      </c>
      <c r="C61" s="20" t="s">
        <v>243</v>
      </c>
      <c r="D61" s="20" t="s">
        <v>244</v>
      </c>
      <c r="E61" s="20" t="s">
        <v>245</v>
      </c>
      <c r="F61" s="20" t="s">
        <v>246</v>
      </c>
    </row>
    <row r="62" spans="2:7" ht="19.5" customHeight="1" x14ac:dyDescent="0.35">
      <c r="B62" s="118" t="s">
        <v>247</v>
      </c>
      <c r="C62" s="119"/>
      <c r="D62" s="119"/>
      <c r="E62" s="119"/>
      <c r="F62" s="119"/>
    </row>
    <row r="63" spans="2:7" ht="19.5" customHeight="1" x14ac:dyDescent="0.35">
      <c r="B63" s="120" t="s">
        <v>248</v>
      </c>
      <c r="C63" s="121"/>
      <c r="D63" s="121"/>
      <c r="E63" s="121"/>
      <c r="F63" s="121"/>
    </row>
    <row r="64" spans="2:7" ht="19.5" customHeight="1" x14ac:dyDescent="0.35">
      <c r="B64" s="118" t="s">
        <v>249</v>
      </c>
      <c r="C64" s="119"/>
      <c r="D64" s="119"/>
      <c r="E64" s="119"/>
      <c r="F64" s="119"/>
    </row>
    <row r="65" spans="2:7" ht="19.5" customHeight="1" x14ac:dyDescent="0.35">
      <c r="B65" s="120" t="s">
        <v>250</v>
      </c>
      <c r="C65" s="121"/>
      <c r="D65" s="121"/>
      <c r="E65" s="121"/>
      <c r="F65" s="121"/>
    </row>
    <row r="66" spans="2:7" ht="19.5" customHeight="1" x14ac:dyDescent="0.35">
      <c r="B66" s="118" t="s">
        <v>251</v>
      </c>
      <c r="C66" s="119"/>
      <c r="D66" s="119"/>
      <c r="E66" s="119"/>
      <c r="F66" s="119"/>
    </row>
    <row r="67" spans="2:7" ht="19.5" customHeight="1" x14ac:dyDescent="0.35">
      <c r="B67" s="120" t="s">
        <v>252</v>
      </c>
      <c r="C67" s="121"/>
      <c r="D67" s="121"/>
      <c r="E67" s="121"/>
      <c r="F67" s="121"/>
    </row>
    <row r="68" spans="2:7" ht="19.5" customHeight="1" x14ac:dyDescent="0.35">
      <c r="B68" s="118" t="s">
        <v>253</v>
      </c>
      <c r="C68" s="119"/>
      <c r="D68" s="119"/>
      <c r="E68" s="119"/>
      <c r="F68" s="119"/>
    </row>
    <row r="69" spans="2:7" ht="19.5" customHeight="1" x14ac:dyDescent="0.35">
      <c r="B69" s="120" t="s">
        <v>254</v>
      </c>
      <c r="C69" s="121"/>
      <c r="D69" s="121"/>
      <c r="E69" s="121"/>
      <c r="F69" s="121"/>
    </row>
    <row r="71" spans="2:7" ht="24" customHeight="1" x14ac:dyDescent="0.35">
      <c r="B71" s="19" t="s">
        <v>255</v>
      </c>
      <c r="C71" s="19"/>
      <c r="D71" s="19"/>
      <c r="E71" s="19"/>
      <c r="F71" s="19"/>
      <c r="G71" s="19"/>
    </row>
    <row r="72" spans="2:7" ht="21.75" customHeight="1" x14ac:dyDescent="0.35">
      <c r="B72" s="20" t="s">
        <v>256</v>
      </c>
      <c r="C72" s="20" t="s">
        <v>224</v>
      </c>
      <c r="D72" s="20" t="s">
        <v>257</v>
      </c>
      <c r="E72" s="20" t="s">
        <v>258</v>
      </c>
      <c r="F72" s="20" t="s">
        <v>246</v>
      </c>
    </row>
    <row r="73" spans="2:7" ht="21.75" customHeight="1" x14ac:dyDescent="0.35">
      <c r="B73" s="46" t="s">
        <v>259</v>
      </c>
      <c r="C73" s="119"/>
      <c r="D73" s="119"/>
      <c r="E73" s="119"/>
      <c r="F73" s="119"/>
    </row>
    <row r="74" spans="2:7" ht="21.75" customHeight="1" x14ac:dyDescent="0.35">
      <c r="B74" s="50" t="s">
        <v>260</v>
      </c>
      <c r="C74" s="121"/>
      <c r="D74" s="121"/>
      <c r="E74" s="121"/>
      <c r="F74" s="121"/>
    </row>
    <row r="75" spans="2:7" ht="21.75" customHeight="1" x14ac:dyDescent="0.35">
      <c r="B75" s="46" t="s">
        <v>261</v>
      </c>
      <c r="C75" s="119"/>
      <c r="D75" s="119"/>
      <c r="E75" s="119"/>
      <c r="F75" s="119"/>
    </row>
    <row r="76" spans="2:7" ht="21.75" customHeight="1" x14ac:dyDescent="0.35">
      <c r="B76" s="50" t="s">
        <v>262</v>
      </c>
      <c r="C76" s="121"/>
      <c r="D76" s="121"/>
      <c r="E76" s="121"/>
      <c r="F76" s="121"/>
    </row>
    <row r="77" spans="2:7" ht="21.75" customHeight="1" x14ac:dyDescent="0.35">
      <c r="B77" s="46" t="s">
        <v>263</v>
      </c>
      <c r="C77" s="119"/>
      <c r="D77" s="119"/>
      <c r="E77" s="119"/>
      <c r="F77" s="119"/>
    </row>
    <row r="78" spans="2:7" ht="21.75" customHeight="1" x14ac:dyDescent="0.35">
      <c r="B78" s="50" t="s">
        <v>264</v>
      </c>
      <c r="C78" s="121"/>
      <c r="D78" s="121"/>
      <c r="E78" s="121"/>
      <c r="F78" s="121"/>
    </row>
    <row r="79" spans="2:7" ht="21.75" customHeight="1" x14ac:dyDescent="0.35">
      <c r="B79" s="46" t="s">
        <v>265</v>
      </c>
      <c r="C79" s="119"/>
      <c r="D79" s="119"/>
      <c r="E79" s="119"/>
      <c r="F79" s="119"/>
    </row>
    <row r="81" spans="2:7" ht="24" customHeight="1" x14ac:dyDescent="0.35">
      <c r="B81" s="19" t="s">
        <v>266</v>
      </c>
      <c r="C81" s="19"/>
      <c r="D81" s="19"/>
      <c r="E81" s="19"/>
      <c r="F81" s="19"/>
      <c r="G81" s="19"/>
    </row>
    <row r="82" spans="2:7" ht="27.75" customHeight="1" x14ac:dyDescent="0.35">
      <c r="B82" s="20" t="s">
        <v>138</v>
      </c>
      <c r="C82" s="20" t="s">
        <v>267</v>
      </c>
      <c r="D82" s="20" t="s">
        <v>268</v>
      </c>
      <c r="E82" s="20" t="s">
        <v>269</v>
      </c>
      <c r="F82" s="20" t="s">
        <v>270</v>
      </c>
      <c r="G82" s="20" t="s">
        <v>271</v>
      </c>
    </row>
    <row r="83" spans="2:7" ht="25.5" customHeight="1" x14ac:dyDescent="0.35">
      <c r="B83" s="123" t="s">
        <v>272</v>
      </c>
      <c r="C83" s="61"/>
      <c r="D83" s="46" t="s">
        <v>273</v>
      </c>
      <c r="E83" s="124"/>
      <c r="F83" s="78"/>
      <c r="G83" s="18"/>
    </row>
    <row r="84" spans="2:7" ht="25.5" customHeight="1" x14ac:dyDescent="0.35">
      <c r="B84" s="125" t="s">
        <v>274</v>
      </c>
      <c r="C84" s="61"/>
      <c r="D84" s="50" t="s">
        <v>275</v>
      </c>
      <c r="E84" s="124"/>
      <c r="F84" s="78"/>
      <c r="G84" s="18"/>
    </row>
    <row r="85" spans="2:7" ht="25.5" customHeight="1" x14ac:dyDescent="0.35">
      <c r="B85" s="123" t="s">
        <v>276</v>
      </c>
      <c r="C85" s="61"/>
      <c r="D85" s="46" t="s">
        <v>277</v>
      </c>
      <c r="E85" s="124"/>
      <c r="F85" s="78"/>
      <c r="G85" s="18"/>
    </row>
    <row r="86" spans="2:7" ht="25.5" customHeight="1" x14ac:dyDescent="0.35">
      <c r="B86" s="125" t="s">
        <v>278</v>
      </c>
      <c r="C86" s="61"/>
      <c r="D86" s="50" t="s">
        <v>279</v>
      </c>
      <c r="E86" s="124"/>
      <c r="F86" s="78"/>
      <c r="G86" s="18"/>
    </row>
    <row r="87" spans="2:7" ht="25.5" customHeight="1" x14ac:dyDescent="0.35">
      <c r="B87" s="123" t="s">
        <v>280</v>
      </c>
      <c r="C87" s="61"/>
      <c r="D87" s="46" t="s">
        <v>281</v>
      </c>
      <c r="E87" s="124"/>
      <c r="F87" s="78"/>
      <c r="G87" s="18"/>
    </row>
    <row r="88" spans="2:7" ht="25.5" customHeight="1" x14ac:dyDescent="0.35">
      <c r="B88" s="125" t="s">
        <v>282</v>
      </c>
      <c r="C88" s="61"/>
      <c r="D88" s="50" t="s">
        <v>283</v>
      </c>
      <c r="E88" s="124"/>
      <c r="F88" s="78"/>
      <c r="G88" s="18"/>
    </row>
    <row r="89" spans="2:7" ht="25.5" customHeight="1" x14ac:dyDescent="0.35">
      <c r="B89" s="123" t="s">
        <v>284</v>
      </c>
      <c r="C89" s="61"/>
      <c r="D89" s="46" t="s">
        <v>285</v>
      </c>
      <c r="E89" s="124"/>
      <c r="F89" s="78"/>
      <c r="G89" s="18"/>
    </row>
    <row r="91" spans="2:7" ht="24" customHeight="1" x14ac:dyDescent="0.35">
      <c r="B91" s="19" t="s">
        <v>286</v>
      </c>
      <c r="C91" s="19"/>
      <c r="D91" s="19"/>
      <c r="E91" s="19"/>
      <c r="F91" s="19"/>
      <c r="G91" s="19"/>
    </row>
    <row r="92" spans="2:7" ht="21.75" customHeight="1" x14ac:dyDescent="0.35">
      <c r="B92" s="20" t="s">
        <v>287</v>
      </c>
      <c r="C92" s="20" t="s">
        <v>288</v>
      </c>
    </row>
    <row r="93" spans="2:7" ht="21.75" customHeight="1" x14ac:dyDescent="0.35">
      <c r="B93" s="44" t="s">
        <v>289</v>
      </c>
      <c r="C93" s="126"/>
      <c r="D93" s="126"/>
      <c r="E93" s="126"/>
      <c r="F93" s="126"/>
      <c r="G93" s="126"/>
    </row>
    <row r="94" spans="2:7" ht="21.75" customHeight="1" x14ac:dyDescent="0.35">
      <c r="B94" s="48" t="s">
        <v>290</v>
      </c>
      <c r="C94" s="126"/>
      <c r="D94" s="126"/>
      <c r="E94" s="126"/>
      <c r="F94" s="126"/>
      <c r="G94" s="126"/>
    </row>
    <row r="95" spans="2:7" ht="21.75" customHeight="1" x14ac:dyDescent="0.35">
      <c r="B95" s="44" t="s">
        <v>291</v>
      </c>
      <c r="C95" s="126"/>
      <c r="D95" s="126"/>
      <c r="E95" s="126"/>
      <c r="F95" s="126"/>
      <c r="G95" s="126"/>
    </row>
    <row r="96" spans="2:7" ht="21.75" customHeight="1" x14ac:dyDescent="0.35">
      <c r="B96" s="48" t="s">
        <v>292</v>
      </c>
      <c r="C96" s="126"/>
      <c r="D96" s="126"/>
      <c r="E96" s="126"/>
      <c r="F96" s="126"/>
      <c r="G96" s="126"/>
    </row>
    <row r="97" spans="2:7" ht="21.75" customHeight="1" x14ac:dyDescent="0.35">
      <c r="B97" s="44" t="s">
        <v>293</v>
      </c>
      <c r="C97" s="126"/>
      <c r="D97" s="126"/>
      <c r="E97" s="126"/>
      <c r="F97" s="126"/>
      <c r="G97" s="126"/>
    </row>
    <row r="98" spans="2:7" ht="21.75" customHeight="1" x14ac:dyDescent="0.35">
      <c r="B98" s="48" t="s">
        <v>294</v>
      </c>
      <c r="C98" s="126"/>
      <c r="D98" s="126"/>
      <c r="E98" s="126"/>
      <c r="F98" s="126"/>
      <c r="G98" s="126"/>
    </row>
    <row r="99" spans="2:7" ht="21.75" customHeight="1" x14ac:dyDescent="0.35">
      <c r="B99" s="44" t="s">
        <v>295</v>
      </c>
      <c r="C99" s="126"/>
      <c r="D99" s="126"/>
      <c r="E99" s="126"/>
      <c r="F99" s="126"/>
      <c r="G99" s="126"/>
    </row>
    <row r="101" spans="2:7" ht="24" customHeight="1" x14ac:dyDescent="0.35">
      <c r="B101" s="19" t="s">
        <v>296</v>
      </c>
      <c r="C101" s="19"/>
      <c r="D101" s="19"/>
      <c r="E101" s="19"/>
      <c r="F101" s="19"/>
      <c r="G101" s="19"/>
    </row>
    <row r="102" spans="2:7" ht="21.75" customHeight="1" x14ac:dyDescent="0.35">
      <c r="B102" s="20" t="s">
        <v>297</v>
      </c>
      <c r="C102" s="20" t="s">
        <v>298</v>
      </c>
      <c r="D102" s="20" t="s">
        <v>299</v>
      </c>
      <c r="E102" s="20" t="s">
        <v>300</v>
      </c>
      <c r="F102" s="20" t="s">
        <v>301</v>
      </c>
    </row>
    <row r="103" spans="2:7" ht="21.75" customHeight="1" x14ac:dyDescent="0.35">
      <c r="B103" s="118" t="s">
        <v>302</v>
      </c>
      <c r="C103" s="119"/>
      <c r="D103" s="119"/>
      <c r="E103" s="46"/>
      <c r="F103" s="119"/>
    </row>
    <row r="104" spans="2:7" ht="21.75" customHeight="1" x14ac:dyDescent="0.35">
      <c r="B104" s="120" t="s">
        <v>303</v>
      </c>
      <c r="C104" s="121"/>
      <c r="D104" s="121"/>
      <c r="E104" s="50"/>
      <c r="F104" s="121"/>
    </row>
    <row r="105" spans="2:7" ht="21.75" customHeight="1" x14ac:dyDescent="0.35">
      <c r="B105" s="118" t="s">
        <v>304</v>
      </c>
      <c r="C105" s="119"/>
      <c r="D105" s="119"/>
      <c r="E105" s="46"/>
      <c r="F105" s="119"/>
    </row>
    <row r="106" spans="2:7" ht="21.75" customHeight="1" x14ac:dyDescent="0.35">
      <c r="B106" s="120" t="s">
        <v>305</v>
      </c>
      <c r="C106" s="121"/>
      <c r="D106" s="121"/>
      <c r="E106" s="50"/>
      <c r="F106" s="121"/>
    </row>
    <row r="107" spans="2:7" ht="21.75" customHeight="1" x14ac:dyDescent="0.35">
      <c r="B107" s="118" t="s">
        <v>306</v>
      </c>
      <c r="C107" s="119"/>
      <c r="D107" s="119"/>
      <c r="E107" s="46"/>
      <c r="F107" s="119"/>
    </row>
    <row r="108" spans="2:7" ht="21.75" customHeight="1" x14ac:dyDescent="0.35">
      <c r="B108" s="120" t="s">
        <v>307</v>
      </c>
      <c r="C108" s="121"/>
      <c r="D108" s="121"/>
      <c r="E108" s="50"/>
      <c r="F108" s="121"/>
    </row>
    <row r="109" spans="2:7" ht="21.75" customHeight="1" x14ac:dyDescent="0.35">
      <c r="B109" s="118" t="s">
        <v>308</v>
      </c>
      <c r="C109" s="119"/>
      <c r="D109" s="119"/>
      <c r="E109" s="46"/>
      <c r="F109" s="119"/>
    </row>
    <row r="110" spans="2:7" ht="21.75" customHeight="1" x14ac:dyDescent="0.35">
      <c r="B110" s="120" t="s">
        <v>309</v>
      </c>
      <c r="C110" s="121"/>
      <c r="D110" s="121"/>
      <c r="E110" s="50"/>
      <c r="F110" s="121"/>
    </row>
    <row r="111" spans="2:7" ht="21.75" customHeight="1" x14ac:dyDescent="0.35">
      <c r="B111" s="118" t="s">
        <v>310</v>
      </c>
      <c r="C111" s="119"/>
      <c r="D111" s="119"/>
      <c r="E111" s="46"/>
      <c r="F111" s="119"/>
    </row>
    <row r="112" spans="2:7" ht="21.75" customHeight="1" x14ac:dyDescent="0.35">
      <c r="B112" s="120" t="s">
        <v>311</v>
      </c>
      <c r="C112" s="121"/>
      <c r="D112" s="121"/>
      <c r="E112" s="50"/>
      <c r="F112" s="121"/>
    </row>
    <row r="114" spans="2:7" ht="24" customHeight="1" x14ac:dyDescent="0.35">
      <c r="B114" s="19" t="s">
        <v>312</v>
      </c>
      <c r="C114" s="19"/>
      <c r="D114" s="19"/>
      <c r="E114" s="19"/>
      <c r="F114" s="19"/>
      <c r="G114" s="19"/>
    </row>
    <row r="115" spans="2:7" ht="21.75" customHeight="1" x14ac:dyDescent="0.35">
      <c r="B115" s="20" t="s">
        <v>313</v>
      </c>
      <c r="C115" s="20" t="s">
        <v>314</v>
      </c>
    </row>
    <row r="116" spans="2:7" ht="21.75" customHeight="1" x14ac:dyDescent="0.35">
      <c r="B116" s="44" t="s">
        <v>315</v>
      </c>
      <c r="C116" s="126"/>
      <c r="D116" s="126"/>
      <c r="E116" s="126"/>
      <c r="F116" s="126"/>
      <c r="G116" s="126"/>
    </row>
    <row r="117" spans="2:7" ht="21.75" customHeight="1" x14ac:dyDescent="0.35">
      <c r="B117" s="48" t="s">
        <v>316</v>
      </c>
      <c r="C117" s="126"/>
      <c r="D117" s="126"/>
      <c r="E117" s="126"/>
      <c r="F117" s="126"/>
      <c r="G117" s="126"/>
    </row>
    <row r="118" spans="2:7" ht="21.75" customHeight="1" x14ac:dyDescent="0.35">
      <c r="B118" s="44" t="s">
        <v>317</v>
      </c>
      <c r="C118" s="126"/>
      <c r="D118" s="126"/>
      <c r="E118" s="126"/>
      <c r="F118" s="126"/>
      <c r="G118" s="126"/>
    </row>
    <row r="119" spans="2:7" ht="21.75" customHeight="1" x14ac:dyDescent="0.35">
      <c r="B119" s="48" t="s">
        <v>318</v>
      </c>
      <c r="C119" s="126"/>
      <c r="D119" s="126"/>
      <c r="E119" s="126"/>
      <c r="F119" s="126"/>
      <c r="G119" s="126"/>
    </row>
    <row r="120" spans="2:7" ht="21.75" customHeight="1" x14ac:dyDescent="0.35">
      <c r="B120" s="44" t="s">
        <v>319</v>
      </c>
      <c r="C120" s="126"/>
      <c r="D120" s="126"/>
      <c r="E120" s="126"/>
      <c r="F120" s="126"/>
      <c r="G120" s="126"/>
    </row>
    <row r="121" spans="2:7" ht="21.75" customHeight="1" x14ac:dyDescent="0.35">
      <c r="B121" s="48" t="s">
        <v>320</v>
      </c>
      <c r="C121" s="126"/>
      <c r="D121" s="126"/>
      <c r="E121" s="126"/>
      <c r="F121" s="126"/>
      <c r="G121" s="126"/>
    </row>
    <row r="122" spans="2:7" ht="21.75" customHeight="1" x14ac:dyDescent="0.35">
      <c r="B122" s="44" t="s">
        <v>321</v>
      </c>
      <c r="C122" s="126"/>
      <c r="D122" s="126"/>
      <c r="E122" s="126"/>
      <c r="F122" s="126"/>
      <c r="G122" s="126"/>
    </row>
    <row r="124" spans="2:7" ht="24" customHeight="1" x14ac:dyDescent="0.35">
      <c r="B124" s="19" t="s">
        <v>322</v>
      </c>
      <c r="C124" s="19"/>
      <c r="D124" s="19"/>
      <c r="E124" s="19"/>
      <c r="F124" s="19"/>
      <c r="G124" s="19"/>
    </row>
    <row r="125" spans="2:7" ht="21.75" customHeight="1" x14ac:dyDescent="0.35">
      <c r="B125" s="20" t="s">
        <v>323</v>
      </c>
      <c r="C125" s="20" t="s">
        <v>324</v>
      </c>
    </row>
    <row r="126" spans="2:7" ht="30" customHeight="1" x14ac:dyDescent="0.35">
      <c r="B126" s="127" t="s">
        <v>325</v>
      </c>
      <c r="C126" s="126"/>
      <c r="D126" s="126"/>
      <c r="E126" s="126"/>
      <c r="F126" s="126"/>
      <c r="G126" s="126"/>
    </row>
    <row r="127" spans="2:7" ht="30" customHeight="1" x14ac:dyDescent="0.35">
      <c r="B127" s="128" t="s">
        <v>326</v>
      </c>
      <c r="C127" s="126"/>
      <c r="D127" s="126"/>
      <c r="E127" s="126"/>
      <c r="F127" s="126"/>
      <c r="G127" s="126"/>
    </row>
    <row r="128" spans="2:7" ht="30" customHeight="1" x14ac:dyDescent="0.35">
      <c r="B128" s="127" t="s">
        <v>327</v>
      </c>
      <c r="C128" s="126"/>
      <c r="D128" s="126"/>
      <c r="E128" s="126"/>
      <c r="F128" s="126"/>
      <c r="G128" s="126"/>
    </row>
    <row r="129" spans="2:7" ht="30" customHeight="1" x14ac:dyDescent="0.35">
      <c r="B129" s="128" t="s">
        <v>328</v>
      </c>
      <c r="C129" s="126"/>
      <c r="D129" s="126"/>
      <c r="E129" s="126"/>
      <c r="F129" s="126"/>
      <c r="G129" s="126"/>
    </row>
    <row r="130" spans="2:7" ht="30" customHeight="1" x14ac:dyDescent="0.35">
      <c r="B130" s="127" t="s">
        <v>329</v>
      </c>
      <c r="C130" s="126"/>
      <c r="D130" s="126"/>
      <c r="E130" s="126"/>
      <c r="F130" s="126"/>
      <c r="G130" s="126"/>
    </row>
    <row r="131" spans="2:7" ht="30" customHeight="1" x14ac:dyDescent="0.35">
      <c r="B131" s="128" t="s">
        <v>330</v>
      </c>
      <c r="C131" s="126"/>
      <c r="D131" s="126"/>
      <c r="E131" s="126"/>
      <c r="F131" s="126"/>
      <c r="G131" s="126"/>
    </row>
    <row r="132" spans="2:7" ht="30" customHeight="1" x14ac:dyDescent="0.35">
      <c r="B132" s="127" t="s">
        <v>331</v>
      </c>
      <c r="C132" s="126"/>
      <c r="D132" s="126"/>
      <c r="E132" s="126"/>
      <c r="F132" s="126"/>
      <c r="G132" s="126"/>
    </row>
  </sheetData>
  <mergeCells count="46">
    <mergeCell ref="C132:G132"/>
    <mergeCell ref="C127:G127"/>
    <mergeCell ref="C128:G128"/>
    <mergeCell ref="C129:G129"/>
    <mergeCell ref="C130:G130"/>
    <mergeCell ref="C131:G131"/>
    <mergeCell ref="C120:G120"/>
    <mergeCell ref="C121:G121"/>
    <mergeCell ref="C122:G122"/>
    <mergeCell ref="B124:G124"/>
    <mergeCell ref="C126:G126"/>
    <mergeCell ref="B114:G114"/>
    <mergeCell ref="C116:G116"/>
    <mergeCell ref="C117:G117"/>
    <mergeCell ref="C118:G118"/>
    <mergeCell ref="C119:G119"/>
    <mergeCell ref="C96:G96"/>
    <mergeCell ref="C97:G97"/>
    <mergeCell ref="C98:G98"/>
    <mergeCell ref="C99:G99"/>
    <mergeCell ref="B101:G101"/>
    <mergeCell ref="B81:G81"/>
    <mergeCell ref="B91:G91"/>
    <mergeCell ref="C93:G93"/>
    <mergeCell ref="C94:G94"/>
    <mergeCell ref="C95:G95"/>
    <mergeCell ref="B39:G39"/>
    <mergeCell ref="B43:C43"/>
    <mergeCell ref="B45:G45"/>
    <mergeCell ref="B60:G60"/>
    <mergeCell ref="B71:G71"/>
    <mergeCell ref="C13:E13"/>
    <mergeCell ref="B16:G16"/>
    <mergeCell ref="B18:G18"/>
    <mergeCell ref="B25:G25"/>
    <mergeCell ref="B34:G34"/>
    <mergeCell ref="C8:E8"/>
    <mergeCell ref="C9:E9"/>
    <mergeCell ref="C10:E10"/>
    <mergeCell ref="C11:E11"/>
    <mergeCell ref="C12:E12"/>
    <mergeCell ref="B2:G2"/>
    <mergeCell ref="B4:G4"/>
    <mergeCell ref="C5:E5"/>
    <mergeCell ref="C6:E6"/>
    <mergeCell ref="C7:E7"/>
  </mergeCells>
  <dataValidations count="2">
    <dataValidation type="list" allowBlank="1" sqref="G19:G23 G26:G32 G35:G37 G40:G41" xr:uid="{00000000-0002-0000-0A00-000003000000}">
      <formula1>"Alta,Media,Baja,Sin mejora"</formula1>
      <formula2>0</formula2>
    </dataValidation>
    <dataValidation type="list" allowBlank="1" sqref="C83:C89" xr:uid="{00000000-0002-0000-0A00-000004000000}">
      <formula1>"Sí,No,Parcial"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A00-000000000000}">
          <x14:formula1>
            <xm:f>Listas!$H$5:$H$9</xm:f>
          </x14:formula1>
          <x14:formula2>
            <xm:f>0</xm:f>
          </x14:formula2>
          <xm:sqref>C12</xm:sqref>
        </x14:dataValidation>
        <x14:dataValidation type="list" allowBlank="1" xr:uid="{00000000-0002-0000-0A00-000001000000}">
          <x14:formula1>
            <xm:f>Listas!$D$5:$D$10</xm:f>
          </x14:formula1>
          <x14:formula2>
            <xm:f>0</xm:f>
          </x14:formula2>
          <xm:sqref>C14</xm:sqref>
        </x14:dataValidation>
        <x14:dataValidation type="list" allowBlank="1" xr:uid="{00000000-0002-0000-0A00-000002000000}">
          <x14:formula1>
            <xm:f>Listas!$B$5:$B$8</xm:f>
          </x14:formula1>
          <x14:formula2>
            <xm:f>0</xm:f>
          </x14:formula2>
          <xm:sqref>D19:D23 D26:D32 D35:D37 D40:D41</xm:sqref>
        </x14:dataValidation>
        <x14:dataValidation type="list" allowBlank="1" xr:uid="{00000000-0002-0000-0A00-000005000000}">
          <x14:formula1>
            <xm:f>Listas!$F$5:$F$7</xm:f>
          </x14:formula1>
          <x14:formula2>
            <xm:f>0</xm:f>
          </x14:formula2>
          <xm:sqref>F83:F89</xm:sqref>
        </x14:dataValidation>
        <x14:dataValidation type="list" allowBlank="1" xr:uid="{00000000-0002-0000-0A00-000006000000}">
          <x14:formula1>
            <xm:f>Listas!$L$5:$L$7</xm:f>
          </x14:formula1>
          <x14:formula2>
            <xm:f>0</xm:f>
          </x14:formula2>
          <xm:sqref>C130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D4A017"/>
  </sheetPr>
  <dimension ref="B1:G132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7" sqref="C7:E7"/>
    </sheetView>
  </sheetViews>
  <sheetFormatPr baseColWidth="10" defaultColWidth="8.6328125" defaultRowHeight="14.5" x14ac:dyDescent="0.35"/>
  <cols>
    <col min="1" max="1" width="3" style="1" customWidth="1"/>
    <col min="2" max="2" width="23.453125" style="1" customWidth="1"/>
    <col min="3" max="3" width="36" style="1" customWidth="1"/>
    <col min="4" max="4" width="14" style="1" customWidth="1"/>
    <col min="5" max="5" width="40" style="1" customWidth="1"/>
    <col min="6" max="6" width="14" style="1" customWidth="1"/>
    <col min="7" max="7" width="20" style="1" customWidth="1"/>
    <col min="8" max="16384" width="8.6328125" style="1"/>
  </cols>
  <sheetData>
    <row r="1" spans="2:7" ht="7.5" customHeight="1" x14ac:dyDescent="0.35"/>
    <row r="2" spans="2:7" ht="30" customHeight="1" x14ac:dyDescent="0.35">
      <c r="B2" s="107" t="s">
        <v>337</v>
      </c>
      <c r="C2" s="107"/>
      <c r="D2" s="107"/>
      <c r="E2" s="107"/>
      <c r="F2" s="107"/>
      <c r="G2" s="107"/>
    </row>
    <row r="4" spans="2:7" ht="24" customHeight="1" x14ac:dyDescent="0.35">
      <c r="B4" s="19" t="s">
        <v>165</v>
      </c>
      <c r="C4" s="19"/>
      <c r="D4" s="19"/>
      <c r="E4" s="19"/>
      <c r="F4" s="19"/>
      <c r="G4" s="19"/>
    </row>
    <row r="5" spans="2:7" ht="19.5" customHeight="1" x14ac:dyDescent="0.35">
      <c r="B5" s="109" t="s">
        <v>166</v>
      </c>
      <c r="C5" s="110"/>
      <c r="D5" s="110"/>
      <c r="E5" s="110"/>
    </row>
    <row r="6" spans="2:7" ht="19.5" customHeight="1" x14ac:dyDescent="0.35">
      <c r="B6" s="109" t="s">
        <v>167</v>
      </c>
      <c r="C6" s="110"/>
      <c r="D6" s="110"/>
      <c r="E6" s="110"/>
    </row>
    <row r="7" spans="2:7" ht="19.5" customHeight="1" x14ac:dyDescent="0.35">
      <c r="B7" s="109" t="s">
        <v>168</v>
      </c>
      <c r="C7" s="110"/>
      <c r="D7" s="110"/>
      <c r="E7" s="110"/>
    </row>
    <row r="8" spans="2:7" ht="19.5" customHeight="1" x14ac:dyDescent="0.35">
      <c r="B8" s="109" t="s">
        <v>169</v>
      </c>
      <c r="C8" s="110"/>
      <c r="D8" s="110"/>
      <c r="E8" s="110"/>
    </row>
    <row r="9" spans="2:7" ht="19.5" customHeight="1" x14ac:dyDescent="0.35">
      <c r="B9" s="109" t="s">
        <v>170</v>
      </c>
      <c r="C9" s="110"/>
      <c r="D9" s="110"/>
      <c r="E9" s="110"/>
    </row>
    <row r="10" spans="2:7" ht="19.5" customHeight="1" x14ac:dyDescent="0.35">
      <c r="B10" s="109" t="s">
        <v>171</v>
      </c>
      <c r="C10" s="110"/>
      <c r="D10" s="110"/>
      <c r="E10" s="110"/>
    </row>
    <row r="11" spans="2:7" ht="19.5" customHeight="1" x14ac:dyDescent="0.35">
      <c r="B11" s="109" t="s">
        <v>172</v>
      </c>
      <c r="C11" s="110"/>
      <c r="D11" s="110"/>
      <c r="E11" s="110"/>
    </row>
    <row r="12" spans="2:7" ht="19.5" customHeight="1" x14ac:dyDescent="0.35">
      <c r="B12" s="109" t="s">
        <v>173</v>
      </c>
      <c r="C12" s="110"/>
      <c r="D12" s="110"/>
      <c r="E12" s="110"/>
    </row>
    <row r="13" spans="2:7" ht="19.5" customHeight="1" x14ac:dyDescent="0.35">
      <c r="B13" s="109" t="s">
        <v>174</v>
      </c>
      <c r="C13" s="110"/>
      <c r="D13" s="110"/>
      <c r="E13" s="110"/>
    </row>
    <row r="14" spans="2:7" ht="19.5" customHeight="1" x14ac:dyDescent="0.35">
      <c r="B14" s="109" t="s">
        <v>175</v>
      </c>
      <c r="C14" s="111"/>
      <c r="D14" s="112" t="s">
        <v>176</v>
      </c>
    </row>
    <row r="16" spans="2:7" ht="24" customHeight="1" x14ac:dyDescent="0.35">
      <c r="B16" s="19" t="s">
        <v>177</v>
      </c>
      <c r="C16" s="19"/>
      <c r="D16" s="19"/>
      <c r="E16" s="19"/>
      <c r="F16" s="19"/>
      <c r="G16" s="19"/>
    </row>
    <row r="17" spans="2:7" ht="27.75" customHeight="1" x14ac:dyDescent="0.35">
      <c r="B17" s="20" t="s">
        <v>13</v>
      </c>
      <c r="C17" s="20" t="s">
        <v>178</v>
      </c>
      <c r="D17" s="20" t="s">
        <v>179</v>
      </c>
      <c r="E17" s="20" t="s">
        <v>180</v>
      </c>
      <c r="F17" s="20" t="s">
        <v>181</v>
      </c>
      <c r="G17" s="20" t="s">
        <v>182</v>
      </c>
    </row>
    <row r="18" spans="2:7" ht="21.75" customHeight="1" x14ac:dyDescent="0.35">
      <c r="B18" s="113" t="s">
        <v>183</v>
      </c>
      <c r="C18" s="113"/>
      <c r="D18" s="113"/>
      <c r="E18" s="113"/>
      <c r="F18" s="113"/>
      <c r="G18" s="113"/>
    </row>
    <row r="19" spans="2:7" ht="27.75" customHeight="1" x14ac:dyDescent="0.35">
      <c r="B19" s="114" t="s">
        <v>184</v>
      </c>
      <c r="C19" s="50" t="s">
        <v>185</v>
      </c>
      <c r="D19" s="61"/>
      <c r="E19" s="18"/>
      <c r="F19" s="78"/>
      <c r="G19" s="78"/>
    </row>
    <row r="20" spans="2:7" ht="27.75" customHeight="1" x14ac:dyDescent="0.35">
      <c r="B20" s="115" t="s">
        <v>186</v>
      </c>
      <c r="C20" s="46" t="s">
        <v>187</v>
      </c>
      <c r="D20" s="61"/>
      <c r="E20" s="18"/>
      <c r="F20" s="78"/>
      <c r="G20" s="78"/>
    </row>
    <row r="21" spans="2:7" ht="27.75" customHeight="1" x14ac:dyDescent="0.35">
      <c r="B21" s="114" t="s">
        <v>188</v>
      </c>
      <c r="C21" s="50" t="s">
        <v>189</v>
      </c>
      <c r="D21" s="61"/>
      <c r="E21" s="18"/>
      <c r="F21" s="78"/>
      <c r="G21" s="78"/>
    </row>
    <row r="22" spans="2:7" ht="27.75" customHeight="1" x14ac:dyDescent="0.35">
      <c r="B22" s="115" t="s">
        <v>190</v>
      </c>
      <c r="C22" s="46" t="s">
        <v>191</v>
      </c>
      <c r="D22" s="61"/>
      <c r="E22" s="18"/>
      <c r="F22" s="78"/>
      <c r="G22" s="78"/>
    </row>
    <row r="23" spans="2:7" ht="27.75" customHeight="1" x14ac:dyDescent="0.35">
      <c r="B23" s="114" t="s">
        <v>192</v>
      </c>
      <c r="C23" s="50" t="s">
        <v>193</v>
      </c>
      <c r="D23" s="61"/>
      <c r="E23" s="18"/>
      <c r="F23" s="78"/>
      <c r="G23" s="78"/>
    </row>
    <row r="25" spans="2:7" ht="21.75" customHeight="1" x14ac:dyDescent="0.35">
      <c r="B25" s="113" t="s">
        <v>194</v>
      </c>
      <c r="C25" s="113"/>
      <c r="D25" s="113"/>
      <c r="E25" s="113"/>
      <c r="F25" s="113"/>
      <c r="G25" s="113"/>
    </row>
    <row r="26" spans="2:7" ht="27.75" customHeight="1" x14ac:dyDescent="0.35">
      <c r="B26" s="115" t="s">
        <v>195</v>
      </c>
      <c r="C26" s="46" t="s">
        <v>196</v>
      </c>
      <c r="D26" s="61"/>
      <c r="E26" s="18"/>
      <c r="F26" s="78"/>
      <c r="G26" s="78"/>
    </row>
    <row r="27" spans="2:7" ht="27.75" customHeight="1" x14ac:dyDescent="0.35">
      <c r="B27" s="114" t="s">
        <v>197</v>
      </c>
      <c r="C27" s="50" t="s">
        <v>198</v>
      </c>
      <c r="D27" s="61"/>
      <c r="E27" s="18"/>
      <c r="F27" s="78"/>
      <c r="G27" s="78"/>
    </row>
    <row r="28" spans="2:7" ht="27.75" customHeight="1" x14ac:dyDescent="0.35">
      <c r="B28" s="115" t="s">
        <v>199</v>
      </c>
      <c r="C28" s="46" t="s">
        <v>200</v>
      </c>
      <c r="D28" s="61"/>
      <c r="E28" s="18"/>
      <c r="F28" s="78"/>
      <c r="G28" s="78"/>
    </row>
    <row r="29" spans="2:7" ht="27.75" customHeight="1" x14ac:dyDescent="0.35">
      <c r="B29" s="114" t="s">
        <v>201</v>
      </c>
      <c r="C29" s="50" t="s">
        <v>202</v>
      </c>
      <c r="D29" s="61"/>
      <c r="E29" s="18"/>
      <c r="F29" s="78"/>
      <c r="G29" s="78"/>
    </row>
    <row r="30" spans="2:7" ht="27.75" customHeight="1" x14ac:dyDescent="0.35">
      <c r="B30" s="115" t="s">
        <v>203</v>
      </c>
      <c r="C30" s="46" t="s">
        <v>204</v>
      </c>
      <c r="D30" s="61"/>
      <c r="E30" s="18"/>
      <c r="F30" s="78"/>
      <c r="G30" s="78"/>
    </row>
    <row r="31" spans="2:7" ht="27.75" customHeight="1" x14ac:dyDescent="0.35">
      <c r="B31" s="114" t="s">
        <v>205</v>
      </c>
      <c r="C31" s="50" t="s">
        <v>206</v>
      </c>
      <c r="D31" s="61"/>
      <c r="E31" s="18"/>
      <c r="F31" s="78"/>
      <c r="G31" s="78"/>
    </row>
    <row r="32" spans="2:7" ht="27.75" customHeight="1" x14ac:dyDescent="0.35">
      <c r="B32" s="115" t="s">
        <v>207</v>
      </c>
      <c r="C32" s="46" t="s">
        <v>208</v>
      </c>
      <c r="D32" s="61"/>
      <c r="E32" s="18"/>
      <c r="F32" s="78"/>
      <c r="G32" s="78"/>
    </row>
    <row r="34" spans="2:7" ht="21.75" customHeight="1" x14ac:dyDescent="0.35">
      <c r="B34" s="113" t="s">
        <v>209</v>
      </c>
      <c r="C34" s="113"/>
      <c r="D34" s="113"/>
      <c r="E34" s="113"/>
      <c r="F34" s="113"/>
      <c r="G34" s="113"/>
    </row>
    <row r="35" spans="2:7" ht="27.75" customHeight="1" x14ac:dyDescent="0.35">
      <c r="B35" s="114" t="s">
        <v>210</v>
      </c>
      <c r="C35" s="50" t="s">
        <v>211</v>
      </c>
      <c r="D35" s="61"/>
      <c r="E35" s="18"/>
      <c r="F35" s="78"/>
      <c r="G35" s="78"/>
    </row>
    <row r="36" spans="2:7" ht="27.75" customHeight="1" x14ac:dyDescent="0.35">
      <c r="B36" s="115" t="s">
        <v>212</v>
      </c>
      <c r="C36" s="46" t="s">
        <v>213</v>
      </c>
      <c r="D36" s="61"/>
      <c r="E36" s="18"/>
      <c r="F36" s="78"/>
      <c r="G36" s="78"/>
    </row>
    <row r="37" spans="2:7" ht="27.75" customHeight="1" x14ac:dyDescent="0.35">
      <c r="B37" s="114" t="s">
        <v>214</v>
      </c>
      <c r="C37" s="50" t="s">
        <v>215</v>
      </c>
      <c r="D37" s="61"/>
      <c r="E37" s="18"/>
      <c r="F37" s="78"/>
      <c r="G37" s="78"/>
    </row>
    <row r="39" spans="2:7" ht="21.75" customHeight="1" x14ac:dyDescent="0.35">
      <c r="B39" s="113" t="s">
        <v>216</v>
      </c>
      <c r="C39" s="113"/>
      <c r="D39" s="113"/>
      <c r="E39" s="113"/>
      <c r="F39" s="113"/>
      <c r="G39" s="113"/>
    </row>
    <row r="40" spans="2:7" ht="27.75" customHeight="1" x14ac:dyDescent="0.35">
      <c r="B40" s="115" t="s">
        <v>217</v>
      </c>
      <c r="C40" s="46" t="s">
        <v>218</v>
      </c>
      <c r="D40" s="61"/>
      <c r="E40" s="18"/>
      <c r="F40" s="78"/>
      <c r="G40" s="78"/>
    </row>
    <row r="41" spans="2:7" ht="27.75" customHeight="1" x14ac:dyDescent="0.35">
      <c r="B41" s="114" t="s">
        <v>219</v>
      </c>
      <c r="C41" s="50" t="s">
        <v>220</v>
      </c>
      <c r="D41" s="61"/>
      <c r="E41" s="18"/>
      <c r="F41" s="78"/>
      <c r="G41" s="78"/>
    </row>
    <row r="43" spans="2:7" ht="27.75" customHeight="1" x14ac:dyDescent="0.35">
      <c r="B43" s="19" t="s">
        <v>221</v>
      </c>
      <c r="C43" s="19"/>
      <c r="D43" s="116">
        <f>IF(D19="Sí",1,IF(D19="Parcial",0.5,0))+IF(D20="Sí",1,IF(D20="Parcial",0.5,0))+IF(D21="Sí",1,IF(D21="Parcial",0.5,0))+IF(D22="Sí",1,IF(D22="Parcial",0.5,0))+IF(D23="Sí",1,IF(D23="Parcial",0.5,0))+IF(D26="Sí",1,IF(D26="Parcial",0.5,0))+IF(D27="Sí",1,IF(D27="Parcial",0.5,0))+IF(D28="Sí",1,IF(D28="Parcial",0.5,0))+IF(D29="Sí",1,IF(D29="Parcial",0.5,0))+IF(D30="Sí",1,IF(D30="Parcial",0.5,0))+IF(D31="Sí",1,IF(D31="Parcial",0.5,0))+IF(D32="Sí",1,IF(D32="Parcial",0.5,0))+IF(D35="Sí",1,IF(D35="Parcial",0.5,0))+IF(D36="Sí",1,IF(D36="Parcial",0.5,0))+IF(D37="Sí",1,IF(D37="Parcial",0.5,0))+IF(D40="Sí",1,IF(D40="Parcial",0.5,0))+IF(D41="Sí",1,IF(D41="Parcial",0.5,0))</f>
        <v>0</v>
      </c>
      <c r="E43" s="117">
        <f>D43/17</f>
        <v>0</v>
      </c>
    </row>
    <row r="45" spans="2:7" ht="24" customHeight="1" x14ac:dyDescent="0.35">
      <c r="B45" s="19" t="s">
        <v>222</v>
      </c>
      <c r="C45" s="19"/>
      <c r="D45" s="19"/>
      <c r="E45" s="19"/>
      <c r="F45" s="19"/>
      <c r="G45" s="19"/>
    </row>
    <row r="46" spans="2:7" ht="21.75" customHeight="1" x14ac:dyDescent="0.35">
      <c r="B46" s="20" t="s">
        <v>223</v>
      </c>
      <c r="C46" s="20" t="s">
        <v>224</v>
      </c>
      <c r="D46" s="20" t="s">
        <v>225</v>
      </c>
      <c r="E46" s="20" t="s">
        <v>226</v>
      </c>
      <c r="F46" s="20" t="s">
        <v>227</v>
      </c>
      <c r="G46" s="20" t="s">
        <v>228</v>
      </c>
    </row>
    <row r="47" spans="2:7" ht="21.75" customHeight="1" x14ac:dyDescent="0.35">
      <c r="B47" s="118" t="s">
        <v>229</v>
      </c>
      <c r="C47" s="119"/>
      <c r="D47" s="119"/>
      <c r="E47" s="119"/>
      <c r="F47" s="119"/>
      <c r="G47" s="119"/>
    </row>
    <row r="48" spans="2:7" ht="21.75" customHeight="1" x14ac:dyDescent="0.35">
      <c r="B48" s="120" t="s">
        <v>230</v>
      </c>
      <c r="C48" s="121"/>
      <c r="D48" s="121"/>
      <c r="E48" s="121"/>
      <c r="F48" s="121"/>
      <c r="G48" s="121"/>
    </row>
    <row r="49" spans="2:7" ht="21.75" customHeight="1" x14ac:dyDescent="0.35">
      <c r="B49" s="118" t="s">
        <v>231</v>
      </c>
      <c r="C49" s="119"/>
      <c r="D49" s="119"/>
      <c r="E49" s="119"/>
      <c r="F49" s="119"/>
      <c r="G49" s="119"/>
    </row>
    <row r="50" spans="2:7" ht="21.75" customHeight="1" x14ac:dyDescent="0.35">
      <c r="B50" s="120" t="s">
        <v>232</v>
      </c>
      <c r="C50" s="121"/>
      <c r="D50" s="121"/>
      <c r="E50" s="121"/>
      <c r="F50" s="121"/>
      <c r="G50" s="121"/>
    </row>
    <row r="51" spans="2:7" ht="21.75" customHeight="1" x14ac:dyDescent="0.35">
      <c r="B51" s="118" t="s">
        <v>233</v>
      </c>
      <c r="C51" s="119"/>
      <c r="D51" s="119"/>
      <c r="E51" s="119"/>
      <c r="F51" s="119"/>
      <c r="G51" s="119"/>
    </row>
    <row r="52" spans="2:7" ht="21.75" customHeight="1" x14ac:dyDescent="0.35">
      <c r="B52" s="120" t="s">
        <v>234</v>
      </c>
      <c r="C52" s="121"/>
      <c r="D52" s="121"/>
      <c r="E52" s="121"/>
      <c r="F52" s="121"/>
      <c r="G52" s="121"/>
    </row>
    <row r="53" spans="2:7" ht="21.75" customHeight="1" x14ac:dyDescent="0.35">
      <c r="B53" s="118" t="s">
        <v>235</v>
      </c>
      <c r="C53" s="119"/>
      <c r="D53" s="119"/>
      <c r="E53" s="119"/>
      <c r="F53" s="119"/>
      <c r="G53" s="119"/>
    </row>
    <row r="54" spans="2:7" ht="21.75" customHeight="1" x14ac:dyDescent="0.35">
      <c r="B54" s="120" t="s">
        <v>236</v>
      </c>
      <c r="C54" s="121"/>
      <c r="D54" s="121"/>
      <c r="E54" s="121"/>
      <c r="F54" s="121"/>
      <c r="G54" s="121"/>
    </row>
    <row r="55" spans="2:7" ht="21.75" customHeight="1" x14ac:dyDescent="0.35">
      <c r="B55" s="118" t="s">
        <v>237</v>
      </c>
      <c r="C55" s="119"/>
      <c r="D55" s="119"/>
      <c r="E55" s="119"/>
      <c r="F55" s="119"/>
      <c r="G55" s="119"/>
    </row>
    <row r="56" spans="2:7" ht="21.75" customHeight="1" x14ac:dyDescent="0.35">
      <c r="B56" s="120" t="s">
        <v>238</v>
      </c>
      <c r="C56" s="121"/>
      <c r="D56" s="121"/>
      <c r="E56" s="121"/>
      <c r="F56" s="121"/>
      <c r="G56" s="121"/>
    </row>
    <row r="57" spans="2:7" ht="21.75" customHeight="1" x14ac:dyDescent="0.35">
      <c r="B57" s="118" t="s">
        <v>239</v>
      </c>
      <c r="C57" s="119"/>
      <c r="D57" s="119"/>
      <c r="E57" s="119"/>
      <c r="F57" s="119"/>
      <c r="G57" s="119"/>
    </row>
    <row r="58" spans="2:7" ht="21.75" customHeight="1" x14ac:dyDescent="0.35">
      <c r="B58" s="120" t="s">
        <v>240</v>
      </c>
      <c r="C58" s="121"/>
      <c r="D58" s="121"/>
      <c r="E58" s="121"/>
      <c r="F58" s="121"/>
      <c r="G58" s="121"/>
    </row>
    <row r="60" spans="2:7" ht="24" customHeight="1" x14ac:dyDescent="0.35">
      <c r="B60" s="19" t="s">
        <v>241</v>
      </c>
      <c r="C60" s="19"/>
      <c r="D60" s="19"/>
      <c r="E60" s="19"/>
      <c r="F60" s="19"/>
      <c r="G60" s="19"/>
    </row>
    <row r="61" spans="2:7" ht="21.75" customHeight="1" x14ac:dyDescent="0.35">
      <c r="B61" s="20" t="s">
        <v>242</v>
      </c>
      <c r="C61" s="20" t="s">
        <v>243</v>
      </c>
      <c r="D61" s="20" t="s">
        <v>244</v>
      </c>
      <c r="E61" s="20" t="s">
        <v>245</v>
      </c>
      <c r="F61" s="20" t="s">
        <v>246</v>
      </c>
    </row>
    <row r="62" spans="2:7" ht="19.5" customHeight="1" x14ac:dyDescent="0.35">
      <c r="B62" s="118" t="s">
        <v>247</v>
      </c>
      <c r="C62" s="119"/>
      <c r="D62" s="119"/>
      <c r="E62" s="119"/>
      <c r="F62" s="119"/>
    </row>
    <row r="63" spans="2:7" ht="19.5" customHeight="1" x14ac:dyDescent="0.35">
      <c r="B63" s="120" t="s">
        <v>248</v>
      </c>
      <c r="C63" s="121"/>
      <c r="D63" s="121"/>
      <c r="E63" s="121"/>
      <c r="F63" s="121"/>
    </row>
    <row r="64" spans="2:7" ht="19.5" customHeight="1" x14ac:dyDescent="0.35">
      <c r="B64" s="118" t="s">
        <v>249</v>
      </c>
      <c r="C64" s="119"/>
      <c r="D64" s="119"/>
      <c r="E64" s="119"/>
      <c r="F64" s="119"/>
    </row>
    <row r="65" spans="2:7" ht="19.5" customHeight="1" x14ac:dyDescent="0.35">
      <c r="B65" s="120" t="s">
        <v>250</v>
      </c>
      <c r="C65" s="121"/>
      <c r="D65" s="121"/>
      <c r="E65" s="121"/>
      <c r="F65" s="121"/>
    </row>
    <row r="66" spans="2:7" ht="19.5" customHeight="1" x14ac:dyDescent="0.35">
      <c r="B66" s="118" t="s">
        <v>251</v>
      </c>
      <c r="C66" s="119"/>
      <c r="D66" s="119"/>
      <c r="E66" s="119"/>
      <c r="F66" s="119"/>
    </row>
    <row r="67" spans="2:7" ht="19.5" customHeight="1" x14ac:dyDescent="0.35">
      <c r="B67" s="120" t="s">
        <v>252</v>
      </c>
      <c r="C67" s="121"/>
      <c r="D67" s="121"/>
      <c r="E67" s="121"/>
      <c r="F67" s="121"/>
    </row>
    <row r="68" spans="2:7" ht="19.5" customHeight="1" x14ac:dyDescent="0.35">
      <c r="B68" s="118" t="s">
        <v>253</v>
      </c>
      <c r="C68" s="119"/>
      <c r="D68" s="119"/>
      <c r="E68" s="119"/>
      <c r="F68" s="119"/>
    </row>
    <row r="69" spans="2:7" ht="19.5" customHeight="1" x14ac:dyDescent="0.35">
      <c r="B69" s="120" t="s">
        <v>254</v>
      </c>
      <c r="C69" s="121"/>
      <c r="D69" s="121"/>
      <c r="E69" s="121"/>
      <c r="F69" s="121"/>
    </row>
    <row r="71" spans="2:7" ht="24" customHeight="1" x14ac:dyDescent="0.35">
      <c r="B71" s="19" t="s">
        <v>255</v>
      </c>
      <c r="C71" s="19"/>
      <c r="D71" s="19"/>
      <c r="E71" s="19"/>
      <c r="F71" s="19"/>
      <c r="G71" s="19"/>
    </row>
    <row r="72" spans="2:7" ht="21.75" customHeight="1" x14ac:dyDescent="0.35">
      <c r="B72" s="20" t="s">
        <v>256</v>
      </c>
      <c r="C72" s="20" t="s">
        <v>224</v>
      </c>
      <c r="D72" s="20" t="s">
        <v>257</v>
      </c>
      <c r="E72" s="20" t="s">
        <v>258</v>
      </c>
      <c r="F72" s="20" t="s">
        <v>246</v>
      </c>
    </row>
    <row r="73" spans="2:7" ht="21.75" customHeight="1" x14ac:dyDescent="0.35">
      <c r="B73" s="46" t="s">
        <v>259</v>
      </c>
      <c r="C73" s="119"/>
      <c r="D73" s="119"/>
      <c r="E73" s="119"/>
      <c r="F73" s="119"/>
    </row>
    <row r="74" spans="2:7" ht="21.75" customHeight="1" x14ac:dyDescent="0.35">
      <c r="B74" s="50" t="s">
        <v>260</v>
      </c>
      <c r="C74" s="121"/>
      <c r="D74" s="121"/>
      <c r="E74" s="121"/>
      <c r="F74" s="121"/>
    </row>
    <row r="75" spans="2:7" ht="21.75" customHeight="1" x14ac:dyDescent="0.35">
      <c r="B75" s="46" t="s">
        <v>261</v>
      </c>
      <c r="C75" s="119"/>
      <c r="D75" s="119"/>
      <c r="E75" s="119"/>
      <c r="F75" s="119"/>
    </row>
    <row r="76" spans="2:7" ht="21.75" customHeight="1" x14ac:dyDescent="0.35">
      <c r="B76" s="50" t="s">
        <v>262</v>
      </c>
      <c r="C76" s="121"/>
      <c r="D76" s="121"/>
      <c r="E76" s="121"/>
      <c r="F76" s="121"/>
    </row>
    <row r="77" spans="2:7" ht="21.75" customHeight="1" x14ac:dyDescent="0.35">
      <c r="B77" s="46" t="s">
        <v>263</v>
      </c>
      <c r="C77" s="119"/>
      <c r="D77" s="119"/>
      <c r="E77" s="119"/>
      <c r="F77" s="119"/>
    </row>
    <row r="78" spans="2:7" ht="21.75" customHeight="1" x14ac:dyDescent="0.35">
      <c r="B78" s="50" t="s">
        <v>264</v>
      </c>
      <c r="C78" s="121"/>
      <c r="D78" s="121"/>
      <c r="E78" s="121"/>
      <c r="F78" s="121"/>
    </row>
    <row r="79" spans="2:7" ht="21.75" customHeight="1" x14ac:dyDescent="0.35">
      <c r="B79" s="46" t="s">
        <v>265</v>
      </c>
      <c r="C79" s="119"/>
      <c r="D79" s="119"/>
      <c r="E79" s="119"/>
      <c r="F79" s="119"/>
    </row>
    <row r="81" spans="2:7" ht="24" customHeight="1" x14ac:dyDescent="0.35">
      <c r="B81" s="19" t="s">
        <v>266</v>
      </c>
      <c r="C81" s="19"/>
      <c r="D81" s="19"/>
      <c r="E81" s="19"/>
      <c r="F81" s="19"/>
      <c r="G81" s="19"/>
    </row>
    <row r="82" spans="2:7" ht="27.75" customHeight="1" x14ac:dyDescent="0.35">
      <c r="B82" s="20" t="s">
        <v>138</v>
      </c>
      <c r="C82" s="20" t="s">
        <v>267</v>
      </c>
      <c r="D82" s="20" t="s">
        <v>268</v>
      </c>
      <c r="E82" s="20" t="s">
        <v>269</v>
      </c>
      <c r="F82" s="20" t="s">
        <v>270</v>
      </c>
      <c r="G82" s="20" t="s">
        <v>271</v>
      </c>
    </row>
    <row r="83" spans="2:7" ht="25.5" customHeight="1" x14ac:dyDescent="0.35">
      <c r="B83" s="123" t="s">
        <v>272</v>
      </c>
      <c r="C83" s="61"/>
      <c r="D83" s="46" t="s">
        <v>273</v>
      </c>
      <c r="E83" s="124"/>
      <c r="F83" s="78"/>
      <c r="G83" s="18"/>
    </row>
    <row r="84" spans="2:7" ht="25.5" customHeight="1" x14ac:dyDescent="0.35">
      <c r="B84" s="125" t="s">
        <v>274</v>
      </c>
      <c r="C84" s="61"/>
      <c r="D84" s="50" t="s">
        <v>275</v>
      </c>
      <c r="E84" s="124"/>
      <c r="F84" s="78"/>
      <c r="G84" s="18"/>
    </row>
    <row r="85" spans="2:7" ht="25.5" customHeight="1" x14ac:dyDescent="0.35">
      <c r="B85" s="123" t="s">
        <v>276</v>
      </c>
      <c r="C85" s="61"/>
      <c r="D85" s="46" t="s">
        <v>277</v>
      </c>
      <c r="E85" s="124"/>
      <c r="F85" s="78"/>
      <c r="G85" s="18"/>
    </row>
    <row r="86" spans="2:7" ht="25.5" customHeight="1" x14ac:dyDescent="0.35">
      <c r="B86" s="125" t="s">
        <v>278</v>
      </c>
      <c r="C86" s="61"/>
      <c r="D86" s="50" t="s">
        <v>279</v>
      </c>
      <c r="E86" s="124"/>
      <c r="F86" s="78"/>
      <c r="G86" s="18"/>
    </row>
    <row r="87" spans="2:7" ht="25.5" customHeight="1" x14ac:dyDescent="0.35">
      <c r="B87" s="123" t="s">
        <v>280</v>
      </c>
      <c r="C87" s="61"/>
      <c r="D87" s="46" t="s">
        <v>281</v>
      </c>
      <c r="E87" s="124"/>
      <c r="F87" s="78"/>
      <c r="G87" s="18"/>
    </row>
    <row r="88" spans="2:7" ht="25.5" customHeight="1" x14ac:dyDescent="0.35">
      <c r="B88" s="125" t="s">
        <v>282</v>
      </c>
      <c r="C88" s="61"/>
      <c r="D88" s="50" t="s">
        <v>283</v>
      </c>
      <c r="E88" s="124"/>
      <c r="F88" s="78"/>
      <c r="G88" s="18"/>
    </row>
    <row r="89" spans="2:7" ht="25.5" customHeight="1" x14ac:dyDescent="0.35">
      <c r="B89" s="123" t="s">
        <v>284</v>
      </c>
      <c r="C89" s="61"/>
      <c r="D89" s="46" t="s">
        <v>285</v>
      </c>
      <c r="E89" s="124"/>
      <c r="F89" s="78"/>
      <c r="G89" s="18"/>
    </row>
    <row r="91" spans="2:7" ht="24" customHeight="1" x14ac:dyDescent="0.35">
      <c r="B91" s="19" t="s">
        <v>286</v>
      </c>
      <c r="C91" s="19"/>
      <c r="D91" s="19"/>
      <c r="E91" s="19"/>
      <c r="F91" s="19"/>
      <c r="G91" s="19"/>
    </row>
    <row r="92" spans="2:7" ht="21.75" customHeight="1" x14ac:dyDescent="0.35">
      <c r="B92" s="20" t="s">
        <v>287</v>
      </c>
      <c r="C92" s="20" t="s">
        <v>288</v>
      </c>
    </row>
    <row r="93" spans="2:7" ht="21.75" customHeight="1" x14ac:dyDescent="0.35">
      <c r="B93" s="44" t="s">
        <v>289</v>
      </c>
      <c r="C93" s="126"/>
      <c r="D93" s="126"/>
      <c r="E93" s="126"/>
      <c r="F93" s="126"/>
      <c r="G93" s="126"/>
    </row>
    <row r="94" spans="2:7" ht="21.75" customHeight="1" x14ac:dyDescent="0.35">
      <c r="B94" s="48" t="s">
        <v>290</v>
      </c>
      <c r="C94" s="126"/>
      <c r="D94" s="126"/>
      <c r="E94" s="126"/>
      <c r="F94" s="126"/>
      <c r="G94" s="126"/>
    </row>
    <row r="95" spans="2:7" ht="21.75" customHeight="1" x14ac:dyDescent="0.35">
      <c r="B95" s="44" t="s">
        <v>291</v>
      </c>
      <c r="C95" s="126"/>
      <c r="D95" s="126"/>
      <c r="E95" s="126"/>
      <c r="F95" s="126"/>
      <c r="G95" s="126"/>
    </row>
    <row r="96" spans="2:7" ht="21.75" customHeight="1" x14ac:dyDescent="0.35">
      <c r="B96" s="48" t="s">
        <v>292</v>
      </c>
      <c r="C96" s="126"/>
      <c r="D96" s="126"/>
      <c r="E96" s="126"/>
      <c r="F96" s="126"/>
      <c r="G96" s="126"/>
    </row>
    <row r="97" spans="2:7" ht="21.75" customHeight="1" x14ac:dyDescent="0.35">
      <c r="B97" s="44" t="s">
        <v>293</v>
      </c>
      <c r="C97" s="126"/>
      <c r="D97" s="126"/>
      <c r="E97" s="126"/>
      <c r="F97" s="126"/>
      <c r="G97" s="126"/>
    </row>
    <row r="98" spans="2:7" ht="21.75" customHeight="1" x14ac:dyDescent="0.35">
      <c r="B98" s="48" t="s">
        <v>294</v>
      </c>
      <c r="C98" s="126"/>
      <c r="D98" s="126"/>
      <c r="E98" s="126"/>
      <c r="F98" s="126"/>
      <c r="G98" s="126"/>
    </row>
    <row r="99" spans="2:7" ht="21.75" customHeight="1" x14ac:dyDescent="0.35">
      <c r="B99" s="44" t="s">
        <v>295</v>
      </c>
      <c r="C99" s="126"/>
      <c r="D99" s="126"/>
      <c r="E99" s="126"/>
      <c r="F99" s="126"/>
      <c r="G99" s="126"/>
    </row>
    <row r="101" spans="2:7" ht="24" customHeight="1" x14ac:dyDescent="0.35">
      <c r="B101" s="19" t="s">
        <v>296</v>
      </c>
      <c r="C101" s="19"/>
      <c r="D101" s="19"/>
      <c r="E101" s="19"/>
      <c r="F101" s="19"/>
      <c r="G101" s="19"/>
    </row>
    <row r="102" spans="2:7" ht="21.75" customHeight="1" x14ac:dyDescent="0.35">
      <c r="B102" s="20" t="s">
        <v>297</v>
      </c>
      <c r="C102" s="20" t="s">
        <v>298</v>
      </c>
      <c r="D102" s="20" t="s">
        <v>299</v>
      </c>
      <c r="E102" s="20" t="s">
        <v>300</v>
      </c>
      <c r="F102" s="20" t="s">
        <v>301</v>
      </c>
    </row>
    <row r="103" spans="2:7" ht="21.75" customHeight="1" x14ac:dyDescent="0.35">
      <c r="B103" s="118" t="s">
        <v>302</v>
      </c>
      <c r="C103" s="119"/>
      <c r="D103" s="119"/>
      <c r="E103" s="46"/>
      <c r="F103" s="119"/>
    </row>
    <row r="104" spans="2:7" ht="21.75" customHeight="1" x14ac:dyDescent="0.35">
      <c r="B104" s="120" t="s">
        <v>303</v>
      </c>
      <c r="C104" s="121"/>
      <c r="D104" s="121"/>
      <c r="E104" s="50"/>
      <c r="F104" s="121"/>
    </row>
    <row r="105" spans="2:7" ht="21.75" customHeight="1" x14ac:dyDescent="0.35">
      <c r="B105" s="118" t="s">
        <v>304</v>
      </c>
      <c r="C105" s="119"/>
      <c r="D105" s="119"/>
      <c r="E105" s="46"/>
      <c r="F105" s="119"/>
    </row>
    <row r="106" spans="2:7" ht="21.75" customHeight="1" x14ac:dyDescent="0.35">
      <c r="B106" s="120" t="s">
        <v>305</v>
      </c>
      <c r="C106" s="121"/>
      <c r="D106" s="121"/>
      <c r="E106" s="50"/>
      <c r="F106" s="121"/>
    </row>
    <row r="107" spans="2:7" ht="21.75" customHeight="1" x14ac:dyDescent="0.35">
      <c r="B107" s="118" t="s">
        <v>306</v>
      </c>
      <c r="C107" s="119"/>
      <c r="D107" s="119"/>
      <c r="E107" s="46"/>
      <c r="F107" s="119"/>
    </row>
    <row r="108" spans="2:7" ht="21.75" customHeight="1" x14ac:dyDescent="0.35">
      <c r="B108" s="120" t="s">
        <v>307</v>
      </c>
      <c r="C108" s="121"/>
      <c r="D108" s="121"/>
      <c r="E108" s="50"/>
      <c r="F108" s="121"/>
    </row>
    <row r="109" spans="2:7" ht="21.75" customHeight="1" x14ac:dyDescent="0.35">
      <c r="B109" s="118" t="s">
        <v>308</v>
      </c>
      <c r="C109" s="119"/>
      <c r="D109" s="119"/>
      <c r="E109" s="46"/>
      <c r="F109" s="119"/>
    </row>
    <row r="110" spans="2:7" ht="21.75" customHeight="1" x14ac:dyDescent="0.35">
      <c r="B110" s="120" t="s">
        <v>309</v>
      </c>
      <c r="C110" s="121"/>
      <c r="D110" s="121"/>
      <c r="E110" s="50"/>
      <c r="F110" s="121"/>
    </row>
    <row r="111" spans="2:7" ht="21.75" customHeight="1" x14ac:dyDescent="0.35">
      <c r="B111" s="118" t="s">
        <v>310</v>
      </c>
      <c r="C111" s="119"/>
      <c r="D111" s="119"/>
      <c r="E111" s="46"/>
      <c r="F111" s="119"/>
    </row>
    <row r="112" spans="2:7" ht="21.75" customHeight="1" x14ac:dyDescent="0.35">
      <c r="B112" s="120" t="s">
        <v>311</v>
      </c>
      <c r="C112" s="121"/>
      <c r="D112" s="121"/>
      <c r="E112" s="50"/>
      <c r="F112" s="121"/>
    </row>
    <row r="114" spans="2:7" ht="24" customHeight="1" x14ac:dyDescent="0.35">
      <c r="B114" s="19" t="s">
        <v>312</v>
      </c>
      <c r="C114" s="19"/>
      <c r="D114" s="19"/>
      <c r="E114" s="19"/>
      <c r="F114" s="19"/>
      <c r="G114" s="19"/>
    </row>
    <row r="115" spans="2:7" ht="21.75" customHeight="1" x14ac:dyDescent="0.35">
      <c r="B115" s="20" t="s">
        <v>313</v>
      </c>
      <c r="C115" s="20" t="s">
        <v>314</v>
      </c>
    </row>
    <row r="116" spans="2:7" ht="21.75" customHeight="1" x14ac:dyDescent="0.35">
      <c r="B116" s="44" t="s">
        <v>315</v>
      </c>
      <c r="C116" s="126"/>
      <c r="D116" s="126"/>
      <c r="E116" s="126"/>
      <c r="F116" s="126"/>
      <c r="G116" s="126"/>
    </row>
    <row r="117" spans="2:7" ht="21.75" customHeight="1" x14ac:dyDescent="0.35">
      <c r="B117" s="48" t="s">
        <v>316</v>
      </c>
      <c r="C117" s="126"/>
      <c r="D117" s="126"/>
      <c r="E117" s="126"/>
      <c r="F117" s="126"/>
      <c r="G117" s="126"/>
    </row>
    <row r="118" spans="2:7" ht="21.75" customHeight="1" x14ac:dyDescent="0.35">
      <c r="B118" s="44" t="s">
        <v>317</v>
      </c>
      <c r="C118" s="126"/>
      <c r="D118" s="126"/>
      <c r="E118" s="126"/>
      <c r="F118" s="126"/>
      <c r="G118" s="126"/>
    </row>
    <row r="119" spans="2:7" ht="21.75" customHeight="1" x14ac:dyDescent="0.35">
      <c r="B119" s="48" t="s">
        <v>318</v>
      </c>
      <c r="C119" s="126"/>
      <c r="D119" s="126"/>
      <c r="E119" s="126"/>
      <c r="F119" s="126"/>
      <c r="G119" s="126"/>
    </row>
    <row r="120" spans="2:7" ht="21.75" customHeight="1" x14ac:dyDescent="0.35">
      <c r="B120" s="44" t="s">
        <v>319</v>
      </c>
      <c r="C120" s="126"/>
      <c r="D120" s="126"/>
      <c r="E120" s="126"/>
      <c r="F120" s="126"/>
      <c r="G120" s="126"/>
    </row>
    <row r="121" spans="2:7" ht="21.75" customHeight="1" x14ac:dyDescent="0.35">
      <c r="B121" s="48" t="s">
        <v>320</v>
      </c>
      <c r="C121" s="126"/>
      <c r="D121" s="126"/>
      <c r="E121" s="126"/>
      <c r="F121" s="126"/>
      <c r="G121" s="126"/>
    </row>
    <row r="122" spans="2:7" ht="21.75" customHeight="1" x14ac:dyDescent="0.35">
      <c r="B122" s="44" t="s">
        <v>321</v>
      </c>
      <c r="C122" s="126"/>
      <c r="D122" s="126"/>
      <c r="E122" s="126"/>
      <c r="F122" s="126"/>
      <c r="G122" s="126"/>
    </row>
    <row r="124" spans="2:7" ht="24" customHeight="1" x14ac:dyDescent="0.35">
      <c r="B124" s="19" t="s">
        <v>322</v>
      </c>
      <c r="C124" s="19"/>
      <c r="D124" s="19"/>
      <c r="E124" s="19"/>
      <c r="F124" s="19"/>
      <c r="G124" s="19"/>
    </row>
    <row r="125" spans="2:7" ht="21.75" customHeight="1" x14ac:dyDescent="0.35">
      <c r="B125" s="20" t="s">
        <v>323</v>
      </c>
      <c r="C125" s="20" t="s">
        <v>324</v>
      </c>
    </row>
    <row r="126" spans="2:7" ht="30" customHeight="1" x14ac:dyDescent="0.35">
      <c r="B126" s="127" t="s">
        <v>325</v>
      </c>
      <c r="C126" s="126"/>
      <c r="D126" s="126"/>
      <c r="E126" s="126"/>
      <c r="F126" s="126"/>
      <c r="G126" s="126"/>
    </row>
    <row r="127" spans="2:7" ht="30" customHeight="1" x14ac:dyDescent="0.35">
      <c r="B127" s="128" t="s">
        <v>326</v>
      </c>
      <c r="C127" s="126"/>
      <c r="D127" s="126"/>
      <c r="E127" s="126"/>
      <c r="F127" s="126"/>
      <c r="G127" s="126"/>
    </row>
    <row r="128" spans="2:7" ht="30" customHeight="1" x14ac:dyDescent="0.35">
      <c r="B128" s="127" t="s">
        <v>327</v>
      </c>
      <c r="C128" s="126"/>
      <c r="D128" s="126"/>
      <c r="E128" s="126"/>
      <c r="F128" s="126"/>
      <c r="G128" s="126"/>
    </row>
    <row r="129" spans="2:7" ht="30" customHeight="1" x14ac:dyDescent="0.35">
      <c r="B129" s="128" t="s">
        <v>328</v>
      </c>
      <c r="C129" s="126"/>
      <c r="D129" s="126"/>
      <c r="E129" s="126"/>
      <c r="F129" s="126"/>
      <c r="G129" s="126"/>
    </row>
    <row r="130" spans="2:7" ht="30" customHeight="1" x14ac:dyDescent="0.35">
      <c r="B130" s="127" t="s">
        <v>329</v>
      </c>
      <c r="C130" s="126"/>
      <c r="D130" s="126"/>
      <c r="E130" s="126"/>
      <c r="F130" s="126"/>
      <c r="G130" s="126"/>
    </row>
    <row r="131" spans="2:7" ht="30" customHeight="1" x14ac:dyDescent="0.35">
      <c r="B131" s="128" t="s">
        <v>330</v>
      </c>
      <c r="C131" s="126"/>
      <c r="D131" s="126"/>
      <c r="E131" s="126"/>
      <c r="F131" s="126"/>
      <c r="G131" s="126"/>
    </row>
    <row r="132" spans="2:7" ht="30" customHeight="1" x14ac:dyDescent="0.35">
      <c r="B132" s="127" t="s">
        <v>331</v>
      </c>
      <c r="C132" s="126"/>
      <c r="D132" s="126"/>
      <c r="E132" s="126"/>
      <c r="F132" s="126"/>
      <c r="G132" s="126"/>
    </row>
  </sheetData>
  <mergeCells count="46">
    <mergeCell ref="C132:G132"/>
    <mergeCell ref="C127:G127"/>
    <mergeCell ref="C128:G128"/>
    <mergeCell ref="C129:G129"/>
    <mergeCell ref="C130:G130"/>
    <mergeCell ref="C131:G131"/>
    <mergeCell ref="C120:G120"/>
    <mergeCell ref="C121:G121"/>
    <mergeCell ref="C122:G122"/>
    <mergeCell ref="B124:G124"/>
    <mergeCell ref="C126:G126"/>
    <mergeCell ref="B114:G114"/>
    <mergeCell ref="C116:G116"/>
    <mergeCell ref="C117:G117"/>
    <mergeCell ref="C118:G118"/>
    <mergeCell ref="C119:G119"/>
    <mergeCell ref="C96:G96"/>
    <mergeCell ref="C97:G97"/>
    <mergeCell ref="C98:G98"/>
    <mergeCell ref="C99:G99"/>
    <mergeCell ref="B101:G101"/>
    <mergeCell ref="B81:G81"/>
    <mergeCell ref="B91:G91"/>
    <mergeCell ref="C93:G93"/>
    <mergeCell ref="C94:G94"/>
    <mergeCell ref="C95:G95"/>
    <mergeCell ref="B39:G39"/>
    <mergeCell ref="B43:C43"/>
    <mergeCell ref="B45:G45"/>
    <mergeCell ref="B60:G60"/>
    <mergeCell ref="B71:G71"/>
    <mergeCell ref="C13:E13"/>
    <mergeCell ref="B16:G16"/>
    <mergeCell ref="B18:G18"/>
    <mergeCell ref="B25:G25"/>
    <mergeCell ref="B34:G34"/>
    <mergeCell ref="C8:E8"/>
    <mergeCell ref="C9:E9"/>
    <mergeCell ref="C10:E10"/>
    <mergeCell ref="C11:E11"/>
    <mergeCell ref="C12:E12"/>
    <mergeCell ref="B2:G2"/>
    <mergeCell ref="B4:G4"/>
    <mergeCell ref="C5:E5"/>
    <mergeCell ref="C6:E6"/>
    <mergeCell ref="C7:E7"/>
  </mergeCells>
  <dataValidations count="2">
    <dataValidation type="list" allowBlank="1" sqref="G19:G23 G26:G32 G35:G37 G40:G41" xr:uid="{00000000-0002-0000-0B00-000003000000}">
      <formula1>"Alta,Media,Baja,Sin mejora"</formula1>
      <formula2>0</formula2>
    </dataValidation>
    <dataValidation type="list" allowBlank="1" sqref="C83:C89" xr:uid="{00000000-0002-0000-0B00-000004000000}">
      <formula1>"Sí,No,Parcial"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B00-000000000000}">
          <x14:formula1>
            <xm:f>Listas!$H$5:$H$9</xm:f>
          </x14:formula1>
          <x14:formula2>
            <xm:f>0</xm:f>
          </x14:formula2>
          <xm:sqref>C12</xm:sqref>
        </x14:dataValidation>
        <x14:dataValidation type="list" allowBlank="1" xr:uid="{00000000-0002-0000-0B00-000001000000}">
          <x14:formula1>
            <xm:f>Listas!$D$5:$D$10</xm:f>
          </x14:formula1>
          <x14:formula2>
            <xm:f>0</xm:f>
          </x14:formula2>
          <xm:sqref>C14</xm:sqref>
        </x14:dataValidation>
        <x14:dataValidation type="list" allowBlank="1" xr:uid="{00000000-0002-0000-0B00-000002000000}">
          <x14:formula1>
            <xm:f>Listas!$B$5:$B$8</xm:f>
          </x14:formula1>
          <x14:formula2>
            <xm:f>0</xm:f>
          </x14:formula2>
          <xm:sqref>D19:D23 D26:D32 D35:D37 D40:D41</xm:sqref>
        </x14:dataValidation>
        <x14:dataValidation type="list" allowBlank="1" xr:uid="{00000000-0002-0000-0B00-000005000000}">
          <x14:formula1>
            <xm:f>Listas!$F$5:$F$7</xm:f>
          </x14:formula1>
          <x14:formula2>
            <xm:f>0</xm:f>
          </x14:formula2>
          <xm:sqref>F83:F89</xm:sqref>
        </x14:dataValidation>
        <x14:dataValidation type="list" allowBlank="1" xr:uid="{00000000-0002-0000-0B00-000006000000}">
          <x14:formula1>
            <xm:f>Listas!$L$5:$L$7</xm:f>
          </x14:formula1>
          <x14:formula2>
            <xm:f>0</xm:f>
          </x14:formula2>
          <xm:sqref>C130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D4A017"/>
  </sheetPr>
  <dimension ref="B1:G132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B1048576"/>
    </sheetView>
  </sheetViews>
  <sheetFormatPr baseColWidth="10" defaultColWidth="8.6328125" defaultRowHeight="14.5" x14ac:dyDescent="0.35"/>
  <cols>
    <col min="1" max="1" width="3" style="1" customWidth="1"/>
    <col min="2" max="2" width="23.81640625" style="1" customWidth="1"/>
    <col min="3" max="3" width="36" style="1" customWidth="1"/>
    <col min="4" max="4" width="14" style="1" customWidth="1"/>
    <col min="5" max="5" width="40" style="1" customWidth="1"/>
    <col min="6" max="6" width="14" style="1" customWidth="1"/>
    <col min="7" max="7" width="20" style="1" customWidth="1"/>
    <col min="8" max="16384" width="8.6328125" style="1"/>
  </cols>
  <sheetData>
    <row r="1" spans="2:7" ht="7.5" customHeight="1" x14ac:dyDescent="0.35"/>
    <row r="2" spans="2:7" ht="30" customHeight="1" x14ac:dyDescent="0.35">
      <c r="B2" s="107" t="s">
        <v>338</v>
      </c>
      <c r="C2" s="107"/>
      <c r="D2" s="107"/>
      <c r="E2" s="107"/>
      <c r="F2" s="107"/>
      <c r="G2" s="107"/>
    </row>
    <row r="4" spans="2:7" ht="24" customHeight="1" x14ac:dyDescent="0.35">
      <c r="B4" s="19" t="s">
        <v>165</v>
      </c>
      <c r="C4" s="19"/>
      <c r="D4" s="19"/>
      <c r="E4" s="19"/>
      <c r="F4" s="19"/>
      <c r="G4" s="19"/>
    </row>
    <row r="5" spans="2:7" ht="19.5" customHeight="1" x14ac:dyDescent="0.35">
      <c r="B5" s="109" t="s">
        <v>166</v>
      </c>
      <c r="C5" s="110"/>
      <c r="D5" s="110"/>
      <c r="E5" s="110"/>
    </row>
    <row r="6" spans="2:7" ht="19.5" customHeight="1" x14ac:dyDescent="0.35">
      <c r="B6" s="109" t="s">
        <v>167</v>
      </c>
      <c r="C6" s="110"/>
      <c r="D6" s="110"/>
      <c r="E6" s="110"/>
    </row>
    <row r="7" spans="2:7" ht="19.5" customHeight="1" x14ac:dyDescent="0.35">
      <c r="B7" s="109" t="s">
        <v>168</v>
      </c>
      <c r="C7" s="110"/>
      <c r="D7" s="110"/>
      <c r="E7" s="110"/>
    </row>
    <row r="8" spans="2:7" ht="19.5" customHeight="1" x14ac:dyDescent="0.35">
      <c r="B8" s="109" t="s">
        <v>169</v>
      </c>
      <c r="C8" s="110"/>
      <c r="D8" s="110"/>
      <c r="E8" s="110"/>
    </row>
    <row r="9" spans="2:7" ht="19.5" customHeight="1" x14ac:dyDescent="0.35">
      <c r="B9" s="109" t="s">
        <v>170</v>
      </c>
      <c r="C9" s="110"/>
      <c r="D9" s="110"/>
      <c r="E9" s="110"/>
    </row>
    <row r="10" spans="2:7" ht="19.5" customHeight="1" x14ac:dyDescent="0.35">
      <c r="B10" s="109" t="s">
        <v>171</v>
      </c>
      <c r="C10" s="110"/>
      <c r="D10" s="110"/>
      <c r="E10" s="110"/>
    </row>
    <row r="11" spans="2:7" ht="19.5" customHeight="1" x14ac:dyDescent="0.35">
      <c r="B11" s="109" t="s">
        <v>172</v>
      </c>
      <c r="C11" s="110"/>
      <c r="D11" s="110"/>
      <c r="E11" s="110"/>
    </row>
    <row r="12" spans="2:7" ht="19.5" customHeight="1" x14ac:dyDescent="0.35">
      <c r="B12" s="109" t="s">
        <v>173</v>
      </c>
      <c r="C12" s="110"/>
      <c r="D12" s="110"/>
      <c r="E12" s="110"/>
    </row>
    <row r="13" spans="2:7" ht="19.5" customHeight="1" x14ac:dyDescent="0.35">
      <c r="B13" s="109" t="s">
        <v>174</v>
      </c>
      <c r="C13" s="110"/>
      <c r="D13" s="110"/>
      <c r="E13" s="110"/>
    </row>
    <row r="14" spans="2:7" ht="19.5" customHeight="1" x14ac:dyDescent="0.35">
      <c r="B14" s="109" t="s">
        <v>175</v>
      </c>
      <c r="C14" s="111"/>
      <c r="D14" s="112" t="s">
        <v>176</v>
      </c>
    </row>
    <row r="16" spans="2:7" ht="24" customHeight="1" x14ac:dyDescent="0.35">
      <c r="B16" s="19" t="s">
        <v>177</v>
      </c>
      <c r="C16" s="19"/>
      <c r="D16" s="19"/>
      <c r="E16" s="19"/>
      <c r="F16" s="19"/>
      <c r="G16" s="19"/>
    </row>
    <row r="17" spans="2:7" ht="27.75" customHeight="1" x14ac:dyDescent="0.35">
      <c r="B17" s="20" t="s">
        <v>13</v>
      </c>
      <c r="C17" s="20" t="s">
        <v>178</v>
      </c>
      <c r="D17" s="20" t="s">
        <v>179</v>
      </c>
      <c r="E17" s="20" t="s">
        <v>180</v>
      </c>
      <c r="F17" s="20" t="s">
        <v>181</v>
      </c>
      <c r="G17" s="20" t="s">
        <v>182</v>
      </c>
    </row>
    <row r="18" spans="2:7" ht="21.75" customHeight="1" x14ac:dyDescent="0.35">
      <c r="B18" s="113" t="s">
        <v>183</v>
      </c>
      <c r="C18" s="113"/>
      <c r="D18" s="113"/>
      <c r="E18" s="113"/>
      <c r="F18" s="113"/>
      <c r="G18" s="113"/>
    </row>
    <row r="19" spans="2:7" ht="27.75" customHeight="1" x14ac:dyDescent="0.35">
      <c r="B19" s="114" t="s">
        <v>184</v>
      </c>
      <c r="C19" s="50" t="s">
        <v>185</v>
      </c>
      <c r="D19" s="61"/>
      <c r="E19" s="18"/>
      <c r="F19" s="78"/>
      <c r="G19" s="78"/>
    </row>
    <row r="20" spans="2:7" ht="27.75" customHeight="1" x14ac:dyDescent="0.35">
      <c r="B20" s="115" t="s">
        <v>186</v>
      </c>
      <c r="C20" s="46" t="s">
        <v>187</v>
      </c>
      <c r="D20" s="61"/>
      <c r="E20" s="18"/>
      <c r="F20" s="78"/>
      <c r="G20" s="78"/>
    </row>
    <row r="21" spans="2:7" ht="27.75" customHeight="1" x14ac:dyDescent="0.35">
      <c r="B21" s="114" t="s">
        <v>188</v>
      </c>
      <c r="C21" s="50" t="s">
        <v>189</v>
      </c>
      <c r="D21" s="61"/>
      <c r="E21" s="18"/>
      <c r="F21" s="78"/>
      <c r="G21" s="78"/>
    </row>
    <row r="22" spans="2:7" ht="27.75" customHeight="1" x14ac:dyDescent="0.35">
      <c r="B22" s="115" t="s">
        <v>190</v>
      </c>
      <c r="C22" s="46" t="s">
        <v>191</v>
      </c>
      <c r="D22" s="61"/>
      <c r="E22" s="18"/>
      <c r="F22" s="78"/>
      <c r="G22" s="78"/>
    </row>
    <row r="23" spans="2:7" ht="27.75" customHeight="1" x14ac:dyDescent="0.35">
      <c r="B23" s="114" t="s">
        <v>192</v>
      </c>
      <c r="C23" s="50" t="s">
        <v>193</v>
      </c>
      <c r="D23" s="61"/>
      <c r="E23" s="18"/>
      <c r="F23" s="78"/>
      <c r="G23" s="78"/>
    </row>
    <row r="25" spans="2:7" ht="21.75" customHeight="1" x14ac:dyDescent="0.35">
      <c r="B25" s="113" t="s">
        <v>194</v>
      </c>
      <c r="C25" s="113"/>
      <c r="D25" s="113"/>
      <c r="E25" s="113"/>
      <c r="F25" s="113"/>
      <c r="G25" s="113"/>
    </row>
    <row r="26" spans="2:7" ht="27.75" customHeight="1" x14ac:dyDescent="0.35">
      <c r="B26" s="115" t="s">
        <v>195</v>
      </c>
      <c r="C26" s="46" t="s">
        <v>196</v>
      </c>
      <c r="D26" s="61"/>
      <c r="E26" s="18"/>
      <c r="F26" s="78"/>
      <c r="G26" s="78"/>
    </row>
    <row r="27" spans="2:7" ht="27.75" customHeight="1" x14ac:dyDescent="0.35">
      <c r="B27" s="114" t="s">
        <v>197</v>
      </c>
      <c r="C27" s="50" t="s">
        <v>198</v>
      </c>
      <c r="D27" s="61"/>
      <c r="E27" s="18"/>
      <c r="F27" s="78"/>
      <c r="G27" s="78"/>
    </row>
    <row r="28" spans="2:7" ht="27.75" customHeight="1" x14ac:dyDescent="0.35">
      <c r="B28" s="115" t="s">
        <v>199</v>
      </c>
      <c r="C28" s="46" t="s">
        <v>200</v>
      </c>
      <c r="D28" s="61"/>
      <c r="E28" s="18"/>
      <c r="F28" s="78"/>
      <c r="G28" s="78"/>
    </row>
    <row r="29" spans="2:7" ht="27.75" customHeight="1" x14ac:dyDescent="0.35">
      <c r="B29" s="114" t="s">
        <v>201</v>
      </c>
      <c r="C29" s="50" t="s">
        <v>202</v>
      </c>
      <c r="D29" s="61"/>
      <c r="E29" s="18"/>
      <c r="F29" s="78"/>
      <c r="G29" s="78"/>
    </row>
    <row r="30" spans="2:7" ht="27.75" customHeight="1" x14ac:dyDescent="0.35">
      <c r="B30" s="115" t="s">
        <v>203</v>
      </c>
      <c r="C30" s="46" t="s">
        <v>204</v>
      </c>
      <c r="D30" s="61"/>
      <c r="E30" s="18"/>
      <c r="F30" s="78"/>
      <c r="G30" s="78"/>
    </row>
    <row r="31" spans="2:7" ht="27.75" customHeight="1" x14ac:dyDescent="0.35">
      <c r="B31" s="114" t="s">
        <v>205</v>
      </c>
      <c r="C31" s="50" t="s">
        <v>206</v>
      </c>
      <c r="D31" s="61"/>
      <c r="E31" s="18"/>
      <c r="F31" s="78"/>
      <c r="G31" s="78"/>
    </row>
    <row r="32" spans="2:7" ht="27.75" customHeight="1" x14ac:dyDescent="0.35">
      <c r="B32" s="115" t="s">
        <v>207</v>
      </c>
      <c r="C32" s="46" t="s">
        <v>208</v>
      </c>
      <c r="D32" s="61"/>
      <c r="E32" s="18"/>
      <c r="F32" s="78"/>
      <c r="G32" s="78"/>
    </row>
    <row r="34" spans="2:7" ht="21.75" customHeight="1" x14ac:dyDescent="0.35">
      <c r="B34" s="113" t="s">
        <v>209</v>
      </c>
      <c r="C34" s="113"/>
      <c r="D34" s="113"/>
      <c r="E34" s="113"/>
      <c r="F34" s="113"/>
      <c r="G34" s="113"/>
    </row>
    <row r="35" spans="2:7" ht="27.75" customHeight="1" x14ac:dyDescent="0.35">
      <c r="B35" s="114" t="s">
        <v>210</v>
      </c>
      <c r="C35" s="50" t="s">
        <v>211</v>
      </c>
      <c r="D35" s="61"/>
      <c r="E35" s="18"/>
      <c r="F35" s="78"/>
      <c r="G35" s="78"/>
    </row>
    <row r="36" spans="2:7" ht="27.75" customHeight="1" x14ac:dyDescent="0.35">
      <c r="B36" s="115" t="s">
        <v>212</v>
      </c>
      <c r="C36" s="46" t="s">
        <v>213</v>
      </c>
      <c r="D36" s="61"/>
      <c r="E36" s="18"/>
      <c r="F36" s="78"/>
      <c r="G36" s="78"/>
    </row>
    <row r="37" spans="2:7" ht="27.75" customHeight="1" x14ac:dyDescent="0.35">
      <c r="B37" s="114" t="s">
        <v>214</v>
      </c>
      <c r="C37" s="50" t="s">
        <v>215</v>
      </c>
      <c r="D37" s="61"/>
      <c r="E37" s="18"/>
      <c r="F37" s="78"/>
      <c r="G37" s="78"/>
    </row>
    <row r="39" spans="2:7" ht="21.75" customHeight="1" x14ac:dyDescent="0.35">
      <c r="B39" s="113" t="s">
        <v>216</v>
      </c>
      <c r="C39" s="113"/>
      <c r="D39" s="113"/>
      <c r="E39" s="113"/>
      <c r="F39" s="113"/>
      <c r="G39" s="113"/>
    </row>
    <row r="40" spans="2:7" ht="27.75" customHeight="1" x14ac:dyDescent="0.35">
      <c r="B40" s="115" t="s">
        <v>217</v>
      </c>
      <c r="C40" s="46" t="s">
        <v>218</v>
      </c>
      <c r="D40" s="61"/>
      <c r="E40" s="18"/>
      <c r="F40" s="78"/>
      <c r="G40" s="78"/>
    </row>
    <row r="41" spans="2:7" ht="27.75" customHeight="1" x14ac:dyDescent="0.35">
      <c r="B41" s="114" t="s">
        <v>219</v>
      </c>
      <c r="C41" s="50" t="s">
        <v>220</v>
      </c>
      <c r="D41" s="61"/>
      <c r="E41" s="18"/>
      <c r="F41" s="78"/>
      <c r="G41" s="78"/>
    </row>
    <row r="43" spans="2:7" ht="27.75" customHeight="1" x14ac:dyDescent="0.35">
      <c r="B43" s="19" t="s">
        <v>221</v>
      </c>
      <c r="C43" s="19"/>
      <c r="D43" s="116">
        <f>IF(D19="Sí",1,IF(D19="Parcial",0.5,0))+IF(D20="Sí",1,IF(D20="Parcial",0.5,0))+IF(D21="Sí",1,IF(D21="Parcial",0.5,0))+IF(D22="Sí",1,IF(D22="Parcial",0.5,0))+IF(D23="Sí",1,IF(D23="Parcial",0.5,0))+IF(D26="Sí",1,IF(D26="Parcial",0.5,0))+IF(D27="Sí",1,IF(D27="Parcial",0.5,0))+IF(D28="Sí",1,IF(D28="Parcial",0.5,0))+IF(D29="Sí",1,IF(D29="Parcial",0.5,0))+IF(D30="Sí",1,IF(D30="Parcial",0.5,0))+IF(D31="Sí",1,IF(D31="Parcial",0.5,0))+IF(D32="Sí",1,IF(D32="Parcial",0.5,0))+IF(D35="Sí",1,IF(D35="Parcial",0.5,0))+IF(D36="Sí",1,IF(D36="Parcial",0.5,0))+IF(D37="Sí",1,IF(D37="Parcial",0.5,0))+IF(D40="Sí",1,IF(D40="Parcial",0.5,0))+IF(D41="Sí",1,IF(D41="Parcial",0.5,0))</f>
        <v>0</v>
      </c>
      <c r="E43" s="117">
        <f>D43/17</f>
        <v>0</v>
      </c>
    </row>
    <row r="45" spans="2:7" ht="24" customHeight="1" x14ac:dyDescent="0.35">
      <c r="B45" s="19" t="s">
        <v>222</v>
      </c>
      <c r="C45" s="19"/>
      <c r="D45" s="19"/>
      <c r="E45" s="19"/>
      <c r="F45" s="19"/>
      <c r="G45" s="19"/>
    </row>
    <row r="46" spans="2:7" ht="21.75" customHeight="1" x14ac:dyDescent="0.35">
      <c r="B46" s="20" t="s">
        <v>223</v>
      </c>
      <c r="C46" s="20" t="s">
        <v>224</v>
      </c>
      <c r="D46" s="20" t="s">
        <v>225</v>
      </c>
      <c r="E46" s="20" t="s">
        <v>226</v>
      </c>
      <c r="F46" s="20" t="s">
        <v>227</v>
      </c>
      <c r="G46" s="20" t="s">
        <v>228</v>
      </c>
    </row>
    <row r="47" spans="2:7" ht="21.75" customHeight="1" x14ac:dyDescent="0.35">
      <c r="B47" s="118" t="s">
        <v>229</v>
      </c>
      <c r="C47" s="119"/>
      <c r="D47" s="119"/>
      <c r="E47" s="119"/>
      <c r="F47" s="119"/>
      <c r="G47" s="119"/>
    </row>
    <row r="48" spans="2:7" ht="21.75" customHeight="1" x14ac:dyDescent="0.35">
      <c r="B48" s="120" t="s">
        <v>230</v>
      </c>
      <c r="C48" s="121"/>
      <c r="D48" s="121"/>
      <c r="E48" s="121"/>
      <c r="F48" s="121"/>
      <c r="G48" s="121"/>
    </row>
    <row r="49" spans="2:7" ht="21.75" customHeight="1" x14ac:dyDescent="0.35">
      <c r="B49" s="118" t="s">
        <v>231</v>
      </c>
      <c r="C49" s="119"/>
      <c r="D49" s="119"/>
      <c r="E49" s="119"/>
      <c r="F49" s="119"/>
      <c r="G49" s="119"/>
    </row>
    <row r="50" spans="2:7" ht="21.75" customHeight="1" x14ac:dyDescent="0.35">
      <c r="B50" s="120" t="s">
        <v>232</v>
      </c>
      <c r="C50" s="121"/>
      <c r="D50" s="121"/>
      <c r="E50" s="121"/>
      <c r="F50" s="121"/>
      <c r="G50" s="121"/>
    </row>
    <row r="51" spans="2:7" ht="21.75" customHeight="1" x14ac:dyDescent="0.35">
      <c r="B51" s="118" t="s">
        <v>233</v>
      </c>
      <c r="C51" s="119"/>
      <c r="D51" s="119"/>
      <c r="E51" s="119"/>
      <c r="F51" s="119"/>
      <c r="G51" s="119"/>
    </row>
    <row r="52" spans="2:7" ht="21.75" customHeight="1" x14ac:dyDescent="0.35">
      <c r="B52" s="120" t="s">
        <v>234</v>
      </c>
      <c r="C52" s="121"/>
      <c r="D52" s="121"/>
      <c r="E52" s="121"/>
      <c r="F52" s="121"/>
      <c r="G52" s="121"/>
    </row>
    <row r="53" spans="2:7" ht="21.75" customHeight="1" x14ac:dyDescent="0.35">
      <c r="B53" s="118" t="s">
        <v>235</v>
      </c>
      <c r="C53" s="119"/>
      <c r="D53" s="119"/>
      <c r="E53" s="119"/>
      <c r="F53" s="119"/>
      <c r="G53" s="119"/>
    </row>
    <row r="54" spans="2:7" ht="21.75" customHeight="1" x14ac:dyDescent="0.35">
      <c r="B54" s="120" t="s">
        <v>236</v>
      </c>
      <c r="C54" s="121"/>
      <c r="D54" s="121"/>
      <c r="E54" s="121"/>
      <c r="F54" s="121"/>
      <c r="G54" s="121"/>
    </row>
    <row r="55" spans="2:7" ht="21.75" customHeight="1" x14ac:dyDescent="0.35">
      <c r="B55" s="118" t="s">
        <v>237</v>
      </c>
      <c r="C55" s="119"/>
      <c r="D55" s="119"/>
      <c r="E55" s="119"/>
      <c r="F55" s="119"/>
      <c r="G55" s="119"/>
    </row>
    <row r="56" spans="2:7" ht="21.75" customHeight="1" x14ac:dyDescent="0.35">
      <c r="B56" s="120" t="s">
        <v>238</v>
      </c>
      <c r="C56" s="121"/>
      <c r="D56" s="121"/>
      <c r="E56" s="121"/>
      <c r="F56" s="121"/>
      <c r="G56" s="121"/>
    </row>
    <row r="57" spans="2:7" ht="21.75" customHeight="1" x14ac:dyDescent="0.35">
      <c r="B57" s="118" t="s">
        <v>239</v>
      </c>
      <c r="C57" s="119"/>
      <c r="D57" s="119"/>
      <c r="E57" s="119"/>
      <c r="F57" s="119"/>
      <c r="G57" s="119"/>
    </row>
    <row r="58" spans="2:7" ht="21.75" customHeight="1" x14ac:dyDescent="0.35">
      <c r="B58" s="120" t="s">
        <v>240</v>
      </c>
      <c r="C58" s="121"/>
      <c r="D58" s="121"/>
      <c r="E58" s="121"/>
      <c r="F58" s="121"/>
      <c r="G58" s="121"/>
    </row>
    <row r="60" spans="2:7" ht="24" customHeight="1" x14ac:dyDescent="0.35">
      <c r="B60" s="19" t="s">
        <v>241</v>
      </c>
      <c r="C60" s="19"/>
      <c r="D60" s="19"/>
      <c r="E60" s="19"/>
      <c r="F60" s="19"/>
      <c r="G60" s="19"/>
    </row>
    <row r="61" spans="2:7" ht="21.75" customHeight="1" x14ac:dyDescent="0.35">
      <c r="B61" s="20" t="s">
        <v>242</v>
      </c>
      <c r="C61" s="20" t="s">
        <v>243</v>
      </c>
      <c r="D61" s="20" t="s">
        <v>244</v>
      </c>
      <c r="E61" s="20" t="s">
        <v>245</v>
      </c>
      <c r="F61" s="20" t="s">
        <v>246</v>
      </c>
    </row>
    <row r="62" spans="2:7" ht="19.5" customHeight="1" x14ac:dyDescent="0.35">
      <c r="B62" s="118" t="s">
        <v>247</v>
      </c>
      <c r="C62" s="119"/>
      <c r="D62" s="119"/>
      <c r="E62" s="119"/>
      <c r="F62" s="119"/>
    </row>
    <row r="63" spans="2:7" ht="19.5" customHeight="1" x14ac:dyDescent="0.35">
      <c r="B63" s="120" t="s">
        <v>248</v>
      </c>
      <c r="C63" s="121"/>
      <c r="D63" s="121"/>
      <c r="E63" s="121"/>
      <c r="F63" s="121"/>
    </row>
    <row r="64" spans="2:7" ht="19.5" customHeight="1" x14ac:dyDescent="0.35">
      <c r="B64" s="118" t="s">
        <v>249</v>
      </c>
      <c r="C64" s="119"/>
      <c r="D64" s="119"/>
      <c r="E64" s="119"/>
      <c r="F64" s="119"/>
    </row>
    <row r="65" spans="2:7" ht="19.5" customHeight="1" x14ac:dyDescent="0.35">
      <c r="B65" s="120" t="s">
        <v>250</v>
      </c>
      <c r="C65" s="121"/>
      <c r="D65" s="121"/>
      <c r="E65" s="121"/>
      <c r="F65" s="121"/>
    </row>
    <row r="66" spans="2:7" ht="19.5" customHeight="1" x14ac:dyDescent="0.35">
      <c r="B66" s="118" t="s">
        <v>251</v>
      </c>
      <c r="C66" s="119"/>
      <c r="D66" s="119"/>
      <c r="E66" s="119"/>
      <c r="F66" s="119"/>
    </row>
    <row r="67" spans="2:7" ht="19.5" customHeight="1" x14ac:dyDescent="0.35">
      <c r="B67" s="120" t="s">
        <v>252</v>
      </c>
      <c r="C67" s="121"/>
      <c r="D67" s="121"/>
      <c r="E67" s="121"/>
      <c r="F67" s="121"/>
    </row>
    <row r="68" spans="2:7" ht="19.5" customHeight="1" x14ac:dyDescent="0.35">
      <c r="B68" s="118" t="s">
        <v>253</v>
      </c>
      <c r="C68" s="119"/>
      <c r="D68" s="119"/>
      <c r="E68" s="119"/>
      <c r="F68" s="119"/>
    </row>
    <row r="69" spans="2:7" ht="19.5" customHeight="1" x14ac:dyDescent="0.35">
      <c r="B69" s="120" t="s">
        <v>254</v>
      </c>
      <c r="C69" s="121"/>
      <c r="D69" s="121"/>
      <c r="E69" s="121"/>
      <c r="F69" s="121"/>
    </row>
    <row r="71" spans="2:7" ht="24" customHeight="1" x14ac:dyDescent="0.35">
      <c r="B71" s="19" t="s">
        <v>255</v>
      </c>
      <c r="C71" s="19"/>
      <c r="D71" s="19"/>
      <c r="E71" s="19"/>
      <c r="F71" s="19"/>
      <c r="G71" s="19"/>
    </row>
    <row r="72" spans="2:7" ht="21.75" customHeight="1" x14ac:dyDescent="0.35">
      <c r="B72" s="20" t="s">
        <v>256</v>
      </c>
      <c r="C72" s="20" t="s">
        <v>224</v>
      </c>
      <c r="D72" s="20" t="s">
        <v>257</v>
      </c>
      <c r="E72" s="20" t="s">
        <v>258</v>
      </c>
      <c r="F72" s="20" t="s">
        <v>246</v>
      </c>
    </row>
    <row r="73" spans="2:7" ht="21.75" customHeight="1" x14ac:dyDescent="0.35">
      <c r="B73" s="46" t="s">
        <v>259</v>
      </c>
      <c r="C73" s="119"/>
      <c r="D73" s="119"/>
      <c r="E73" s="119"/>
      <c r="F73" s="119"/>
    </row>
    <row r="74" spans="2:7" ht="21.75" customHeight="1" x14ac:dyDescent="0.35">
      <c r="B74" s="50" t="s">
        <v>260</v>
      </c>
      <c r="C74" s="121"/>
      <c r="D74" s="121"/>
      <c r="E74" s="121"/>
      <c r="F74" s="121"/>
    </row>
    <row r="75" spans="2:7" ht="21.75" customHeight="1" x14ac:dyDescent="0.35">
      <c r="B75" s="46" t="s">
        <v>261</v>
      </c>
      <c r="C75" s="119"/>
      <c r="D75" s="119"/>
      <c r="E75" s="119"/>
      <c r="F75" s="119"/>
    </row>
    <row r="76" spans="2:7" ht="21.75" customHeight="1" x14ac:dyDescent="0.35">
      <c r="B76" s="50" t="s">
        <v>262</v>
      </c>
      <c r="C76" s="121"/>
      <c r="D76" s="121"/>
      <c r="E76" s="121"/>
      <c r="F76" s="121"/>
    </row>
    <row r="77" spans="2:7" ht="21.75" customHeight="1" x14ac:dyDescent="0.35">
      <c r="B77" s="46" t="s">
        <v>263</v>
      </c>
      <c r="C77" s="119"/>
      <c r="D77" s="119"/>
      <c r="E77" s="119"/>
      <c r="F77" s="119"/>
    </row>
    <row r="78" spans="2:7" ht="21.75" customHeight="1" x14ac:dyDescent="0.35">
      <c r="B78" s="50" t="s">
        <v>264</v>
      </c>
      <c r="C78" s="121"/>
      <c r="D78" s="121"/>
      <c r="E78" s="121"/>
      <c r="F78" s="121"/>
    </row>
    <row r="79" spans="2:7" ht="21.75" customHeight="1" x14ac:dyDescent="0.35">
      <c r="B79" s="46" t="s">
        <v>265</v>
      </c>
      <c r="C79" s="119"/>
      <c r="D79" s="119"/>
      <c r="E79" s="119"/>
      <c r="F79" s="119"/>
    </row>
    <row r="81" spans="2:7" ht="24" customHeight="1" x14ac:dyDescent="0.35">
      <c r="B81" s="19" t="s">
        <v>266</v>
      </c>
      <c r="C81" s="19"/>
      <c r="D81" s="19"/>
      <c r="E81" s="19"/>
      <c r="F81" s="19"/>
      <c r="G81" s="19"/>
    </row>
    <row r="82" spans="2:7" ht="27.75" customHeight="1" x14ac:dyDescent="0.35">
      <c r="B82" s="20" t="s">
        <v>138</v>
      </c>
      <c r="C82" s="20" t="s">
        <v>267</v>
      </c>
      <c r="D82" s="20" t="s">
        <v>268</v>
      </c>
      <c r="E82" s="20" t="s">
        <v>269</v>
      </c>
      <c r="F82" s="20" t="s">
        <v>270</v>
      </c>
      <c r="G82" s="20" t="s">
        <v>271</v>
      </c>
    </row>
    <row r="83" spans="2:7" ht="25.5" customHeight="1" x14ac:dyDescent="0.35">
      <c r="B83" s="123" t="s">
        <v>272</v>
      </c>
      <c r="C83" s="61"/>
      <c r="D83" s="46" t="s">
        <v>273</v>
      </c>
      <c r="E83" s="124"/>
      <c r="F83" s="78"/>
      <c r="G83" s="18"/>
    </row>
    <row r="84" spans="2:7" ht="25.5" customHeight="1" x14ac:dyDescent="0.35">
      <c r="B84" s="125" t="s">
        <v>274</v>
      </c>
      <c r="C84" s="61"/>
      <c r="D84" s="50" t="s">
        <v>275</v>
      </c>
      <c r="E84" s="124"/>
      <c r="F84" s="78"/>
      <c r="G84" s="18"/>
    </row>
    <row r="85" spans="2:7" ht="25.5" customHeight="1" x14ac:dyDescent="0.35">
      <c r="B85" s="123" t="s">
        <v>276</v>
      </c>
      <c r="C85" s="61"/>
      <c r="D85" s="46" t="s">
        <v>277</v>
      </c>
      <c r="E85" s="124"/>
      <c r="F85" s="78"/>
      <c r="G85" s="18"/>
    </row>
    <row r="86" spans="2:7" ht="25.5" customHeight="1" x14ac:dyDescent="0.35">
      <c r="B86" s="125" t="s">
        <v>278</v>
      </c>
      <c r="C86" s="61"/>
      <c r="D86" s="50" t="s">
        <v>279</v>
      </c>
      <c r="E86" s="124"/>
      <c r="F86" s="78"/>
      <c r="G86" s="18"/>
    </row>
    <row r="87" spans="2:7" ht="25.5" customHeight="1" x14ac:dyDescent="0.35">
      <c r="B87" s="123" t="s">
        <v>280</v>
      </c>
      <c r="C87" s="61"/>
      <c r="D87" s="46" t="s">
        <v>281</v>
      </c>
      <c r="E87" s="124"/>
      <c r="F87" s="78"/>
      <c r="G87" s="18"/>
    </row>
    <row r="88" spans="2:7" ht="25.5" customHeight="1" x14ac:dyDescent="0.35">
      <c r="B88" s="125" t="s">
        <v>282</v>
      </c>
      <c r="C88" s="61"/>
      <c r="D88" s="50" t="s">
        <v>283</v>
      </c>
      <c r="E88" s="124"/>
      <c r="F88" s="78"/>
      <c r="G88" s="18"/>
    </row>
    <row r="89" spans="2:7" ht="25.5" customHeight="1" x14ac:dyDescent="0.35">
      <c r="B89" s="123" t="s">
        <v>284</v>
      </c>
      <c r="C89" s="61"/>
      <c r="D89" s="46" t="s">
        <v>285</v>
      </c>
      <c r="E89" s="124"/>
      <c r="F89" s="78"/>
      <c r="G89" s="18"/>
    </row>
    <row r="91" spans="2:7" ht="24" customHeight="1" x14ac:dyDescent="0.35">
      <c r="B91" s="19" t="s">
        <v>286</v>
      </c>
      <c r="C91" s="19"/>
      <c r="D91" s="19"/>
      <c r="E91" s="19"/>
      <c r="F91" s="19"/>
      <c r="G91" s="19"/>
    </row>
    <row r="92" spans="2:7" ht="21.75" customHeight="1" x14ac:dyDescent="0.35">
      <c r="B92" s="20" t="s">
        <v>287</v>
      </c>
      <c r="C92" s="20" t="s">
        <v>288</v>
      </c>
    </row>
    <row r="93" spans="2:7" ht="21.75" customHeight="1" x14ac:dyDescent="0.35">
      <c r="B93" s="44" t="s">
        <v>289</v>
      </c>
      <c r="C93" s="126"/>
      <c r="D93" s="126"/>
      <c r="E93" s="126"/>
      <c r="F93" s="126"/>
      <c r="G93" s="126"/>
    </row>
    <row r="94" spans="2:7" ht="21.75" customHeight="1" x14ac:dyDescent="0.35">
      <c r="B94" s="48" t="s">
        <v>290</v>
      </c>
      <c r="C94" s="126"/>
      <c r="D94" s="126"/>
      <c r="E94" s="126"/>
      <c r="F94" s="126"/>
      <c r="G94" s="126"/>
    </row>
    <row r="95" spans="2:7" ht="21.75" customHeight="1" x14ac:dyDescent="0.35">
      <c r="B95" s="44" t="s">
        <v>291</v>
      </c>
      <c r="C95" s="126"/>
      <c r="D95" s="126"/>
      <c r="E95" s="126"/>
      <c r="F95" s="126"/>
      <c r="G95" s="126"/>
    </row>
    <row r="96" spans="2:7" ht="21.75" customHeight="1" x14ac:dyDescent="0.35">
      <c r="B96" s="48" t="s">
        <v>292</v>
      </c>
      <c r="C96" s="126"/>
      <c r="D96" s="126"/>
      <c r="E96" s="126"/>
      <c r="F96" s="126"/>
      <c r="G96" s="126"/>
    </row>
    <row r="97" spans="2:7" ht="21.75" customHeight="1" x14ac:dyDescent="0.35">
      <c r="B97" s="44" t="s">
        <v>293</v>
      </c>
      <c r="C97" s="126"/>
      <c r="D97" s="126"/>
      <c r="E97" s="126"/>
      <c r="F97" s="126"/>
      <c r="G97" s="126"/>
    </row>
    <row r="98" spans="2:7" ht="21.75" customHeight="1" x14ac:dyDescent="0.35">
      <c r="B98" s="48" t="s">
        <v>294</v>
      </c>
      <c r="C98" s="126"/>
      <c r="D98" s="126"/>
      <c r="E98" s="126"/>
      <c r="F98" s="126"/>
      <c r="G98" s="126"/>
    </row>
    <row r="99" spans="2:7" ht="21.75" customHeight="1" x14ac:dyDescent="0.35">
      <c r="B99" s="44" t="s">
        <v>295</v>
      </c>
      <c r="C99" s="126"/>
      <c r="D99" s="126"/>
      <c r="E99" s="126"/>
      <c r="F99" s="126"/>
      <c r="G99" s="126"/>
    </row>
    <row r="101" spans="2:7" ht="24" customHeight="1" x14ac:dyDescent="0.35">
      <c r="B101" s="19" t="s">
        <v>296</v>
      </c>
      <c r="C101" s="19"/>
      <c r="D101" s="19"/>
      <c r="E101" s="19"/>
      <c r="F101" s="19"/>
      <c r="G101" s="19"/>
    </row>
    <row r="102" spans="2:7" ht="21.75" customHeight="1" x14ac:dyDescent="0.35">
      <c r="B102" s="20" t="s">
        <v>297</v>
      </c>
      <c r="C102" s="20" t="s">
        <v>298</v>
      </c>
      <c r="D102" s="20" t="s">
        <v>299</v>
      </c>
      <c r="E102" s="20" t="s">
        <v>300</v>
      </c>
      <c r="F102" s="20" t="s">
        <v>301</v>
      </c>
    </row>
    <row r="103" spans="2:7" ht="21.75" customHeight="1" x14ac:dyDescent="0.35">
      <c r="B103" s="118" t="s">
        <v>302</v>
      </c>
      <c r="C103" s="119"/>
      <c r="D103" s="119"/>
      <c r="E103" s="46"/>
      <c r="F103" s="119"/>
    </row>
    <row r="104" spans="2:7" ht="21.75" customHeight="1" x14ac:dyDescent="0.35">
      <c r="B104" s="120" t="s">
        <v>303</v>
      </c>
      <c r="C104" s="121"/>
      <c r="D104" s="121"/>
      <c r="E104" s="50"/>
      <c r="F104" s="121"/>
    </row>
    <row r="105" spans="2:7" ht="21.75" customHeight="1" x14ac:dyDescent="0.35">
      <c r="B105" s="118" t="s">
        <v>304</v>
      </c>
      <c r="C105" s="119"/>
      <c r="D105" s="119"/>
      <c r="E105" s="46"/>
      <c r="F105" s="119"/>
    </row>
    <row r="106" spans="2:7" ht="21.75" customHeight="1" x14ac:dyDescent="0.35">
      <c r="B106" s="120" t="s">
        <v>305</v>
      </c>
      <c r="C106" s="121"/>
      <c r="D106" s="121"/>
      <c r="E106" s="50"/>
      <c r="F106" s="121"/>
    </row>
    <row r="107" spans="2:7" ht="21.75" customHeight="1" x14ac:dyDescent="0.35">
      <c r="B107" s="118" t="s">
        <v>306</v>
      </c>
      <c r="C107" s="119"/>
      <c r="D107" s="119"/>
      <c r="E107" s="46"/>
      <c r="F107" s="119"/>
    </row>
    <row r="108" spans="2:7" ht="21.75" customHeight="1" x14ac:dyDescent="0.35">
      <c r="B108" s="120" t="s">
        <v>307</v>
      </c>
      <c r="C108" s="121"/>
      <c r="D108" s="121"/>
      <c r="E108" s="50"/>
      <c r="F108" s="121"/>
    </row>
    <row r="109" spans="2:7" ht="21.75" customHeight="1" x14ac:dyDescent="0.35">
      <c r="B109" s="118" t="s">
        <v>308</v>
      </c>
      <c r="C109" s="119"/>
      <c r="D109" s="119"/>
      <c r="E109" s="46"/>
      <c r="F109" s="119"/>
    </row>
    <row r="110" spans="2:7" ht="21.75" customHeight="1" x14ac:dyDescent="0.35">
      <c r="B110" s="120" t="s">
        <v>309</v>
      </c>
      <c r="C110" s="121"/>
      <c r="D110" s="121"/>
      <c r="E110" s="50"/>
      <c r="F110" s="121"/>
    </row>
    <row r="111" spans="2:7" ht="21.75" customHeight="1" x14ac:dyDescent="0.35">
      <c r="B111" s="118" t="s">
        <v>310</v>
      </c>
      <c r="C111" s="119"/>
      <c r="D111" s="119"/>
      <c r="E111" s="46"/>
      <c r="F111" s="119"/>
    </row>
    <row r="112" spans="2:7" ht="21.75" customHeight="1" x14ac:dyDescent="0.35">
      <c r="B112" s="120" t="s">
        <v>311</v>
      </c>
      <c r="C112" s="121"/>
      <c r="D112" s="121"/>
      <c r="E112" s="50"/>
      <c r="F112" s="121"/>
    </row>
    <row r="114" spans="2:7" ht="24" customHeight="1" x14ac:dyDescent="0.35">
      <c r="B114" s="19" t="s">
        <v>312</v>
      </c>
      <c r="C114" s="19"/>
      <c r="D114" s="19"/>
      <c r="E114" s="19"/>
      <c r="F114" s="19"/>
      <c r="G114" s="19"/>
    </row>
    <row r="115" spans="2:7" ht="21.75" customHeight="1" x14ac:dyDescent="0.35">
      <c r="B115" s="20" t="s">
        <v>313</v>
      </c>
      <c r="C115" s="20" t="s">
        <v>314</v>
      </c>
    </row>
    <row r="116" spans="2:7" ht="21.75" customHeight="1" x14ac:dyDescent="0.35">
      <c r="B116" s="44" t="s">
        <v>315</v>
      </c>
      <c r="C116" s="126"/>
      <c r="D116" s="126"/>
      <c r="E116" s="126"/>
      <c r="F116" s="126"/>
      <c r="G116" s="126"/>
    </row>
    <row r="117" spans="2:7" ht="21.75" customHeight="1" x14ac:dyDescent="0.35">
      <c r="B117" s="48" t="s">
        <v>316</v>
      </c>
      <c r="C117" s="126"/>
      <c r="D117" s="126"/>
      <c r="E117" s="126"/>
      <c r="F117" s="126"/>
      <c r="G117" s="126"/>
    </row>
    <row r="118" spans="2:7" ht="21.75" customHeight="1" x14ac:dyDescent="0.35">
      <c r="B118" s="44" t="s">
        <v>317</v>
      </c>
      <c r="C118" s="126"/>
      <c r="D118" s="126"/>
      <c r="E118" s="126"/>
      <c r="F118" s="126"/>
      <c r="G118" s="126"/>
    </row>
    <row r="119" spans="2:7" ht="21.75" customHeight="1" x14ac:dyDescent="0.35">
      <c r="B119" s="48" t="s">
        <v>318</v>
      </c>
      <c r="C119" s="126"/>
      <c r="D119" s="126"/>
      <c r="E119" s="126"/>
      <c r="F119" s="126"/>
      <c r="G119" s="126"/>
    </row>
    <row r="120" spans="2:7" ht="21.75" customHeight="1" x14ac:dyDescent="0.35">
      <c r="B120" s="44" t="s">
        <v>319</v>
      </c>
      <c r="C120" s="126"/>
      <c r="D120" s="126"/>
      <c r="E120" s="126"/>
      <c r="F120" s="126"/>
      <c r="G120" s="126"/>
    </row>
    <row r="121" spans="2:7" ht="21.75" customHeight="1" x14ac:dyDescent="0.35">
      <c r="B121" s="48" t="s">
        <v>320</v>
      </c>
      <c r="C121" s="126"/>
      <c r="D121" s="126"/>
      <c r="E121" s="126"/>
      <c r="F121" s="126"/>
      <c r="G121" s="126"/>
    </row>
    <row r="122" spans="2:7" ht="21.75" customHeight="1" x14ac:dyDescent="0.35">
      <c r="B122" s="44" t="s">
        <v>321</v>
      </c>
      <c r="C122" s="126"/>
      <c r="D122" s="126"/>
      <c r="E122" s="126"/>
      <c r="F122" s="126"/>
      <c r="G122" s="126"/>
    </row>
    <row r="124" spans="2:7" ht="24" customHeight="1" x14ac:dyDescent="0.35">
      <c r="B124" s="19" t="s">
        <v>322</v>
      </c>
      <c r="C124" s="19"/>
      <c r="D124" s="19"/>
      <c r="E124" s="19"/>
      <c r="F124" s="19"/>
      <c r="G124" s="19"/>
    </row>
    <row r="125" spans="2:7" ht="21.75" customHeight="1" x14ac:dyDescent="0.35">
      <c r="B125" s="20" t="s">
        <v>323</v>
      </c>
      <c r="C125" s="20" t="s">
        <v>324</v>
      </c>
    </row>
    <row r="126" spans="2:7" ht="30" customHeight="1" x14ac:dyDescent="0.35">
      <c r="B126" s="127" t="s">
        <v>325</v>
      </c>
      <c r="C126" s="126"/>
      <c r="D126" s="126"/>
      <c r="E126" s="126"/>
      <c r="F126" s="126"/>
      <c r="G126" s="126"/>
    </row>
    <row r="127" spans="2:7" ht="30" customHeight="1" x14ac:dyDescent="0.35">
      <c r="B127" s="128" t="s">
        <v>326</v>
      </c>
      <c r="C127" s="126"/>
      <c r="D127" s="126"/>
      <c r="E127" s="126"/>
      <c r="F127" s="126"/>
      <c r="G127" s="126"/>
    </row>
    <row r="128" spans="2:7" ht="30" customHeight="1" x14ac:dyDescent="0.35">
      <c r="B128" s="127" t="s">
        <v>327</v>
      </c>
      <c r="C128" s="126"/>
      <c r="D128" s="126"/>
      <c r="E128" s="126"/>
      <c r="F128" s="126"/>
      <c r="G128" s="126"/>
    </row>
    <row r="129" spans="2:7" ht="30" customHeight="1" x14ac:dyDescent="0.35">
      <c r="B129" s="128" t="s">
        <v>328</v>
      </c>
      <c r="C129" s="126"/>
      <c r="D129" s="126"/>
      <c r="E129" s="126"/>
      <c r="F129" s="126"/>
      <c r="G129" s="126"/>
    </row>
    <row r="130" spans="2:7" ht="30" customHeight="1" x14ac:dyDescent="0.35">
      <c r="B130" s="127" t="s">
        <v>329</v>
      </c>
      <c r="C130" s="126"/>
      <c r="D130" s="126"/>
      <c r="E130" s="126"/>
      <c r="F130" s="126"/>
      <c r="G130" s="126"/>
    </row>
    <row r="131" spans="2:7" ht="30" customHeight="1" x14ac:dyDescent="0.35">
      <c r="B131" s="128" t="s">
        <v>330</v>
      </c>
      <c r="C131" s="126"/>
      <c r="D131" s="126"/>
      <c r="E131" s="126"/>
      <c r="F131" s="126"/>
      <c r="G131" s="126"/>
    </row>
    <row r="132" spans="2:7" ht="30" customHeight="1" x14ac:dyDescent="0.35">
      <c r="B132" s="127" t="s">
        <v>331</v>
      </c>
      <c r="C132" s="126"/>
      <c r="D132" s="126"/>
      <c r="E132" s="126"/>
      <c r="F132" s="126"/>
      <c r="G132" s="126"/>
    </row>
  </sheetData>
  <mergeCells count="46">
    <mergeCell ref="C132:G132"/>
    <mergeCell ref="C127:G127"/>
    <mergeCell ref="C128:G128"/>
    <mergeCell ref="C129:G129"/>
    <mergeCell ref="C130:G130"/>
    <mergeCell ref="C131:G131"/>
    <mergeCell ref="C120:G120"/>
    <mergeCell ref="C121:G121"/>
    <mergeCell ref="C122:G122"/>
    <mergeCell ref="B124:G124"/>
    <mergeCell ref="C126:G126"/>
    <mergeCell ref="B114:G114"/>
    <mergeCell ref="C116:G116"/>
    <mergeCell ref="C117:G117"/>
    <mergeCell ref="C118:G118"/>
    <mergeCell ref="C119:G119"/>
    <mergeCell ref="C96:G96"/>
    <mergeCell ref="C97:G97"/>
    <mergeCell ref="C98:G98"/>
    <mergeCell ref="C99:G99"/>
    <mergeCell ref="B101:G101"/>
    <mergeCell ref="B81:G81"/>
    <mergeCell ref="B91:G91"/>
    <mergeCell ref="C93:G93"/>
    <mergeCell ref="C94:G94"/>
    <mergeCell ref="C95:G95"/>
    <mergeCell ref="B39:G39"/>
    <mergeCell ref="B43:C43"/>
    <mergeCell ref="B45:G45"/>
    <mergeCell ref="B60:G60"/>
    <mergeCell ref="B71:G71"/>
    <mergeCell ref="C13:E13"/>
    <mergeCell ref="B16:G16"/>
    <mergeCell ref="B18:G18"/>
    <mergeCell ref="B25:G25"/>
    <mergeCell ref="B34:G34"/>
    <mergeCell ref="C8:E8"/>
    <mergeCell ref="C9:E9"/>
    <mergeCell ref="C10:E10"/>
    <mergeCell ref="C11:E11"/>
    <mergeCell ref="C12:E12"/>
    <mergeCell ref="B2:G2"/>
    <mergeCell ref="B4:G4"/>
    <mergeCell ref="C5:E5"/>
    <mergeCell ref="C6:E6"/>
    <mergeCell ref="C7:E7"/>
  </mergeCells>
  <dataValidations count="2">
    <dataValidation type="list" allowBlank="1" sqref="G19:G23 G26:G32 G35:G37 G40:G41" xr:uid="{00000000-0002-0000-0C00-000003000000}">
      <formula1>"Alta,Media,Baja,Sin mejora"</formula1>
      <formula2>0</formula2>
    </dataValidation>
    <dataValidation type="list" allowBlank="1" sqref="C83:C89" xr:uid="{00000000-0002-0000-0C00-000004000000}">
      <formula1>"Sí,No,Parcial"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C00-000000000000}">
          <x14:formula1>
            <xm:f>Listas!$H$5:$H$9</xm:f>
          </x14:formula1>
          <x14:formula2>
            <xm:f>0</xm:f>
          </x14:formula2>
          <xm:sqref>C12</xm:sqref>
        </x14:dataValidation>
        <x14:dataValidation type="list" allowBlank="1" xr:uid="{00000000-0002-0000-0C00-000001000000}">
          <x14:formula1>
            <xm:f>Listas!$D$5:$D$10</xm:f>
          </x14:formula1>
          <x14:formula2>
            <xm:f>0</xm:f>
          </x14:formula2>
          <xm:sqref>C14</xm:sqref>
        </x14:dataValidation>
        <x14:dataValidation type="list" allowBlank="1" xr:uid="{00000000-0002-0000-0C00-000002000000}">
          <x14:formula1>
            <xm:f>Listas!$B$5:$B$8</xm:f>
          </x14:formula1>
          <x14:formula2>
            <xm:f>0</xm:f>
          </x14:formula2>
          <xm:sqref>D19:D23 D26:D32 D35:D37 D40:D41</xm:sqref>
        </x14:dataValidation>
        <x14:dataValidation type="list" allowBlank="1" xr:uid="{00000000-0002-0000-0C00-000005000000}">
          <x14:formula1>
            <xm:f>Listas!$F$5:$F$7</xm:f>
          </x14:formula1>
          <x14:formula2>
            <xm:f>0</xm:f>
          </x14:formula2>
          <xm:sqref>F83:F89</xm:sqref>
        </x14:dataValidation>
        <x14:dataValidation type="list" allowBlank="1" xr:uid="{00000000-0002-0000-0C00-000006000000}">
          <x14:formula1>
            <xm:f>Listas!$L$5:$L$7</xm:f>
          </x14:formula1>
          <x14:formula2>
            <xm:f>0</xm:f>
          </x14:formula2>
          <xm:sqref>C130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54"/>
  <sheetViews>
    <sheetView showGridLines="0" topLeftCell="A34" zoomScaleNormal="100" workbookViewId="0">
      <selection activeCell="F43" sqref="F43"/>
    </sheetView>
  </sheetViews>
  <sheetFormatPr baseColWidth="10" defaultColWidth="8.6328125" defaultRowHeight="14.5" x14ac:dyDescent="0.35"/>
  <cols>
    <col min="1" max="16384" width="8.6328125" style="1"/>
  </cols>
  <sheetData>
    <row r="1" spans="1:6" ht="15" customHeight="1" x14ac:dyDescent="0.35">
      <c r="A1" s="129" t="s">
        <v>339</v>
      </c>
    </row>
    <row r="2" spans="1:6" ht="15" customHeight="1" x14ac:dyDescent="0.35">
      <c r="A2" s="130" t="s">
        <v>340</v>
      </c>
      <c r="B2" s="130" t="s">
        <v>341</v>
      </c>
      <c r="C2" s="130" t="s">
        <v>342</v>
      </c>
      <c r="D2" s="130" t="s">
        <v>343</v>
      </c>
    </row>
    <row r="3" spans="1:6" ht="15" customHeight="1" x14ac:dyDescent="0.35">
      <c r="A3" s="1" t="s">
        <v>344</v>
      </c>
      <c r="B3" s="1" t="str">
        <f>IFERROR('SURA Cotizadores'!$C$14,"N0")</f>
        <v>N2</v>
      </c>
      <c r="C3" s="1">
        <f>IFERROR(MATCH('SURA Cotizadores'!C14,{"N0","N1","N2","N3","N4","N5"},0)-1,0)</f>
        <v>2</v>
      </c>
      <c r="D3" s="1">
        <v>3</v>
      </c>
    </row>
    <row r="4" spans="1:6" ht="15" customHeight="1" x14ac:dyDescent="0.35">
      <c r="A4" s="1" t="s">
        <v>345</v>
      </c>
      <c r="B4" s="1" t="str">
        <f>IFERROR('SURA Venta Digital'!$C$14,"N0")</f>
        <v>N1</v>
      </c>
      <c r="C4" s="1">
        <f>IFERROR(MATCH('SURA Venta Digital'!C14,{"N0","N1","N2","N3","N4","N5"},0)-1,0)</f>
        <v>1</v>
      </c>
      <c r="D4" s="1">
        <v>3</v>
      </c>
    </row>
    <row r="5" spans="1:6" ht="15" customHeight="1" x14ac:dyDescent="0.35">
      <c r="A5" s="1" t="s">
        <v>346</v>
      </c>
      <c r="B5" s="1">
        <f>IFERROR('SURA Torre Control'!$C$14,"N0")</f>
        <v>0</v>
      </c>
      <c r="C5" s="1">
        <f>IFERROR(MATCH('SURA Torre Control'!C14,{"N0","N1","N2","N3","N4","N5"},0)-1,0)</f>
        <v>0</v>
      </c>
      <c r="D5" s="1">
        <v>3</v>
      </c>
    </row>
    <row r="6" spans="1:6" ht="15" customHeight="1" x14ac:dyDescent="0.35">
      <c r="A6" s="1" t="s">
        <v>347</v>
      </c>
      <c r="B6" s="1">
        <f>IFERROR('SURA Mesa 4'!$C$14,"N0")</f>
        <v>0</v>
      </c>
      <c r="C6" s="1">
        <f>IFERROR(MATCH('SURA Mesa 4'!C14,{"N0","N1","N2","N3","N4","N5"},0)-1,0)</f>
        <v>0</v>
      </c>
      <c r="D6" s="1">
        <v>3</v>
      </c>
    </row>
    <row r="7" spans="1:6" ht="15" customHeight="1" x14ac:dyDescent="0.35">
      <c r="A7" s="1" t="s">
        <v>348</v>
      </c>
      <c r="B7" s="1" t="str">
        <f>IFERROR('BCO Gioti 1'!$C$14,"N0")</f>
        <v>N3</v>
      </c>
      <c r="C7" s="1">
        <f>IFERROR(MATCH('BCO Gioti 1'!C14,{"N0","N1","N2","N3","N4","N5"},0)-1,0)</f>
        <v>3</v>
      </c>
      <c r="D7" s="1">
        <v>3</v>
      </c>
    </row>
    <row r="8" spans="1:6" ht="15" customHeight="1" x14ac:dyDescent="0.35">
      <c r="A8" s="1" t="s">
        <v>349</v>
      </c>
      <c r="B8" s="1">
        <f>IFERROR('BCO Gioti 2'!$C$14,"N0")</f>
        <v>0</v>
      </c>
      <c r="C8" s="1">
        <f>IFERROR(MATCH('BCO Gioti 2'!C14,{"N0","N1","N2","N3","N4","N5"},0)-1,0)</f>
        <v>0</v>
      </c>
      <c r="D8" s="1">
        <v>3</v>
      </c>
    </row>
    <row r="9" spans="1:6" ht="15" customHeight="1" x14ac:dyDescent="0.35">
      <c r="A9" s="1" t="s">
        <v>350</v>
      </c>
      <c r="B9" s="1">
        <f>IFERROR('BCO Gioti 3'!$C$14,"N0")</f>
        <v>0</v>
      </c>
      <c r="C9" s="1">
        <f>IFERROR(MATCH('BCO Gioti 3'!C14,{"N0","N1","N2","N3","N4","N5"},0)-1,0)</f>
        <v>0</v>
      </c>
      <c r="D9" s="1">
        <v>3</v>
      </c>
    </row>
    <row r="10" spans="1:6" ht="15" customHeight="1" x14ac:dyDescent="0.35">
      <c r="A10" s="1" t="s">
        <v>351</v>
      </c>
      <c r="B10" s="1">
        <f>IFERROR('BCO Gioti 4'!$C$14,"N0")</f>
        <v>0</v>
      </c>
      <c r="C10" s="1">
        <f>IFERROR(MATCH('BCO Gioti 4'!C14,{"N0","N1","N2","N3","N4","N5"},0)-1,0)</f>
        <v>0</v>
      </c>
      <c r="D10" s="1">
        <v>3</v>
      </c>
    </row>
    <row r="13" spans="1:6" ht="15" customHeight="1" x14ac:dyDescent="0.35">
      <c r="A13" s="129" t="s">
        <v>352</v>
      </c>
    </row>
    <row r="14" spans="1:6" ht="15" customHeight="1" x14ac:dyDescent="0.35">
      <c r="A14" s="130" t="s">
        <v>340</v>
      </c>
      <c r="B14" s="130" t="s">
        <v>353</v>
      </c>
      <c r="C14" s="130" t="s">
        <v>354</v>
      </c>
      <c r="D14" s="130" t="s">
        <v>355</v>
      </c>
      <c r="E14" s="130" t="s">
        <v>356</v>
      </c>
      <c r="F14" s="130" t="s">
        <v>357</v>
      </c>
    </row>
    <row r="15" spans="1:6" ht="15" customHeight="1" x14ac:dyDescent="0.35">
      <c r="A15" s="1" t="s">
        <v>344</v>
      </c>
      <c r="B15" s="131">
        <f>(IF('SURA Cotizadores'!D19="Sí",1,IF('SURA Cotizadores'!D19="Parcial",0.5,0))+IF('SURA Cotizadores'!D20="Sí",1,IF('SURA Cotizadores'!D20="Parcial",0.5,0))+IF('SURA Cotizadores'!D21="Sí",1,IF('SURA Cotizadores'!D21="Parcial",0.5,0))+IF('SURA Cotizadores'!D22="Sí",1,IF('SURA Cotizadores'!D22="Parcial",0.5,0))+IF('SURA Cotizadores'!D23="Sí",1,IF('SURA Cotizadores'!D23="Parcial",0.5,0)))/5</f>
        <v>0.6</v>
      </c>
      <c r="C15" s="131">
        <f>(IF('SURA Cotizadores'!D26="Sí",1,IF('SURA Cotizadores'!D26="Parcial",0.5,0))+IF('SURA Cotizadores'!D27="Sí",1,IF('SURA Cotizadores'!D27="Parcial",0.5,0))+IF('SURA Cotizadores'!D28="Sí",1,IF('SURA Cotizadores'!D28="Parcial",0.5,0))+IF('SURA Cotizadores'!D29="Sí",1,IF('SURA Cotizadores'!D29="Parcial",0.5,0))+IF('SURA Cotizadores'!D30="Sí",1,IF('SURA Cotizadores'!D30="Parcial",0.5,0))+IF('SURA Cotizadores'!D31="Sí",1,IF('SURA Cotizadores'!D31="Parcial",0.5,0))+IF('SURA Cotizadores'!D32="Sí",1,IF('SURA Cotizadores'!D32="Parcial",0.5,0)))/7</f>
        <v>0.5</v>
      </c>
      <c r="D15" s="131">
        <f>(IF('SURA Cotizadores'!D35="Sí",1,IF('SURA Cotizadores'!D35="Parcial",0.5,0))+IF('SURA Cotizadores'!D36="Sí",1,IF('SURA Cotizadores'!D36="Parcial",0.5,0))+IF('SURA Cotizadores'!D37="Sí",1,IF('SURA Cotizadores'!D37="Parcial",0.5,0)))/3</f>
        <v>0.5</v>
      </c>
      <c r="E15" s="131">
        <f>(IF('SURA Cotizadores'!D40="Sí",1,IF('SURA Cotizadores'!D40="Parcial",0.5,0))+IF('SURA Cotizadores'!D41="Sí",1,IF('SURA Cotizadores'!D41="Parcial",0.5,0)))/2</f>
        <v>0.25</v>
      </c>
      <c r="F15" s="131">
        <f>IFERROR('SURA Cotizadores'!$E$43,0)</f>
        <v>0.5</v>
      </c>
    </row>
    <row r="16" spans="1:6" ht="15" customHeight="1" x14ac:dyDescent="0.35">
      <c r="A16" s="1" t="s">
        <v>345</v>
      </c>
      <c r="B16" s="131">
        <f>(IF('SURA Venta Digital'!D19="Sí",1,IF('SURA Venta Digital'!D19="Parcial",0.5,0))+IF('SURA Venta Digital'!D20="Sí",1,IF('SURA Venta Digital'!D20="Parcial",0.5,0))+IF('SURA Venta Digital'!D21="Sí",1,IF('SURA Venta Digital'!D21="Parcial",0.5,0))+IF('SURA Venta Digital'!D22="Sí",1,IF('SURA Venta Digital'!D22="Parcial",0.5,0))+IF('SURA Venta Digital'!D23="Sí",1,IF('SURA Venta Digital'!D23="Parcial",0.5,0)))/5</f>
        <v>0.2</v>
      </c>
      <c r="C16" s="131">
        <f>(IF('SURA Venta Digital'!D26="Sí",1,IF('SURA Venta Digital'!D26="Parcial",0.5,0))+IF('SURA Venta Digital'!D27="Sí",1,IF('SURA Venta Digital'!D27="Parcial",0.5,0))+IF('SURA Venta Digital'!D28="Sí",1,IF('SURA Venta Digital'!D28="Parcial",0.5,0))+IF('SURA Venta Digital'!D29="Sí",1,IF('SURA Venta Digital'!D29="Parcial",0.5,0))+IF('SURA Venta Digital'!D30="Sí",1,IF('SURA Venta Digital'!D30="Parcial",0.5,0))+IF('SURA Venta Digital'!D31="Sí",1,IF('SURA Venta Digital'!D31="Parcial",0.5,0))+IF('SURA Venta Digital'!D32="Sí",1,IF('SURA Venta Digital'!D32="Parcial",0.5,0)))/7</f>
        <v>0.21428571428571427</v>
      </c>
      <c r="D16" s="131">
        <f>(IF('SURA Venta Digital'!D35="Sí",1,IF('SURA Venta Digital'!D35="Parcial",0.5,0))+IF('SURA Venta Digital'!D36="Sí",1,IF('SURA Venta Digital'!D36="Parcial",0.5,0))+IF('SURA Venta Digital'!D37="Sí",1,IF('SURA Venta Digital'!D37="Parcial",0.5,0)))/3</f>
        <v>0.16666666666666666</v>
      </c>
      <c r="E16" s="131">
        <f>(IF('SURA Venta Digital'!D40="Sí",1,IF('SURA Venta Digital'!D40="Parcial",0.5,0))+IF('SURA Venta Digital'!D41="Sí",1,IF('SURA Venta Digital'!D41="Parcial",0.5,0)))/2</f>
        <v>0</v>
      </c>
      <c r="F16" s="131">
        <f>IFERROR('SURA Venta Digital'!$E$43,0)</f>
        <v>0.17647058823529413</v>
      </c>
    </row>
    <row r="17" spans="1:9" ht="15" customHeight="1" x14ac:dyDescent="0.35">
      <c r="A17" s="1" t="s">
        <v>346</v>
      </c>
      <c r="B17" s="131">
        <f>(IF('SURA Torre Control'!D19="Sí",1,IF('SURA Torre Control'!D19="Parcial",0.5,0))+IF('SURA Torre Control'!D20="Sí",1,IF('SURA Torre Control'!D20="Parcial",0.5,0))+IF('SURA Torre Control'!D21="Sí",1,IF('SURA Torre Control'!D21="Parcial",0.5,0))+IF('SURA Torre Control'!D22="Sí",1,IF('SURA Torre Control'!D22="Parcial",0.5,0))+IF('SURA Torre Control'!D23="Sí",1,IF('SURA Torre Control'!D23="Parcial",0.5,0)))/5</f>
        <v>0</v>
      </c>
      <c r="C17" s="131">
        <f>(IF('SURA Torre Control'!D26="Sí",1,IF('SURA Torre Control'!D26="Parcial",0.5,0))+IF('SURA Torre Control'!D27="Sí",1,IF('SURA Torre Control'!D27="Parcial",0.5,0))+IF('SURA Torre Control'!D28="Sí",1,IF('SURA Torre Control'!D28="Parcial",0.5,0))+IF('SURA Torre Control'!D29="Sí",1,IF('SURA Torre Control'!D29="Parcial",0.5,0))+IF('SURA Torre Control'!D30="Sí",1,IF('SURA Torre Control'!D30="Parcial",0.5,0))+IF('SURA Torre Control'!D31="Sí",1,IF('SURA Torre Control'!D31="Parcial",0.5,0))+IF('SURA Torre Control'!D32="Sí",1,IF('SURA Torre Control'!D32="Parcial",0.5,0)))/7</f>
        <v>0</v>
      </c>
      <c r="D17" s="131">
        <f>(IF('SURA Torre Control'!D35="Sí",1,IF('SURA Torre Control'!D35="Parcial",0.5,0))+IF('SURA Torre Control'!D36="Sí",1,IF('SURA Torre Control'!D36="Parcial",0.5,0))+IF('SURA Torre Control'!D37="Sí",1,IF('SURA Torre Control'!D37="Parcial",0.5,0)))/3</f>
        <v>0</v>
      </c>
      <c r="E17" s="131">
        <f>(IF('SURA Torre Control'!D40="Sí",1,IF('SURA Torre Control'!D40="Parcial",0.5,0))+IF('SURA Torre Control'!D41="Sí",1,IF('SURA Torre Control'!D41="Parcial",0.5,0)))/2</f>
        <v>0</v>
      </c>
      <c r="F17" s="131">
        <f>IFERROR('SURA Torre Control'!$E$43,0)</f>
        <v>0</v>
      </c>
    </row>
    <row r="18" spans="1:9" ht="15" customHeight="1" x14ac:dyDescent="0.35">
      <c r="A18" s="1" t="s">
        <v>347</v>
      </c>
      <c r="B18" s="131">
        <f>(IF('SURA Mesa 4'!D19="Sí",1,IF('SURA Mesa 4'!D19="Parcial",0.5,0))+IF('SURA Mesa 4'!D20="Sí",1,IF('SURA Mesa 4'!D20="Parcial",0.5,0))+IF('SURA Mesa 4'!D21="Sí",1,IF('SURA Mesa 4'!D21="Parcial",0.5,0))+IF('SURA Mesa 4'!D22="Sí",1,IF('SURA Mesa 4'!D22="Parcial",0.5,0))+IF('SURA Mesa 4'!D23="Sí",1,IF('SURA Mesa 4'!D23="Parcial",0.5,0)))/5</f>
        <v>0</v>
      </c>
      <c r="C18" s="131">
        <f>(IF('SURA Mesa 4'!D26="Sí",1,IF('SURA Mesa 4'!D26="Parcial",0.5,0))+IF('SURA Mesa 4'!D27="Sí",1,IF('SURA Mesa 4'!D27="Parcial",0.5,0))+IF('SURA Mesa 4'!D28="Sí",1,IF('SURA Mesa 4'!D28="Parcial",0.5,0))+IF('SURA Mesa 4'!D29="Sí",1,IF('SURA Mesa 4'!D29="Parcial",0.5,0))+IF('SURA Mesa 4'!D30="Sí",1,IF('SURA Mesa 4'!D30="Parcial",0.5,0))+IF('SURA Mesa 4'!D31="Sí",1,IF('SURA Mesa 4'!D31="Parcial",0.5,0))+IF('SURA Mesa 4'!D32="Sí",1,IF('SURA Mesa 4'!D32="Parcial",0.5,0)))/7</f>
        <v>0</v>
      </c>
      <c r="D18" s="131">
        <f>(IF('SURA Mesa 4'!D35="Sí",1,IF('SURA Mesa 4'!D35="Parcial",0.5,0))+IF('SURA Mesa 4'!D36="Sí",1,IF('SURA Mesa 4'!D36="Parcial",0.5,0))+IF('SURA Mesa 4'!D37="Sí",1,IF('SURA Mesa 4'!D37="Parcial",0.5,0)))/3</f>
        <v>0</v>
      </c>
      <c r="E18" s="131">
        <f>(IF('SURA Mesa 4'!D40="Sí",1,IF('SURA Mesa 4'!D40="Parcial",0.5,0))+IF('SURA Mesa 4'!D41="Sí",1,IF('SURA Mesa 4'!D41="Parcial",0.5,0)))/2</f>
        <v>0</v>
      </c>
      <c r="F18" s="131">
        <f>IFERROR('SURA Mesa 4'!$E$43,0)</f>
        <v>0</v>
      </c>
    </row>
    <row r="19" spans="1:9" ht="15" customHeight="1" x14ac:dyDescent="0.35">
      <c r="A19" s="1" t="s">
        <v>348</v>
      </c>
      <c r="B19" s="131">
        <f>(IF('BCO Gioti 1'!D19="Sí",1,IF('BCO Gioti 1'!D19="Parcial",0.5,0))+IF('BCO Gioti 1'!D20="Sí",1,IF('BCO Gioti 1'!D20="Parcial",0.5,0))+IF('BCO Gioti 1'!D21="Sí",1,IF('BCO Gioti 1'!D21="Parcial",0.5,0))+IF('BCO Gioti 1'!D22="Sí",1,IF('BCO Gioti 1'!D22="Parcial",0.5,0))+IF('BCO Gioti 1'!D23="Sí",1,IF('BCO Gioti 1'!D23="Parcial",0.5,0)))/5</f>
        <v>0.8</v>
      </c>
      <c r="C19" s="131">
        <f>(IF('BCO Gioti 1'!D26="Sí",1,IF('BCO Gioti 1'!D26="Parcial",0.5,0))+IF('BCO Gioti 1'!D27="Sí",1,IF('BCO Gioti 1'!D27="Parcial",0.5,0))+IF('BCO Gioti 1'!D28="Sí",1,IF('BCO Gioti 1'!D28="Parcial",0.5,0))+IF('BCO Gioti 1'!D29="Sí",1,IF('BCO Gioti 1'!D29="Parcial",0.5,0))+IF('BCO Gioti 1'!D30="Sí",1,IF('BCO Gioti 1'!D30="Parcial",0.5,0))+IF('BCO Gioti 1'!D31="Sí",1,IF('BCO Gioti 1'!D31="Parcial",0.5,0))+IF('BCO Gioti 1'!D32="Sí",1,IF('BCO Gioti 1'!D32="Parcial",0.5,0)))/7</f>
        <v>0.7857142857142857</v>
      </c>
      <c r="D19" s="131">
        <f>(IF('BCO Gioti 1'!D35="Sí",1,IF('BCO Gioti 1'!D35="Parcial",0.5,0))+IF('BCO Gioti 1'!D36="Sí",1,IF('BCO Gioti 1'!D36="Parcial",0.5,0))+IF('BCO Gioti 1'!D37="Sí",1,IF('BCO Gioti 1'!D37="Parcial",0.5,0)))/3</f>
        <v>0.83333333333333337</v>
      </c>
      <c r="E19" s="131">
        <f>(IF('BCO Gioti 1'!D40="Sí",1,IF('BCO Gioti 1'!D40="Parcial",0.5,0))+IF('BCO Gioti 1'!D41="Sí",1,IF('BCO Gioti 1'!D41="Parcial",0.5,0)))/2</f>
        <v>0.75</v>
      </c>
      <c r="F19" s="131">
        <f>IFERROR('BCO Gioti 1'!$E$43,0)</f>
        <v>0.79411764705882348</v>
      </c>
    </row>
    <row r="20" spans="1:9" ht="15" customHeight="1" x14ac:dyDescent="0.35">
      <c r="A20" s="1" t="s">
        <v>349</v>
      </c>
      <c r="B20" s="131">
        <f>(IF('BCO Gioti 2'!D19="Sí",1,IF('BCO Gioti 2'!D19="Parcial",0.5,0))+IF('BCO Gioti 2'!D20="Sí",1,IF('BCO Gioti 2'!D20="Parcial",0.5,0))+IF('BCO Gioti 2'!D21="Sí",1,IF('BCO Gioti 2'!D21="Parcial",0.5,0))+IF('BCO Gioti 2'!D22="Sí",1,IF('BCO Gioti 2'!D22="Parcial",0.5,0))+IF('BCO Gioti 2'!D23="Sí",1,IF('BCO Gioti 2'!D23="Parcial",0.5,0)))/5</f>
        <v>0</v>
      </c>
      <c r="C20" s="131">
        <f>(IF('BCO Gioti 2'!D26="Sí",1,IF('BCO Gioti 2'!D26="Parcial",0.5,0))+IF('BCO Gioti 2'!D27="Sí",1,IF('BCO Gioti 2'!D27="Parcial",0.5,0))+IF('BCO Gioti 2'!D28="Sí",1,IF('BCO Gioti 2'!D28="Parcial",0.5,0))+IF('BCO Gioti 2'!D29="Sí",1,IF('BCO Gioti 2'!D29="Parcial",0.5,0))+IF('BCO Gioti 2'!D30="Sí",1,IF('BCO Gioti 2'!D30="Parcial",0.5,0))+IF('BCO Gioti 2'!D31="Sí",1,IF('BCO Gioti 2'!D31="Parcial",0.5,0))+IF('BCO Gioti 2'!D32="Sí",1,IF('BCO Gioti 2'!D32="Parcial",0.5,0)))/7</f>
        <v>0</v>
      </c>
      <c r="D20" s="131">
        <f>(IF('BCO Gioti 2'!D35="Sí",1,IF('BCO Gioti 2'!D35="Parcial",0.5,0))+IF('BCO Gioti 2'!D36="Sí",1,IF('BCO Gioti 2'!D36="Parcial",0.5,0))+IF('BCO Gioti 2'!D37="Sí",1,IF('BCO Gioti 2'!D37="Parcial",0.5,0)))/3</f>
        <v>0</v>
      </c>
      <c r="E20" s="131">
        <f>(IF('BCO Gioti 2'!D40="Sí",1,IF('BCO Gioti 2'!D40="Parcial",0.5,0))+IF('BCO Gioti 2'!D41="Sí",1,IF('BCO Gioti 2'!D41="Parcial",0.5,0)))/2</f>
        <v>0</v>
      </c>
      <c r="F20" s="131">
        <f>IFERROR('BCO Gioti 2'!$E$43,0)</f>
        <v>0</v>
      </c>
    </row>
    <row r="21" spans="1:9" ht="15" customHeight="1" x14ac:dyDescent="0.35">
      <c r="A21" s="1" t="s">
        <v>350</v>
      </c>
      <c r="B21" s="131">
        <f>(IF('BCO Gioti 3'!D19="Sí",1,IF('BCO Gioti 3'!D19="Parcial",0.5,0))+IF('BCO Gioti 3'!D20="Sí",1,IF('BCO Gioti 3'!D20="Parcial",0.5,0))+IF('BCO Gioti 3'!D21="Sí",1,IF('BCO Gioti 3'!D21="Parcial",0.5,0))+IF('BCO Gioti 3'!D22="Sí",1,IF('BCO Gioti 3'!D22="Parcial",0.5,0))+IF('BCO Gioti 3'!D23="Sí",1,IF('BCO Gioti 3'!D23="Parcial",0.5,0)))/5</f>
        <v>0</v>
      </c>
      <c r="C21" s="131">
        <f>(IF('BCO Gioti 3'!D26="Sí",1,IF('BCO Gioti 3'!D26="Parcial",0.5,0))+IF('BCO Gioti 3'!D27="Sí",1,IF('BCO Gioti 3'!D27="Parcial",0.5,0))+IF('BCO Gioti 3'!D28="Sí",1,IF('BCO Gioti 3'!D28="Parcial",0.5,0))+IF('BCO Gioti 3'!D29="Sí",1,IF('BCO Gioti 3'!D29="Parcial",0.5,0))+IF('BCO Gioti 3'!D30="Sí",1,IF('BCO Gioti 3'!D30="Parcial",0.5,0))+IF('BCO Gioti 3'!D31="Sí",1,IF('BCO Gioti 3'!D31="Parcial",0.5,0))+IF('BCO Gioti 3'!D32="Sí",1,IF('BCO Gioti 3'!D32="Parcial",0.5,0)))/7</f>
        <v>0</v>
      </c>
      <c r="D21" s="131">
        <f>(IF('BCO Gioti 3'!D35="Sí",1,IF('BCO Gioti 3'!D35="Parcial",0.5,0))+IF('BCO Gioti 3'!D36="Sí",1,IF('BCO Gioti 3'!D36="Parcial",0.5,0))+IF('BCO Gioti 3'!D37="Sí",1,IF('BCO Gioti 3'!D37="Parcial",0.5,0)))/3</f>
        <v>0</v>
      </c>
      <c r="E21" s="131">
        <f>(IF('BCO Gioti 3'!D40="Sí",1,IF('BCO Gioti 3'!D40="Parcial",0.5,0))+IF('BCO Gioti 3'!D41="Sí",1,IF('BCO Gioti 3'!D41="Parcial",0.5,0)))/2</f>
        <v>0</v>
      </c>
      <c r="F21" s="131">
        <f>IFERROR('BCO Gioti 3'!$E$43,0)</f>
        <v>0</v>
      </c>
    </row>
    <row r="22" spans="1:9" ht="15" customHeight="1" x14ac:dyDescent="0.35">
      <c r="A22" s="1" t="s">
        <v>351</v>
      </c>
      <c r="B22" s="131">
        <f>(IF('BCO Gioti 4'!D19="Sí",1,IF('BCO Gioti 4'!D19="Parcial",0.5,0))+IF('BCO Gioti 4'!D20="Sí",1,IF('BCO Gioti 4'!D20="Parcial",0.5,0))+IF('BCO Gioti 4'!D21="Sí",1,IF('BCO Gioti 4'!D21="Parcial",0.5,0))+IF('BCO Gioti 4'!D22="Sí",1,IF('BCO Gioti 4'!D22="Parcial",0.5,0))+IF('BCO Gioti 4'!D23="Sí",1,IF('BCO Gioti 4'!D23="Parcial",0.5,0)))/5</f>
        <v>0</v>
      </c>
      <c r="C22" s="131">
        <f>(IF('BCO Gioti 4'!D26="Sí",1,IF('BCO Gioti 4'!D26="Parcial",0.5,0))+IF('BCO Gioti 4'!D27="Sí",1,IF('BCO Gioti 4'!D27="Parcial",0.5,0))+IF('BCO Gioti 4'!D28="Sí",1,IF('BCO Gioti 4'!D28="Parcial",0.5,0))+IF('BCO Gioti 4'!D29="Sí",1,IF('BCO Gioti 4'!D29="Parcial",0.5,0))+IF('BCO Gioti 4'!D30="Sí",1,IF('BCO Gioti 4'!D30="Parcial",0.5,0))+IF('BCO Gioti 4'!D31="Sí",1,IF('BCO Gioti 4'!D31="Parcial",0.5,0))+IF('BCO Gioti 4'!D32="Sí",1,IF('BCO Gioti 4'!D32="Parcial",0.5,0)))/7</f>
        <v>0</v>
      </c>
      <c r="D22" s="131">
        <f>(IF('BCO Gioti 4'!D35="Sí",1,IF('BCO Gioti 4'!D35="Parcial",0.5,0))+IF('BCO Gioti 4'!D36="Sí",1,IF('BCO Gioti 4'!D36="Parcial",0.5,0))+IF('BCO Gioti 4'!D37="Sí",1,IF('BCO Gioti 4'!D37="Parcial",0.5,0)))/3</f>
        <v>0</v>
      </c>
      <c r="E22" s="131">
        <f>(IF('BCO Gioti 4'!D40="Sí",1,IF('BCO Gioti 4'!D40="Parcial",0.5,0))+IF('BCO Gioti 4'!D41="Sí",1,IF('BCO Gioti 4'!D41="Parcial",0.5,0)))/2</f>
        <v>0</v>
      </c>
      <c r="F22" s="131">
        <f>IFERROR('BCO Gioti 4'!$E$43,0)</f>
        <v>0</v>
      </c>
    </row>
    <row r="25" spans="1:9" ht="15" customHeight="1" x14ac:dyDescent="0.35">
      <c r="A25" s="129" t="s">
        <v>358</v>
      </c>
    </row>
    <row r="26" spans="1:9" ht="15" customHeight="1" x14ac:dyDescent="0.35">
      <c r="A26" s="130" t="s">
        <v>340</v>
      </c>
      <c r="B26" s="130" t="s">
        <v>359</v>
      </c>
      <c r="C26" s="130" t="s">
        <v>360</v>
      </c>
      <c r="D26" s="130" t="s">
        <v>361</v>
      </c>
      <c r="E26" s="130" t="s">
        <v>362</v>
      </c>
      <c r="F26" s="130" t="s">
        <v>363</v>
      </c>
      <c r="G26" s="130" t="s">
        <v>364</v>
      </c>
      <c r="H26" s="130" t="s">
        <v>365</v>
      </c>
      <c r="I26" s="130" t="s">
        <v>366</v>
      </c>
    </row>
    <row r="27" spans="1:9" ht="15" customHeight="1" x14ac:dyDescent="0.35">
      <c r="A27" s="1" t="s">
        <v>344</v>
      </c>
      <c r="B27" s="132">
        <f>IF(IFERROR('SURA Cotizadores'!C83,"")="Sí",1,IF(IFERROR('SURA Cotizadores'!C83,"")="Parcial",0.5,0))</f>
        <v>1</v>
      </c>
      <c r="C27" s="132">
        <f>IF(IFERROR('SURA Cotizadores'!C84,"")="Sí",1,IF(IFERROR('SURA Cotizadores'!C84,"")="Parcial",0.5,0))</f>
        <v>0.5</v>
      </c>
      <c r="D27" s="132">
        <f>IF(IFERROR('SURA Cotizadores'!C85,"")="Sí",1,IF(IFERROR('SURA Cotizadores'!C85,"")="Parcial",0.5,0))</f>
        <v>1</v>
      </c>
      <c r="E27" s="132">
        <f>IF(IFERROR('SURA Cotizadores'!C86,"")="Sí",1,IF(IFERROR('SURA Cotizadores'!C86,"")="Parcial",0.5,0))</f>
        <v>1</v>
      </c>
      <c r="F27" s="132">
        <f>IF(IFERROR('SURA Cotizadores'!C87,"")="Sí",1,IF(IFERROR('SURA Cotizadores'!C87,"")="Parcial",0.5,0))</f>
        <v>1</v>
      </c>
      <c r="G27" s="132">
        <f>IF(IFERROR('SURA Cotizadores'!C88,"")="Sí",1,IF(IFERROR('SURA Cotizadores'!C88,"")="Parcial",0.5,0))</f>
        <v>0.5</v>
      </c>
      <c r="H27" s="132">
        <f>IF(IFERROR('SURA Cotizadores'!C89,"")="Sí",1,IF(IFERROR('SURA Cotizadores'!C89,"")="Parcial",0.5,0))</f>
        <v>0</v>
      </c>
      <c r="I27" s="132">
        <f t="shared" ref="I27:I34" si="0">SUM(B27:H27)</f>
        <v>5</v>
      </c>
    </row>
    <row r="28" spans="1:9" ht="15" customHeight="1" x14ac:dyDescent="0.35">
      <c r="A28" s="1" t="s">
        <v>345</v>
      </c>
      <c r="B28" s="132">
        <f>IF(IFERROR('SURA Venta Digital'!C83,"")="Sí",1,IF(IFERROR('SURA Venta Digital'!C83,"")="Parcial",0.5,0))</f>
        <v>1</v>
      </c>
      <c r="C28" s="132">
        <f>IF(IFERROR('SURA Venta Digital'!C84,"")="Sí",1,IF(IFERROR('SURA Venta Digital'!C84,"")="Parcial",0.5,0))</f>
        <v>1</v>
      </c>
      <c r="D28" s="132">
        <f>IF(IFERROR('SURA Venta Digital'!C85,"")="Sí",1,IF(IFERROR('SURA Venta Digital'!C85,"")="Parcial",0.5,0))</f>
        <v>1</v>
      </c>
      <c r="E28" s="132">
        <f>IF(IFERROR('SURA Venta Digital'!C86,"")="Sí",1,IF(IFERROR('SURA Venta Digital'!C86,"")="Parcial",0.5,0))</f>
        <v>1</v>
      </c>
      <c r="F28" s="132">
        <f>IF(IFERROR('SURA Venta Digital'!C87,"")="Sí",1,IF(IFERROR('SURA Venta Digital'!C87,"")="Parcial",0.5,0))</f>
        <v>1</v>
      </c>
      <c r="G28" s="132">
        <f>IF(IFERROR('SURA Venta Digital'!C88,"")="Sí",1,IF(IFERROR('SURA Venta Digital'!C88,"")="Parcial",0.5,0))</f>
        <v>1</v>
      </c>
      <c r="H28" s="132">
        <f>IF(IFERROR('SURA Venta Digital'!C89,"")="Sí",1,IF(IFERROR('SURA Venta Digital'!C89,"")="Parcial",0.5,0))</f>
        <v>1</v>
      </c>
      <c r="I28" s="132">
        <f t="shared" si="0"/>
        <v>7</v>
      </c>
    </row>
    <row r="29" spans="1:9" ht="15" customHeight="1" x14ac:dyDescent="0.35">
      <c r="A29" s="1" t="s">
        <v>346</v>
      </c>
      <c r="B29" s="132">
        <f>IF(IFERROR('SURA Torre Control'!C83,"")="Sí",1,IF(IFERROR('SURA Torre Control'!C83,"")="Parcial",0.5,0))</f>
        <v>0</v>
      </c>
      <c r="C29" s="132">
        <f>IF(IFERROR('SURA Torre Control'!C84,"")="Sí",1,IF(IFERROR('SURA Torre Control'!C84,"")="Parcial",0.5,0))</f>
        <v>0</v>
      </c>
      <c r="D29" s="132">
        <f>IF(IFERROR('SURA Torre Control'!C85,"")="Sí",1,IF(IFERROR('SURA Torre Control'!C85,"")="Parcial",0.5,0))</f>
        <v>0</v>
      </c>
      <c r="E29" s="132">
        <f>IF(IFERROR('SURA Torre Control'!C86,"")="Sí",1,IF(IFERROR('SURA Torre Control'!C86,"")="Parcial",0.5,0))</f>
        <v>0</v>
      </c>
      <c r="F29" s="132">
        <f>IF(IFERROR('SURA Torre Control'!C87,"")="Sí",1,IF(IFERROR('SURA Torre Control'!C87,"")="Parcial",0.5,0))</f>
        <v>0</v>
      </c>
      <c r="G29" s="132">
        <f>IF(IFERROR('SURA Torre Control'!C88,"")="Sí",1,IF(IFERROR('SURA Torre Control'!C88,"")="Parcial",0.5,0))</f>
        <v>0</v>
      </c>
      <c r="H29" s="132">
        <f>IF(IFERROR('SURA Torre Control'!C89,"")="Sí",1,IF(IFERROR('SURA Torre Control'!C89,"")="Parcial",0.5,0))</f>
        <v>0</v>
      </c>
      <c r="I29" s="132">
        <f t="shared" si="0"/>
        <v>0</v>
      </c>
    </row>
    <row r="30" spans="1:9" ht="15" customHeight="1" x14ac:dyDescent="0.35">
      <c r="A30" s="1" t="s">
        <v>347</v>
      </c>
      <c r="B30" s="132">
        <f>IF(IFERROR('SURA Mesa 4'!C83,"")="Sí",1,IF(IFERROR('SURA Mesa 4'!C83,"")="Parcial",0.5,0))</f>
        <v>0</v>
      </c>
      <c r="C30" s="132">
        <f>IF(IFERROR('SURA Mesa 4'!C84,"")="Sí",1,IF(IFERROR('SURA Mesa 4'!C84,"")="Parcial",0.5,0))</f>
        <v>0</v>
      </c>
      <c r="D30" s="132">
        <f>IF(IFERROR('SURA Mesa 4'!C85,"")="Sí",1,IF(IFERROR('SURA Mesa 4'!C85,"")="Parcial",0.5,0))</f>
        <v>0</v>
      </c>
      <c r="E30" s="132">
        <f>IF(IFERROR('SURA Mesa 4'!C86,"")="Sí",1,IF(IFERROR('SURA Mesa 4'!C86,"")="Parcial",0.5,0))</f>
        <v>0</v>
      </c>
      <c r="F30" s="132">
        <f>IF(IFERROR('SURA Mesa 4'!C87,"")="Sí",1,IF(IFERROR('SURA Mesa 4'!C87,"")="Parcial",0.5,0))</f>
        <v>0</v>
      </c>
      <c r="G30" s="132">
        <f>IF(IFERROR('SURA Mesa 4'!C88,"")="Sí",1,IF(IFERROR('SURA Mesa 4'!C88,"")="Parcial",0.5,0))</f>
        <v>0</v>
      </c>
      <c r="H30" s="132">
        <f>IF(IFERROR('SURA Mesa 4'!C89,"")="Sí",1,IF(IFERROR('SURA Mesa 4'!C89,"")="Parcial",0.5,0))</f>
        <v>0</v>
      </c>
      <c r="I30" s="132">
        <f t="shared" si="0"/>
        <v>0</v>
      </c>
    </row>
    <row r="31" spans="1:9" ht="15" customHeight="1" x14ac:dyDescent="0.35">
      <c r="A31" s="1" t="s">
        <v>348</v>
      </c>
      <c r="B31" s="132">
        <f>IF(IFERROR('BCO Gioti 1'!C83,"")="Sí",1,IF(IFERROR('BCO Gioti 1'!C83,"")="Parcial",0.5,0))</f>
        <v>0.5</v>
      </c>
      <c r="C31" s="132">
        <f>IF(IFERROR('BCO Gioti 1'!C84,"")="Sí",1,IF(IFERROR('BCO Gioti 1'!C84,"")="Parcial",0.5,0))</f>
        <v>0</v>
      </c>
      <c r="D31" s="132">
        <f>IF(IFERROR('BCO Gioti 1'!C85,"")="Sí",1,IF(IFERROR('BCO Gioti 1'!C85,"")="Parcial",0.5,0))</f>
        <v>0.5</v>
      </c>
      <c r="E31" s="132">
        <f>IF(IFERROR('BCO Gioti 1'!C86,"")="Sí",1,IF(IFERROR('BCO Gioti 1'!C86,"")="Parcial",0.5,0))</f>
        <v>0</v>
      </c>
      <c r="F31" s="132">
        <f>IF(IFERROR('BCO Gioti 1'!C87,"")="Sí",1,IF(IFERROR('BCO Gioti 1'!C87,"")="Parcial",0.5,0))</f>
        <v>0</v>
      </c>
      <c r="G31" s="132">
        <f>IF(IFERROR('BCO Gioti 1'!C88,"")="Sí",1,IF(IFERROR('BCO Gioti 1'!C88,"")="Parcial",0.5,0))</f>
        <v>0</v>
      </c>
      <c r="H31" s="132">
        <f>IF(IFERROR('BCO Gioti 1'!C89,"")="Sí",1,IF(IFERROR('BCO Gioti 1'!C89,"")="Parcial",0.5,0))</f>
        <v>0</v>
      </c>
      <c r="I31" s="132">
        <f t="shared" si="0"/>
        <v>1</v>
      </c>
    </row>
    <row r="32" spans="1:9" ht="15" customHeight="1" x14ac:dyDescent="0.35">
      <c r="A32" s="1" t="s">
        <v>349</v>
      </c>
      <c r="B32" s="132">
        <f>IF(IFERROR('BCO Gioti 2'!C83,"")="Sí",1,IF(IFERROR('BCO Gioti 2'!C83,"")="Parcial",0.5,0))</f>
        <v>0</v>
      </c>
      <c r="C32" s="132">
        <f>IF(IFERROR('BCO Gioti 2'!C84,"")="Sí",1,IF(IFERROR('BCO Gioti 2'!C84,"")="Parcial",0.5,0))</f>
        <v>0</v>
      </c>
      <c r="D32" s="132">
        <f>IF(IFERROR('BCO Gioti 2'!C85,"")="Sí",1,IF(IFERROR('BCO Gioti 2'!C85,"")="Parcial",0.5,0))</f>
        <v>0</v>
      </c>
      <c r="E32" s="132">
        <f>IF(IFERROR('BCO Gioti 2'!C86,"")="Sí",1,IF(IFERROR('BCO Gioti 2'!C86,"")="Parcial",0.5,0))</f>
        <v>0</v>
      </c>
      <c r="F32" s="132">
        <f>IF(IFERROR('BCO Gioti 2'!C87,"")="Sí",1,IF(IFERROR('BCO Gioti 2'!C87,"")="Parcial",0.5,0))</f>
        <v>0</v>
      </c>
      <c r="G32" s="132">
        <f>IF(IFERROR('BCO Gioti 2'!C88,"")="Sí",1,IF(IFERROR('BCO Gioti 2'!C88,"")="Parcial",0.5,0))</f>
        <v>0</v>
      </c>
      <c r="H32" s="132">
        <f>IF(IFERROR('BCO Gioti 2'!C89,"")="Sí",1,IF(IFERROR('BCO Gioti 2'!C89,"")="Parcial",0.5,0))</f>
        <v>0</v>
      </c>
      <c r="I32" s="132">
        <f t="shared" si="0"/>
        <v>0</v>
      </c>
    </row>
    <row r="33" spans="1:9" ht="15" customHeight="1" x14ac:dyDescent="0.35">
      <c r="A33" s="1" t="s">
        <v>350</v>
      </c>
      <c r="B33" s="132">
        <f>IF(IFERROR('BCO Gioti 3'!C83,"")="Sí",1,IF(IFERROR('BCO Gioti 3'!C83,"")="Parcial",0.5,0))</f>
        <v>0</v>
      </c>
      <c r="C33" s="132">
        <f>IF(IFERROR('BCO Gioti 3'!C84,"")="Sí",1,IF(IFERROR('BCO Gioti 3'!C84,"")="Parcial",0.5,0))</f>
        <v>0</v>
      </c>
      <c r="D33" s="132">
        <f>IF(IFERROR('BCO Gioti 3'!C85,"")="Sí",1,IF(IFERROR('BCO Gioti 3'!C85,"")="Parcial",0.5,0))</f>
        <v>0</v>
      </c>
      <c r="E33" s="132">
        <f>IF(IFERROR('BCO Gioti 3'!C86,"")="Sí",1,IF(IFERROR('BCO Gioti 3'!C86,"")="Parcial",0.5,0))</f>
        <v>0</v>
      </c>
      <c r="F33" s="132">
        <f>IF(IFERROR('BCO Gioti 3'!C87,"")="Sí",1,IF(IFERROR('BCO Gioti 3'!C87,"")="Parcial",0.5,0))</f>
        <v>0</v>
      </c>
      <c r="G33" s="132">
        <f>IF(IFERROR('BCO Gioti 3'!C88,"")="Sí",1,IF(IFERROR('BCO Gioti 3'!C88,"")="Parcial",0.5,0))</f>
        <v>0</v>
      </c>
      <c r="H33" s="132">
        <f>IF(IFERROR('BCO Gioti 3'!C89,"")="Sí",1,IF(IFERROR('BCO Gioti 3'!C89,"")="Parcial",0.5,0))</f>
        <v>0</v>
      </c>
      <c r="I33" s="132">
        <f t="shared" si="0"/>
        <v>0</v>
      </c>
    </row>
    <row r="34" spans="1:9" ht="15" customHeight="1" x14ac:dyDescent="0.35">
      <c r="A34" s="1" t="s">
        <v>351</v>
      </c>
      <c r="B34" s="132">
        <f>IF(IFERROR('BCO Gioti 4'!C83,"")="Sí",1,IF(IFERROR('BCO Gioti 4'!C83,"")="Parcial",0.5,0))</f>
        <v>0</v>
      </c>
      <c r="C34" s="132">
        <f>IF(IFERROR('BCO Gioti 4'!C84,"")="Sí",1,IF(IFERROR('BCO Gioti 4'!C84,"")="Parcial",0.5,0))</f>
        <v>0</v>
      </c>
      <c r="D34" s="132">
        <f>IF(IFERROR('BCO Gioti 4'!C85,"")="Sí",1,IF(IFERROR('BCO Gioti 4'!C85,"")="Parcial",0.5,0))</f>
        <v>0</v>
      </c>
      <c r="E34" s="132">
        <f>IF(IFERROR('BCO Gioti 4'!C86,"")="Sí",1,IF(IFERROR('BCO Gioti 4'!C86,"")="Parcial",0.5,0))</f>
        <v>0</v>
      </c>
      <c r="F34" s="132">
        <f>IF(IFERROR('BCO Gioti 4'!C87,"")="Sí",1,IF(IFERROR('BCO Gioti 4'!C87,"")="Parcial",0.5,0))</f>
        <v>0</v>
      </c>
      <c r="G34" s="132">
        <f>IF(IFERROR('BCO Gioti 4'!C88,"")="Sí",1,IF(IFERROR('BCO Gioti 4'!C88,"")="Parcial",0.5,0))</f>
        <v>0</v>
      </c>
      <c r="H34" s="132">
        <f>IF(IFERROR('BCO Gioti 4'!C89,"")="Sí",1,IF(IFERROR('BCO Gioti 4'!C89,"")="Parcial",0.5,0))</f>
        <v>0</v>
      </c>
      <c r="I34" s="132">
        <f t="shared" si="0"/>
        <v>0</v>
      </c>
    </row>
    <row r="36" spans="1:9" ht="15" customHeight="1" x14ac:dyDescent="0.35">
      <c r="A36" s="130" t="s">
        <v>367</v>
      </c>
      <c r="B36" s="1">
        <f t="shared" ref="B36:H36" si="1">SUM(B27:B34)</f>
        <v>2.5</v>
      </c>
      <c r="C36" s="1">
        <f t="shared" si="1"/>
        <v>1.5</v>
      </c>
      <c r="D36" s="1">
        <f t="shared" si="1"/>
        <v>2.5</v>
      </c>
      <c r="E36" s="1">
        <f t="shared" si="1"/>
        <v>2</v>
      </c>
      <c r="F36" s="1">
        <f t="shared" si="1"/>
        <v>2</v>
      </c>
      <c r="G36" s="1">
        <f t="shared" si="1"/>
        <v>1.5</v>
      </c>
      <c r="H36" s="1">
        <f t="shared" si="1"/>
        <v>1</v>
      </c>
    </row>
    <row r="39" spans="1:9" ht="15" customHeight="1" x14ac:dyDescent="0.35">
      <c r="A39" s="129" t="s">
        <v>368</v>
      </c>
    </row>
    <row r="40" spans="1:9" ht="15" customHeight="1" x14ac:dyDescent="0.35">
      <c r="A40" s="130" t="s">
        <v>369</v>
      </c>
      <c r="B40" s="130" t="s">
        <v>370</v>
      </c>
      <c r="C40" s="130" t="s">
        <v>371</v>
      </c>
      <c r="D40" s="130" t="s">
        <v>372</v>
      </c>
    </row>
    <row r="41" spans="1:9" ht="15" customHeight="1" x14ac:dyDescent="0.35">
      <c r="A41" s="1" t="s">
        <v>353</v>
      </c>
      <c r="B41" s="131">
        <f>AVERAGE(B15:B18)</f>
        <v>0.2</v>
      </c>
      <c r="C41" s="131">
        <f>AVERAGE(B19:B22)</f>
        <v>0.2</v>
      </c>
      <c r="D41" s="131">
        <v>1</v>
      </c>
    </row>
    <row r="42" spans="1:9" ht="15" customHeight="1" x14ac:dyDescent="0.35">
      <c r="A42" s="1" t="s">
        <v>354</v>
      </c>
      <c r="B42" s="131">
        <f>AVERAGE(C15:C18)</f>
        <v>0.17857142857142858</v>
      </c>
      <c r="C42" s="131">
        <f>AVERAGE(C19:C22)</f>
        <v>0.19642857142857142</v>
      </c>
      <c r="D42" s="131">
        <v>1</v>
      </c>
    </row>
    <row r="43" spans="1:9" ht="15" customHeight="1" x14ac:dyDescent="0.35">
      <c r="A43" s="1" t="s">
        <v>355</v>
      </c>
      <c r="B43" s="131">
        <f>AVERAGE(D15:D18)</f>
        <v>0.16666666666666666</v>
      </c>
      <c r="C43" s="131">
        <f>AVERAGE(D19:D22)</f>
        <v>0.20833333333333334</v>
      </c>
      <c r="D43" s="131">
        <v>1</v>
      </c>
    </row>
    <row r="44" spans="1:9" ht="15" customHeight="1" x14ac:dyDescent="0.35">
      <c r="A44" s="1" t="s">
        <v>356</v>
      </c>
      <c r="B44" s="131">
        <f>AVERAGE(E15:E18)</f>
        <v>6.25E-2</v>
      </c>
      <c r="C44" s="131">
        <f>AVERAGE(E19:E22)</f>
        <v>0.1875</v>
      </c>
      <c r="D44" s="131">
        <v>1</v>
      </c>
    </row>
    <row r="47" spans="1:9" ht="15" customHeight="1" x14ac:dyDescent="0.35">
      <c r="A47" s="129" t="s">
        <v>373</v>
      </c>
    </row>
    <row r="48" spans="1:9" ht="15" customHeight="1" x14ac:dyDescent="0.35">
      <c r="A48" s="130" t="s">
        <v>374</v>
      </c>
      <c r="B48" s="130" t="s">
        <v>375</v>
      </c>
      <c r="C48" s="130" t="s">
        <v>376</v>
      </c>
      <c r="D48" s="130" t="s">
        <v>377</v>
      </c>
    </row>
    <row r="49" spans="1:4" ht="15" customHeight="1" x14ac:dyDescent="0.35">
      <c r="A49" s="1" t="s">
        <v>378</v>
      </c>
      <c r="B49" s="131">
        <v>0.75</v>
      </c>
      <c r="C49" s="131">
        <v>0.85</v>
      </c>
      <c r="D49" s="131">
        <f>(IFERROR('SURA Cotizadores'!C51,0)+IFERROR('SURA Venta Digital'!C51,0)+IFERROR('SURA Torre Control'!C51,0)+IFERROR('SURA Mesa 4'!C51,0)+IFERROR('BCO Gioti 1'!C51,0)+IFERROR('BCO Gioti 2'!C51,0)+IFERROR('BCO Gioti 3'!C51,0)+IFERROR('BCO Gioti 4'!C51,0))/8</f>
        <v>0.25624999999999998</v>
      </c>
    </row>
    <row r="50" spans="1:4" ht="15" customHeight="1" x14ac:dyDescent="0.35">
      <c r="A50" s="1" t="s">
        <v>235</v>
      </c>
      <c r="B50" s="131">
        <v>0.95</v>
      </c>
      <c r="C50" s="131">
        <v>0.98</v>
      </c>
      <c r="D50" s="131">
        <f>(IFERROR('SURA Cotizadores'!C53,0)+IFERROR('SURA Venta Digital'!C53,0)+IFERROR('SURA Torre Control'!C53,0)+IFERROR('SURA Mesa 4'!C53,0)+IFERROR('BCO Gioti 1'!C53,0)+IFERROR('BCO Gioti 2'!C53,0)+IFERROR('BCO Gioti 3'!C53,0)+IFERROR('BCO Gioti 4'!C53,0))/8</f>
        <v>0.32874999999999999</v>
      </c>
    </row>
    <row r="51" spans="1:4" ht="15" customHeight="1" x14ac:dyDescent="0.35">
      <c r="A51" s="1" t="s">
        <v>113</v>
      </c>
      <c r="B51" s="1">
        <v>45</v>
      </c>
      <c r="C51" s="1">
        <v>65</v>
      </c>
    </row>
    <row r="52" spans="1:4" ht="15" customHeight="1" x14ac:dyDescent="0.35">
      <c r="A52" s="1" t="s">
        <v>379</v>
      </c>
      <c r="B52" s="131">
        <v>0.15</v>
      </c>
      <c r="C52" s="131">
        <v>0.08</v>
      </c>
    </row>
    <row r="53" spans="1:4" ht="15" customHeight="1" x14ac:dyDescent="0.35">
      <c r="A53" s="1" t="s">
        <v>380</v>
      </c>
      <c r="B53" s="131">
        <v>0.2</v>
      </c>
      <c r="C53" s="131">
        <v>0.4</v>
      </c>
    </row>
    <row r="54" spans="1:4" ht="15" customHeight="1" x14ac:dyDescent="0.35">
      <c r="A54" s="1" t="s">
        <v>381</v>
      </c>
      <c r="B54" s="1">
        <v>15</v>
      </c>
      <c r="C54" s="1">
        <v>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Control de Cambios</vt:lpstr>
      <vt:lpstr>Instrucciones</vt:lpstr>
      <vt:lpstr>Listas</vt:lpstr>
      <vt:lpstr>Dashboard</vt:lpstr>
      <vt:lpstr>Graficas</vt:lpstr>
      <vt:lpstr>SURA Cotizadores</vt:lpstr>
      <vt:lpstr>SURA Venta Digital</vt:lpstr>
      <vt:lpstr>SURA Torre Control</vt:lpstr>
      <vt:lpstr>SURA Mesa 4</vt:lpstr>
      <vt:lpstr>BCO Gioti 1</vt:lpstr>
      <vt:lpstr>BCO Gioti 2</vt:lpstr>
      <vt:lpstr>BCO Gioti 3</vt:lpstr>
      <vt:lpstr>BCO Gioti 4</vt:lpstr>
      <vt:lpstr>ChartData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Natalia Zartha Suarez</cp:lastModifiedBy>
  <cp:revision>3</cp:revision>
  <dcterms:created xsi:type="dcterms:W3CDTF">2026-07-03T21:44:11Z</dcterms:created>
  <dcterms:modified xsi:type="dcterms:W3CDTF">2026-07-03T22:18:36Z</dcterms:modified>
  <dc:language>en-US</dc:language>
</cp:coreProperties>
</file>