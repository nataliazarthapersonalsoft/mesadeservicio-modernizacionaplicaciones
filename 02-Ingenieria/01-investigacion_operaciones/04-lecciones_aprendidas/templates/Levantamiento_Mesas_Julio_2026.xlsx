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1_A76958EC45D285C433C1FC44BE32143602D4AEA9" xr6:coauthVersionLast="47" xr6:coauthVersionMax="47" xr10:uidLastSave="{00000000-0000-0000-0000-000000000000}"/>
  <bookViews>
    <workbookView xWindow="-110" yWindow="-110" windowWidth="19420" windowHeight="11500" tabRatio="500" activeTab="3" xr2:uid="{00000000-000D-0000-FFFF-FFFF00000000}"/>
  </bookViews>
  <sheets>
    <sheet name="Inicio" sheetId="1" r:id="rId1"/>
    <sheet name="Listas" sheetId="2" state="hidden" r:id="rId2"/>
    <sheet name="Dashboard" sheetId="3" r:id="rId3"/>
    <sheet name="SURA Cotizadores" sheetId="4" r:id="rId4"/>
    <sheet name="SURA Venta Digital" sheetId="5" r:id="rId5"/>
    <sheet name="SURA Torre Control" sheetId="6" r:id="rId6"/>
    <sheet name="SURA Mesa 4" sheetId="7" r:id="rId7"/>
    <sheet name="BCO Gioti 1" sheetId="8" r:id="rId8"/>
    <sheet name="BCO Gioti 2" sheetId="9" r:id="rId9"/>
    <sheet name="BCO Gioti 3" sheetId="10" r:id="rId10"/>
    <sheet name="BCO Gioti 4" sheetId="11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1" i="3" l="1"/>
  <c r="H131" i="3"/>
  <c r="G131" i="3"/>
  <c r="F131" i="3"/>
  <c r="E131" i="3"/>
  <c r="D131" i="3"/>
  <c r="C131" i="3"/>
  <c r="B131" i="3"/>
  <c r="I130" i="3"/>
  <c r="H130" i="3"/>
  <c r="G130" i="3"/>
  <c r="F130" i="3"/>
  <c r="E130" i="3"/>
  <c r="D130" i="3"/>
  <c r="C130" i="3"/>
  <c r="B130" i="3"/>
  <c r="I129" i="3"/>
  <c r="H129" i="3"/>
  <c r="G129" i="3"/>
  <c r="F129" i="3"/>
  <c r="E129" i="3"/>
  <c r="D129" i="3"/>
  <c r="C129" i="3"/>
  <c r="B129" i="3"/>
  <c r="I128" i="3"/>
  <c r="H128" i="3"/>
  <c r="G128" i="3"/>
  <c r="F128" i="3"/>
  <c r="E128" i="3"/>
  <c r="D128" i="3"/>
  <c r="C128" i="3"/>
  <c r="B128" i="3"/>
  <c r="I127" i="3"/>
  <c r="H127" i="3"/>
  <c r="G127" i="3"/>
  <c r="F127" i="3"/>
  <c r="E127" i="3"/>
  <c r="D127" i="3"/>
  <c r="C127" i="3"/>
  <c r="B127" i="3"/>
  <c r="I126" i="3"/>
  <c r="H126" i="3"/>
  <c r="G126" i="3"/>
  <c r="F126" i="3"/>
  <c r="E126" i="3"/>
  <c r="D126" i="3"/>
  <c r="C126" i="3"/>
  <c r="B126" i="3"/>
  <c r="I119" i="3"/>
  <c r="H119" i="3"/>
  <c r="G119" i="3"/>
  <c r="F119" i="3"/>
  <c r="E119" i="3"/>
  <c r="D119" i="3"/>
  <c r="C119" i="3"/>
  <c r="B119" i="3"/>
  <c r="I118" i="3"/>
  <c r="H118" i="3"/>
  <c r="G118" i="3"/>
  <c r="F118" i="3"/>
  <c r="E118" i="3"/>
  <c r="D118" i="3"/>
  <c r="C118" i="3"/>
  <c r="B118" i="3"/>
  <c r="I117" i="3"/>
  <c r="H117" i="3"/>
  <c r="G117" i="3"/>
  <c r="F117" i="3"/>
  <c r="E117" i="3"/>
  <c r="D117" i="3"/>
  <c r="C117" i="3"/>
  <c r="B117" i="3"/>
  <c r="I116" i="3"/>
  <c r="H116" i="3"/>
  <c r="G116" i="3"/>
  <c r="F116" i="3"/>
  <c r="E116" i="3"/>
  <c r="D116" i="3"/>
  <c r="C116" i="3"/>
  <c r="B116" i="3"/>
  <c r="I115" i="3"/>
  <c r="H115" i="3"/>
  <c r="G115" i="3"/>
  <c r="F115" i="3"/>
  <c r="E115" i="3"/>
  <c r="D115" i="3"/>
  <c r="C115" i="3"/>
  <c r="B115" i="3"/>
  <c r="B111" i="3"/>
  <c r="B110" i="3"/>
  <c r="B109" i="3"/>
  <c r="B108" i="3"/>
  <c r="B107" i="3"/>
  <c r="B106" i="3"/>
  <c r="B105" i="3"/>
  <c r="M100" i="3"/>
  <c r="I97" i="3"/>
  <c r="H97" i="3"/>
  <c r="G97" i="3"/>
  <c r="F97" i="3"/>
  <c r="E97" i="3"/>
  <c r="D97" i="3"/>
  <c r="C97" i="3"/>
  <c r="N100" i="3" s="1"/>
  <c r="B97" i="3"/>
  <c r="J97" i="3" s="1"/>
  <c r="I96" i="3"/>
  <c r="H96" i="3"/>
  <c r="G96" i="3"/>
  <c r="F96" i="3"/>
  <c r="E96" i="3"/>
  <c r="D96" i="3"/>
  <c r="O100" i="3" s="1"/>
  <c r="C96" i="3"/>
  <c r="B96" i="3"/>
  <c r="J96" i="3" s="1"/>
  <c r="I95" i="3"/>
  <c r="H95" i="3"/>
  <c r="G95" i="3"/>
  <c r="F95" i="3"/>
  <c r="E95" i="3"/>
  <c r="P100" i="3" s="1"/>
  <c r="D95" i="3"/>
  <c r="C95" i="3"/>
  <c r="B95" i="3"/>
  <c r="J95" i="3" s="1"/>
  <c r="I94" i="3"/>
  <c r="H94" i="3"/>
  <c r="G94" i="3"/>
  <c r="F94" i="3"/>
  <c r="Q100" i="3" s="1"/>
  <c r="E94" i="3"/>
  <c r="D94" i="3"/>
  <c r="C94" i="3"/>
  <c r="B94" i="3"/>
  <c r="J94" i="3" s="1"/>
  <c r="I93" i="3"/>
  <c r="H93" i="3"/>
  <c r="G93" i="3"/>
  <c r="R100" i="3" s="1"/>
  <c r="F93" i="3"/>
  <c r="E93" i="3"/>
  <c r="D93" i="3"/>
  <c r="C93" i="3"/>
  <c r="B93" i="3"/>
  <c r="J93" i="3" s="1"/>
  <c r="I92" i="3"/>
  <c r="H92" i="3"/>
  <c r="S100" i="3" s="1"/>
  <c r="G92" i="3"/>
  <c r="F92" i="3"/>
  <c r="E92" i="3"/>
  <c r="D92" i="3"/>
  <c r="C92" i="3"/>
  <c r="B92" i="3"/>
  <c r="J92" i="3" s="1"/>
  <c r="I91" i="3"/>
  <c r="T100" i="3" s="1"/>
  <c r="H91" i="3"/>
  <c r="G91" i="3"/>
  <c r="F91" i="3"/>
  <c r="E91" i="3"/>
  <c r="D91" i="3"/>
  <c r="C91" i="3"/>
  <c r="B91" i="3"/>
  <c r="J91" i="3" s="1"/>
  <c r="I61" i="3"/>
  <c r="H61" i="3"/>
  <c r="G61" i="3"/>
  <c r="F61" i="3"/>
  <c r="E61" i="3"/>
  <c r="D61" i="3"/>
  <c r="C61" i="3"/>
  <c r="K61" i="3" s="1"/>
  <c r="B61" i="3"/>
  <c r="J61" i="3" s="1"/>
  <c r="I60" i="3"/>
  <c r="H60" i="3"/>
  <c r="G60" i="3"/>
  <c r="F60" i="3"/>
  <c r="E60" i="3"/>
  <c r="D60" i="3"/>
  <c r="C60" i="3"/>
  <c r="B60" i="3"/>
  <c r="K60" i="3" s="1"/>
  <c r="I59" i="3"/>
  <c r="H59" i="3"/>
  <c r="G59" i="3"/>
  <c r="F59" i="3"/>
  <c r="E59" i="3"/>
  <c r="D59" i="3"/>
  <c r="C59" i="3"/>
  <c r="B59" i="3"/>
  <c r="K59" i="3" s="1"/>
  <c r="I58" i="3"/>
  <c r="H58" i="3"/>
  <c r="G58" i="3"/>
  <c r="F58" i="3"/>
  <c r="E58" i="3"/>
  <c r="D58" i="3"/>
  <c r="C58" i="3"/>
  <c r="B58" i="3"/>
  <c r="K58" i="3" s="1"/>
  <c r="K57" i="3"/>
  <c r="I57" i="3"/>
  <c r="H57" i="3"/>
  <c r="G57" i="3"/>
  <c r="F57" i="3"/>
  <c r="E57" i="3"/>
  <c r="D57" i="3"/>
  <c r="C57" i="3"/>
  <c r="B57" i="3"/>
  <c r="J57" i="3" s="1"/>
  <c r="I56" i="3"/>
  <c r="H56" i="3"/>
  <c r="G56" i="3"/>
  <c r="F56" i="3"/>
  <c r="E56" i="3"/>
  <c r="D56" i="3"/>
  <c r="C56" i="3"/>
  <c r="B56" i="3"/>
  <c r="K56" i="3" s="1"/>
  <c r="I55" i="3"/>
  <c r="H55" i="3"/>
  <c r="G55" i="3"/>
  <c r="F55" i="3"/>
  <c r="E55" i="3"/>
  <c r="D55" i="3"/>
  <c r="C55" i="3"/>
  <c r="B55" i="3"/>
  <c r="K55" i="3" s="1"/>
  <c r="I53" i="3"/>
  <c r="H53" i="3"/>
  <c r="G53" i="3"/>
  <c r="F53" i="3"/>
  <c r="E53" i="3"/>
  <c r="D53" i="3"/>
  <c r="C53" i="3"/>
  <c r="B53" i="3"/>
  <c r="K53" i="3" s="1"/>
  <c r="I52" i="3"/>
  <c r="H52" i="3"/>
  <c r="G52" i="3"/>
  <c r="F52" i="3"/>
  <c r="E52" i="3"/>
  <c r="D52" i="3"/>
  <c r="C52" i="3"/>
  <c r="K52" i="3" s="1"/>
  <c r="B52" i="3"/>
  <c r="J52" i="3" s="1"/>
  <c r="I51" i="3"/>
  <c r="H51" i="3"/>
  <c r="G51" i="3"/>
  <c r="F51" i="3"/>
  <c r="E51" i="3"/>
  <c r="D51" i="3"/>
  <c r="C51" i="3"/>
  <c r="B51" i="3"/>
  <c r="K51" i="3" s="1"/>
  <c r="I50" i="3"/>
  <c r="H50" i="3"/>
  <c r="G50" i="3"/>
  <c r="F50" i="3"/>
  <c r="E50" i="3"/>
  <c r="D50" i="3"/>
  <c r="C50" i="3"/>
  <c r="B50" i="3"/>
  <c r="K50" i="3" s="1"/>
  <c r="I48" i="3"/>
  <c r="H48" i="3"/>
  <c r="G48" i="3"/>
  <c r="F48" i="3"/>
  <c r="E48" i="3"/>
  <c r="D48" i="3"/>
  <c r="C48" i="3"/>
  <c r="B48" i="3"/>
  <c r="K48" i="3" s="1"/>
  <c r="I47" i="3"/>
  <c r="H47" i="3"/>
  <c r="G47" i="3"/>
  <c r="F47" i="3"/>
  <c r="E47" i="3"/>
  <c r="D47" i="3"/>
  <c r="C47" i="3"/>
  <c r="K47" i="3" s="1"/>
  <c r="B47" i="3"/>
  <c r="J47" i="3" s="1"/>
  <c r="I46" i="3"/>
  <c r="H46" i="3"/>
  <c r="G46" i="3"/>
  <c r="F46" i="3"/>
  <c r="E46" i="3"/>
  <c r="D46" i="3"/>
  <c r="C46" i="3"/>
  <c r="B46" i="3"/>
  <c r="K46" i="3" s="1"/>
  <c r="I45" i="3"/>
  <c r="H45" i="3"/>
  <c r="G45" i="3"/>
  <c r="F45" i="3"/>
  <c r="E45" i="3"/>
  <c r="D45" i="3"/>
  <c r="C45" i="3"/>
  <c r="B45" i="3"/>
  <c r="K45" i="3" s="1"/>
  <c r="I43" i="3"/>
  <c r="T64" i="3" s="1"/>
  <c r="H43" i="3"/>
  <c r="G43" i="3"/>
  <c r="F43" i="3"/>
  <c r="E43" i="3"/>
  <c r="D43" i="3"/>
  <c r="C43" i="3"/>
  <c r="B43" i="3"/>
  <c r="M64" i="3" s="1"/>
  <c r="I42" i="3"/>
  <c r="H42" i="3"/>
  <c r="H65" i="3" s="1"/>
  <c r="G42" i="3"/>
  <c r="G65" i="3" s="1"/>
  <c r="F42" i="3"/>
  <c r="F65" i="3" s="1"/>
  <c r="E42" i="3"/>
  <c r="E65" i="3" s="1"/>
  <c r="D42" i="3"/>
  <c r="D65" i="3" s="1"/>
  <c r="C42" i="3"/>
  <c r="C65" i="3" s="1"/>
  <c r="B42" i="3"/>
  <c r="J42" i="3" s="1"/>
  <c r="N13" i="3"/>
  <c r="N12" i="3"/>
  <c r="I8" i="3"/>
  <c r="T13" i="3" s="1"/>
  <c r="H8" i="3"/>
  <c r="S13" i="3" s="1"/>
  <c r="G8" i="3"/>
  <c r="R13" i="3" s="1"/>
  <c r="F8" i="3"/>
  <c r="Q13" i="3" s="1"/>
  <c r="E8" i="3"/>
  <c r="P13" i="3" s="1"/>
  <c r="D8" i="3"/>
  <c r="O13" i="3" s="1"/>
  <c r="C8" i="3"/>
  <c r="C9" i="3" s="1"/>
  <c r="B8" i="3"/>
  <c r="M13" i="3" s="1"/>
  <c r="I7" i="3"/>
  <c r="T12" i="3" s="1"/>
  <c r="H7" i="3"/>
  <c r="S12" i="3" s="1"/>
  <c r="G7" i="3"/>
  <c r="R12" i="3" s="1"/>
  <c r="F7" i="3"/>
  <c r="Q12" i="3" s="1"/>
  <c r="E7" i="3"/>
  <c r="P12" i="3" s="1"/>
  <c r="D7" i="3"/>
  <c r="O12" i="3" s="1"/>
  <c r="C7" i="3"/>
  <c r="B7" i="3"/>
  <c r="M12" i="3" s="1"/>
  <c r="K42" i="3" l="1"/>
  <c r="I65" i="3"/>
  <c r="J43" i="3"/>
  <c r="J48" i="3"/>
  <c r="J53" i="3"/>
  <c r="J58" i="3"/>
  <c r="B65" i="3"/>
  <c r="F9" i="3"/>
  <c r="K43" i="3"/>
  <c r="N64" i="3"/>
  <c r="G9" i="3"/>
  <c r="J45" i="3"/>
  <c r="J50" i="3"/>
  <c r="J55" i="3"/>
  <c r="J59" i="3"/>
  <c r="O64" i="3"/>
  <c r="H9" i="3"/>
  <c r="P64" i="3"/>
  <c r="I9" i="3"/>
  <c r="J46" i="3"/>
  <c r="J51" i="3"/>
  <c r="J56" i="3"/>
  <c r="J60" i="3"/>
  <c r="Q64" i="3"/>
  <c r="B9" i="3"/>
  <c r="R64" i="3"/>
  <c r="S64" i="3"/>
  <c r="D9" i="3"/>
  <c r="E9" i="3"/>
  <c r="J9" i="3" l="1"/>
</calcChain>
</file>

<file path=xl/sharedStrings.xml><?xml version="1.0" encoding="utf-8"?>
<sst xmlns="http://schemas.openxmlformats.org/spreadsheetml/2006/main" count="2931" uniqueCount="613">
  <si>
    <t>Mesa de Servicios de Nueva Generación</t>
  </si>
  <si>
    <t>Levantamiento de Lecciones Aprendidas · Madurez · Caracterización</t>
  </si>
  <si>
    <t>PersonalSoft · Julio 2026</t>
  </si>
  <si>
    <t>¿Para qué sirve este archivo?</t>
  </si>
  <si>
    <t>Estamos diseñando la Mesa de Servicios de Nueva Generación — un servicio óptimo, estandarizado e inteligente para nuevos clientes.
Para diseñarlo bien, primero necesitamos entender cómo operan las mesas actuales: qué funciona, qué duele, qué se perdería si alguien rota, y cómo deberíamos cobrar diferente.
Este archivo captura todo eso en una sesión de 1 hora por mesa.</t>
  </si>
  <si>
    <t>¿A dónde queremos llegar? — La escala de madurez</t>
  </si>
  <si>
    <t>Nivel</t>
  </si>
  <si>
    <t>Nombre</t>
  </si>
  <si>
    <t>Qué significa · Cómo se ve</t>
  </si>
  <si>
    <t>N0 (Nivel 0 — Autoservicio con IA, sin intervención humana)</t>
  </si>
  <si>
    <t>Autoservicio</t>
  </si>
  <si>
    <t>Portal + KEDB (Base de Datos de Errores Conocidos) + IA. El usuario resuelve solo sin llamar a la mesa.</t>
  </si>
  <si>
    <t>N1 (Nivel 1 — Atención básica, front-end)</t>
  </si>
  <si>
    <t>Inicial</t>
  </si>
  <si>
    <t>Reactivo total. Conocimiento en personas. Bus factor (Riesgo por dependencia de una sola persona — si esa persona se va, el servicio falla) alto. Sin documentación.</t>
  </si>
  <si>
    <t>N2 (Nivel 2 — Soporte especializado)</t>
  </si>
  <si>
    <t>Administrado</t>
  </si>
  <si>
    <t>Documentación básica. Herramienta como bitácora. Mínimo: Mesa de Ayuda.</t>
  </si>
  <si>
    <t>N3 (Nivel 3 — Back-end, causa raíz, correcciones de código) ★</t>
  </si>
  <si>
    <t>Definido</t>
  </si>
  <si>
    <t>RACI (Responsable · Aprueba · Consultado · Informado) + ANS (Acuerdo de Nivel de Servicio) + Catálogo activos. Estandarizado entre mesas.  META WAVE 1</t>
  </si>
  <si>
    <t>N4</t>
  </si>
  <si>
    <t>Cuantitativo</t>
  </si>
  <si>
    <t>KPIs (Indicadores Clave de Desempeño) medidos. Datos reales. Costo por ticket calculado.</t>
  </si>
  <si>
    <t>N5</t>
  </si>
  <si>
    <t>Optimizado</t>
  </si>
  <si>
    <t>IA activa. AIOps (IA aplicada a Operaciones de TI). Mejora continua automatizada. Autónomo e Inteligente.</t>
  </si>
  <si>
    <t>★ N3 (Nivel 3 — Back-end, causa raíz, correcciones de código) es el nivel mínimo que debe tener una Mesa de Soporte. Es la meta del Wave (Ola — grupo de clientes que se transicionan juntos) 1.</t>
  </si>
  <si>
    <t>Los 7 dolores que ya identificamos — vamos a validarlos en cada mesa</t>
  </si>
  <si>
    <t>D1 · Organizaciones y Personas</t>
  </si>
  <si>
    <t>Sin límites claros del servicio ni roles definidos</t>
  </si>
  <si>
    <t>D2 · Información y Tecnología</t>
  </si>
  <si>
    <t>Modelo económico indexado al FTE (Persona de Tiempo Completo), sin capacidad de escalar</t>
  </si>
  <si>
    <t>D3 · Socios y Proveedores</t>
  </si>
  <si>
    <t>Tareas manuales, conocimiento en personas y sin base de conocimiento</t>
  </si>
  <si>
    <t>D4 · Flujos de Valor y Procesos</t>
  </si>
  <si>
    <t>ANS (Acuerdo de Nivel de Servicio) sin medir, KPIs (Indicadores Clave de Desempeño) empíricos y herramientas sin estándar</t>
  </si>
  <si>
    <t>D5</t>
  </si>
  <si>
    <t>Expectativa vs realidad operativa en el arranque</t>
  </si>
  <si>
    <t>D6</t>
  </si>
  <si>
    <t>Volumetría y estadísticas relevantes no se recogen en preventa</t>
  </si>
  <si>
    <t>D7</t>
  </si>
  <si>
    <t>Rotación del equipo sin rutas de crecimiento claras</t>
  </si>
  <si>
    <t>En la sesión: marca la intensidad de cada dolor (Alto / Medio / Bajo / No aplica) con un ejemplo concreto de ESA mesa.</t>
  </si>
  <si>
    <t>¿Qué vamos a levantar en la sesión de 1 hora?</t>
  </si>
  <si>
    <t>Bloque</t>
  </si>
  <si>
    <t>Tiempo</t>
  </si>
  <si>
    <t>Qué se hace</t>
  </si>
  <si>
    <t>Qué capturamos</t>
  </si>
  <si>
    <t>① Identificación rápida</t>
  </si>
  <si>
    <t>5 min</t>
  </si>
  <si>
    <t>Quién eres, qué tipo de mesa, cuántos FTEs (Personas de Tiempo Completo), horario, criticidad</t>
  </si>
  <si>
    <t>② Nivel de madurez</t>
  </si>
  <si>
    <t>Dónde está hoy esta mesa (N1 (Nivel 1 — Atención básica, front-end) a N5) y a dónde quiere llegar</t>
  </si>
  <si>
    <t>③ 17 prácticas ITIL (Marco de mejores prácticas para gestión de servicios de TI) v5</t>
  </si>
  <si>
    <t>15 min</t>
  </si>
  <si>
    <t>Sí / No / Parcial por cada práctica — rápido, sin profundizar</t>
  </si>
  <si>
    <t>④ 7 dolores validados</t>
  </si>
  <si>
    <t>20 min</t>
  </si>
  <si>
    <t>¿Cuál aplica aquí? ¿Con qué intensidad? ¿Ejemplo concreto?</t>
  </si>
  <si>
    <t>⑤ Rotación y horario</t>
  </si>
  <si>
    <t>10 min</t>
  </si>
  <si>
    <t>Cuánto rotan, por qué, horario real vs contractual, horas extra</t>
  </si>
  <si>
    <t>⑥ Tecnología y negocio</t>
  </si>
  <si>
    <t>Herramienta de tickets, modelo de cobro, ANS (Acuerdo de Nivel de Servicio), riesgo de churn</t>
  </si>
  <si>
    <t>⑦ Para el servicio nuevo</t>
  </si>
  <si>
    <t>Qué haría esta mesa excelente, qué automatizaría primero</t>
  </si>
  <si>
    <t>Total: ~65 minutos · Se puede hacer en 1 hora si el líder de mesa viene preparado con los datos básicos (FTEs (Personas de Tiempo Completo), herramienta, volumen).</t>
  </si>
  <si>
    <t>¿Cómo usar este archivo?</t>
  </si>
  <si>
    <t xml:space="preserve">  1.  Abre la hoja de la mesa que vas a evaluar (ej: 'SURA Cotizadores')</t>
  </si>
  <si>
    <t>↳ Cada hoja = una mesa = una sesión de 1 hora</t>
  </si>
  <si>
    <t xml:space="preserve">  2.  Comparte tu pantalla con el líder de la mesa</t>
  </si>
  <si>
    <t>↳ Tú llenas, ellos responden — más ágil que dar el archivo</t>
  </si>
  <si>
    <t xml:space="preserve">  3.  Sigue el orden de los bloques ① al ⑦</t>
  </si>
  <si>
    <t>↳ Cada bloque tiene el tiempo recomendado arriba</t>
  </si>
  <si>
    <t xml:space="preserve">  4.  Usa los dropdowns — no escribas libre en campos con lista</t>
  </si>
  <si>
    <t>↳ Garantiza que el Dashboard funcione correctamente</t>
  </si>
  <si>
    <t xml:space="preserve">  5.  Al terminar todas las mesas, abre el Dashboard</t>
  </si>
  <si>
    <t>↳ Verás el comparativo de niveles, dolores y prácticas de las 8 mesas</t>
  </si>
  <si>
    <t xml:space="preserve">  6.  El Dashboard alimenta el diseño del servicio nuevo</t>
  </si>
  <si>
    <t>↳ Los dolores transversales y los diferenciadores identificados = insumo directo</t>
  </si>
  <si>
    <t>Control de versiones y sesiones realizadas</t>
  </si>
  <si>
    <t>Versión</t>
  </si>
  <si>
    <t>Fecha</t>
  </si>
  <si>
    <t>Mesa evaluada</t>
  </si>
  <si>
    <t>Observaciones</t>
  </si>
  <si>
    <t>v1.0</t>
  </si>
  <si>
    <t>Jul 2026</t>
  </si>
  <si>
    <t>Archivo inicial</t>
  </si>
  <si>
    <t>v1.1</t>
  </si>
  <si>
    <t>v1.2</t>
  </si>
  <si>
    <t>PersonalSoft · CTO / SICTO · Mesa de Servicios de Nueva Generación · Julio 2026</t>
  </si>
  <si>
    <t>N0</t>
  </si>
  <si>
    <t>Sí</t>
  </si>
  <si>
    <t>Alto</t>
  </si>
  <si>
    <t>Por FTE</t>
  </si>
  <si>
    <t>L-V 7am-6pm</t>
  </si>
  <si>
    <t>ServiceNow</t>
  </si>
  <si>
    <t>Cliente</t>
  </si>
  <si>
    <t>Alta</t>
  </si>
  <si>
    <t>&lt;1 mes</t>
  </si>
  <si>
    <t>Salario</t>
  </si>
  <si>
    <t>Sí - Formales</t>
  </si>
  <si>
    <t>Tiempo real</t>
  </si>
  <si>
    <t>Sí - se cobran</t>
  </si>
  <si>
    <t>SFC</t>
  </si>
  <si>
    <t>Java</t>
  </si>
  <si>
    <t>Banca y Seguros</t>
  </si>
  <si>
    <t>Grande (&gt;1000 empleados)</t>
  </si>
  <si>
    <t>Alto — expandir a más países</t>
  </si>
  <si>
    <t>Mesa de Ayuda (Help Desk) — Reactiva</t>
  </si>
  <si>
    <t>Completamente Reactivo — solo responde cuando el usuario reporta</t>
  </si>
  <si>
    <t>Causa rotación</t>
  </si>
  <si>
    <t>N1</t>
  </si>
  <si>
    <t>No</t>
  </si>
  <si>
    <t>Medio</t>
  </si>
  <si>
    <t>Por ticket</t>
  </si>
  <si>
    <t>L-V 8am-5pm</t>
  </si>
  <si>
    <t>Jira</t>
  </si>
  <si>
    <t>PersonalSoft</t>
  </si>
  <si>
    <t>Media</t>
  </si>
  <si>
    <t>1-3 meses</t>
  </si>
  <si>
    <t>Falta crecimiento</t>
  </si>
  <si>
    <t>Sí - Informales</t>
  </si>
  <si>
    <t>Fin de mes</t>
  </si>
  <si>
    <t>Sí - no se cobran</t>
  </si>
  <si>
    <t>SOX</t>
  </si>
  <si>
    <t>.Net</t>
  </si>
  <si>
    <t>Energía y Utilities</t>
  </si>
  <si>
    <t>Mediana (100-1000)</t>
  </si>
  <si>
    <t>Alto — más aplicaciones</t>
  </si>
  <si>
    <t>Mesa de Soporte — Reactiva y Proactiva</t>
  </si>
  <si>
    <t>Reactivo con algo de monitoreo — alertas básicas</t>
  </si>
  <si>
    <t>Salario insuficiente</t>
  </si>
  <si>
    <t>N2</t>
  </si>
  <si>
    <t>Parcial</t>
  </si>
  <si>
    <t>Bajo</t>
  </si>
  <si>
    <t>Precio fijo</t>
  </si>
  <si>
    <t>5x8</t>
  </si>
  <si>
    <t>BMC Remedy</t>
  </si>
  <si>
    <t>Compartido</t>
  </si>
  <si>
    <t>Baja</t>
  </si>
  <si>
    <t>3-6 meses</t>
  </si>
  <si>
    <t>Ambos</t>
  </si>
  <si>
    <t>En construcción</t>
  </si>
  <si>
    <t>Trimestral</t>
  </si>
  <si>
    <t>No hay penalidades</t>
  </si>
  <si>
    <t>BCP/DRP</t>
  </si>
  <si>
    <t>Python</t>
  </si>
  <si>
    <t>Salud</t>
  </si>
  <si>
    <t>Pequeña (&lt;100)</t>
  </si>
  <si>
    <t>Medio — renovar contrato</t>
  </si>
  <si>
    <t>Mesa de Servicios (Service Desk) — Proactiva e Integral</t>
  </si>
  <si>
    <t>Reactivo + Proactivo — monitoreo activo + atención</t>
  </si>
  <si>
    <t>Falta de crecimiento</t>
  </si>
  <si>
    <t>N3</t>
  </si>
  <si>
    <t>No aplica</t>
  </si>
  <si>
    <t>Mixto</t>
  </si>
  <si>
    <t>5x12</t>
  </si>
  <si>
    <t>Computer Associates</t>
  </si>
  <si>
    <t>6-12 meses</t>
  </si>
  <si>
    <t>Carga alta</t>
  </si>
  <si>
    <t>No existen</t>
  </si>
  <si>
    <t>No se miden</t>
  </si>
  <si>
    <t>Habeas Data</t>
  </si>
  <si>
    <t>SAP</t>
  </si>
  <si>
    <t>Retail</t>
  </si>
  <si>
    <t>Bajo — en riesgo</t>
  </si>
  <si>
    <t>Torre de Control — Monitoreo y Observabilidad</t>
  </si>
  <si>
    <t>Proactivo — detecta y resuelve antes del impacto</t>
  </si>
  <si>
    <t>Carga alta / burnout</t>
  </si>
  <si>
    <t>7x24h</t>
  </si>
  <si>
    <t>OTRS</t>
  </si>
  <si>
    <t>Más de 1 año</t>
  </si>
  <si>
    <t>Conflicto con cliente</t>
  </si>
  <si>
    <t>Supersalud</t>
  </si>
  <si>
    <t>Oracle</t>
  </si>
  <si>
    <t>Gobierno</t>
  </si>
  <si>
    <t>Sin potencial identificado</t>
  </si>
  <si>
    <t>Mesa de Operaciones — 24x7 · Alta criticidad</t>
  </si>
  <si>
    <t>Predictivo — usa datos para anticipar problemas</t>
  </si>
  <si>
    <t>7x12h</t>
  </si>
  <si>
    <t>Excel/correo</t>
  </si>
  <si>
    <t>Otro</t>
  </si>
  <si>
    <t>RIPS</t>
  </si>
  <si>
    <t>AWS</t>
  </si>
  <si>
    <t>Telecomunicaciones</t>
  </si>
  <si>
    <t>Mesa Híbrida — Ayuda + Soporte + Operaciones</t>
  </si>
  <si>
    <t>Autónomo e Inteligente — IA resuelve sin intervención humana</t>
  </si>
  <si>
    <t>Oferta mejor empresa</t>
  </si>
  <si>
    <t>Turnos rotativos</t>
  </si>
  <si>
    <t>Otra</t>
  </si>
  <si>
    <t>PISIS</t>
  </si>
  <si>
    <t>Azure</t>
  </si>
  <si>
    <t>Manufactura</t>
  </si>
  <si>
    <t>Proyecto cerrado / reducción</t>
  </si>
  <si>
    <t>Manual (Excel / correo / WhatsApp)</t>
  </si>
  <si>
    <t>Ninguna</t>
  </si>
  <si>
    <t>Power Platform</t>
  </si>
  <si>
    <t>Tecnología</t>
  </si>
  <si>
    <t>No hay herramienta</t>
  </si>
  <si>
    <t>OT/IT</t>
  </si>
  <si>
    <t>DASHBOARD · Levantamiento Mesas de Servicio · Julio 2026</t>
  </si>
  <si>
    <t>Se alimenta automáticamente de las hojas de cada mesa — no hay que llenar esto manualmente</t>
  </si>
  <si>
    <t>Solo llena las hojas de cada mesa durante las sesiones — este dashboard se actualiza solo al abrir el archivo</t>
  </si>
  <si>
    <t>A · NIVELES DE MADUREZ — jala de cada hoja automáticamente</t>
  </si>
  <si>
    <t>SURA Cotizadore</t>
  </si>
  <si>
    <t>SURA Venta Digi</t>
  </si>
  <si>
    <t>SURA Torre Cont</t>
  </si>
  <si>
    <t>SURA Mesa 4</t>
  </si>
  <si>
    <t>BCO Gioti 1</t>
  </si>
  <si>
    <t>BCO Gioti 2</t>
  </si>
  <si>
    <t>BCO Gioti 3</t>
  </si>
  <si>
    <t>BCO Gioti 4</t>
  </si>
  <si>
    <t>Promedio</t>
  </si>
  <si>
    <t>Nivel ACTUAL</t>
  </si>
  <si>
    <t>Nivel OBJETIVO</t>
  </si>
  <si>
    <t>N3 mínimo</t>
  </si>
  <si>
    <t>GAP (niveles que le faltan)</t>
  </si>
  <si>
    <t>Mesa</t>
  </si>
  <si>
    <t>SURA Cotizador</t>
  </si>
  <si>
    <t>SURA Venta Dig</t>
  </si>
  <si>
    <t>SURA Torre Con</t>
  </si>
  <si>
    <t>Nivel Actual</t>
  </si>
  <si>
    <t>Nivel Objetivo</t>
  </si>
  <si>
    <t>B · 17 PRÁCTICAS ITIL v5 — jala de cada hoja</t>
  </si>
  <si>
    <t>Sí = la práctica existe y funciona · Parcial = existe pero informal · No = no existe · Columna J = % de mesas con Sí</t>
  </si>
  <si>
    <t>Score pond.
(Sí=1, Pcl=0.5)</t>
  </si>
  <si>
    <t>% Sí</t>
  </si>
  <si>
    <t>↑ Más útil que % Sí solo</t>
  </si>
  <si>
    <t>── D1 · Organizaciones y Personas ──</t>
  </si>
  <si>
    <t>Gobierno roles</t>
  </si>
  <si>
    <t>Capacidad</t>
  </si>
  <si>
    <t>── D2 · Información y Tecnología ──</t>
  </si>
  <si>
    <t>Herramientas</t>
  </si>
  <si>
    <t>KEDB</t>
  </si>
  <si>
    <t>Integraciones</t>
  </si>
  <si>
    <t>Monitoreo</t>
  </si>
  <si>
    <t>── D3 · Socios y Proveedores ──</t>
  </si>
  <si>
    <t>Service Desk</t>
  </si>
  <si>
    <t>Catálogo</t>
  </si>
  <si>
    <t>ANS/SLA+XLA</t>
  </si>
  <si>
    <t>Disponibilidad</t>
  </si>
  <si>
    <t>── D4 · Flujos de Valor y Procesos ──</t>
  </si>
  <si>
    <t>Incidentes</t>
  </si>
  <si>
    <t>Solicitudes</t>
  </si>
  <si>
    <t>Problemas</t>
  </si>
  <si>
    <t>Change Enablement</t>
  </si>
  <si>
    <t>Onboarding</t>
  </si>
  <si>
    <t>Mejora continua</t>
  </si>
  <si>
    <t>CX/CSAT/XLA</t>
  </si>
  <si>
    <t>% Prácticas Sí</t>
  </si>
  <si>
    <t>Score pond. por mesa</t>
  </si>
  <si>
    <t>↑ Score pond. prom.</t>
  </si>
  <si>
    <t>C · DOLORES — jala de cada hoja</t>
  </si>
  <si>
    <t>Alto · Medio · Bajo · No aplica — Columna J cuenta # de mesas con intensidad Alta</t>
  </si>
  <si>
    <t># Alto</t>
  </si>
  <si>
    <t>D1·Sin límites</t>
  </si>
  <si>
    <t>D2·FTE sin escalar</t>
  </si>
  <si>
    <t>D3·Bus factor</t>
  </si>
  <si>
    <t>D4·ANS sin medir</t>
  </si>
  <si>
    <t>D5·Expectativa</t>
  </si>
  <si>
    <t>D6·Volumetría</t>
  </si>
  <si>
    <t>D7·Rotación</t>
  </si>
  <si>
    <t>Dolor</t>
  </si>
  <si>
    <t># Mesas con Alto</t>
  </si>
  <si>
    <t>C · CAUSAS DE ROTACIÓN — frecuencia consolidada</t>
  </si>
  <si>
    <t>Basado en el dropdown B68 de cada hoja de mesa · Cuántas mesas reportan cada causa como la principal</t>
  </si>
  <si>
    <t>Causa de rotación</t>
  </si>
  <si>
    <t># Mesas que la mencionan como principal</t>
  </si>
  <si>
    <t>C.2 · DOLORES ADICIONALES (levantados en sesión — texto libre)</t>
  </si>
  <si>
    <t>SURA Cotiz.</t>
  </si>
  <si>
    <t>SURA Venta D.</t>
  </si>
  <si>
    <t>SURA Torre C.</t>
  </si>
  <si>
    <t>Dolor adicional #1</t>
  </si>
  <si>
    <t>Dolor adicional #2</t>
  </si>
  <si>
    <t>Dolor adicional #3</t>
  </si>
  <si>
    <t>Dolor adicional #4</t>
  </si>
  <si>
    <t>Dolor adicional #5</t>
  </si>
  <si>
    <t>D · ROTACIÓN Y HORARIO — jala de cada hoja</t>
  </si>
  <si>
    <t>Personas rotadas último año</t>
  </si>
  <si>
    <t>Razón principal de salida</t>
  </si>
  <si>
    <t>Tiempo promedio en la mesa</t>
  </si>
  <si>
    <t>¿Rutas de crecimiento?</t>
  </si>
  <si>
    <t>Horario real</t>
  </si>
  <si>
    <t>¿Horas extra habituales?</t>
  </si>
  <si>
    <t>E · DIFERENCIADORES PARA EL SERVICIO NUEVO</t>
  </si>
  <si>
    <t>Completar aquí la síntesis después de terminar las 8 sesiones</t>
  </si>
  <si>
    <t>Diferenciador #1 · Tecnología / IA:</t>
  </si>
  <si>
    <t>Diferenciador #2 · Modelo económico:</t>
  </si>
  <si>
    <t>Diferenciador #3 · Conocimiento institucionalizado (KEDB + N0):</t>
  </si>
  <si>
    <t>Diferenciador #4 · Rutas de carrera y retención del talento:</t>
  </si>
  <si>
    <t>Diferenciador #5 · Propuesta de valor única para el cliente:</t>
  </si>
  <si>
    <t>ESCALA DE REFERENCIA · N0 al N5</t>
  </si>
  <si>
    <t>Autoservicio · Portal + IA sin intervención humana</t>
  </si>
  <si>
    <t>Inicial · Reactivo total · Bus factor alto · Sin documentación</t>
  </si>
  <si>
    <t>Administrado · Herramienta básica · Doc básica · Mínimo Mesa de Ayuda</t>
  </si>
  <si>
    <t>N3 ★</t>
  </si>
  <si>
    <t>Definido · RACI + ANS + Catálogo · Estandarizado · MÍNIMO Mesa de Soporte · META WAVE 1</t>
  </si>
  <si>
    <t>Cuantitativo · KPIs medidos · Datos reales · Costo por ticket calculado</t>
  </si>
  <si>
    <t>Optimizado · IA activa · AIOps · Mejora continua · Autónomo e Inteligente</t>
  </si>
  <si>
    <t>Levantamiento · SURA Cotizadores</t>
  </si>
  <si>
    <t>PersonalSoft · Mesa de Servicios de Nueva Generación · Julio 2026</t>
  </si>
  <si>
    <t>⏱ Guía: ① ID 5min · ② Nivel 5min · ③ Prácticas 15min · ④ Dolores 20min · ⑤ Rotación/Horario 10min · ⑥ Tecnología 5min</t>
  </si>
  <si>
    <t>①  IDENTIFICACIÓN  ·  5 min</t>
  </si>
  <si>
    <t>Mesa / Cliente:</t>
  </si>
  <si>
    <t>↳ nombre de la mesa y el cliente</t>
  </si>
  <si>
    <t>Tipo de mesa:</t>
  </si>
  <si>
    <t>↳ Mesa de Ayuda / Mesa de Soporte / Torre de Control</t>
  </si>
  <si>
    <t># FTEs (Personas de Tiempo Completo) actuales:</t>
  </si>
  <si>
    <t>↳ número de personas hoy</t>
  </si>
  <si>
    <t>Horario contractual:</t>
  </si>
  <si>
    <t>↳ L-V 7am-6pm · 5x8 · 7x24h ...</t>
  </si>
  <si>
    <t>Criticidad para el negocio:</t>
  </si>
  <si>
    <t>↳ Alta / Media / Baja</t>
  </si>
  <si>
    <t>Industria:</t>
  </si>
  <si>
    <t>↳ SFC (Superintendencia Financiera de Colombia)=Banca · Supersalud=Salud · Energía ...</t>
  </si>
  <si>
    <t>②  NIVEL DE MADUREZ  ·  5 min</t>
  </si>
  <si>
    <t>Qué significa · ¿Cómo se ve hoy en esta mesa?</t>
  </si>
  <si>
    <t>Autoservicio · Portal + IA sin humano · Sin intervención</t>
  </si>
  <si>
    <t>Inicial · Reactivo total · Bus factor (Riesgo por dependencia de una sola persona — si esa persona se va, el servicio falla) alto · Sin documentación</t>
  </si>
  <si>
    <t>Administrado · Herramienta básica · Doc por mesa · Mínimo Mesa Ayuda</t>
  </si>
  <si>
    <t>N3 (Nivel 3 — Back-end, causa raíz, correcciones de código)</t>
  </si>
  <si>
    <t>Definido · RACI (Responsable · Aprueba · Consultado · Informado) + ANS (Acuerdo de Nivel de Servicio) + Catálogo · Estandarizado  ★ META WAVE 1</t>
  </si>
  <si>
    <t>Cuantitativo · KPIs (Indicadores Clave de Desempeño) medidos · Datos reales · Costo/ticket calculado</t>
  </si>
  <si>
    <t>Optimizado · IA activa · AIOps (IA aplicada a Operaciones de TI) · Mejora continua automatizada</t>
  </si>
  <si>
    <t>Nivel ACTUAL →</t>
  </si>
  <si>
    <t>← Selecciona N0 (Nivel 0 — Autoservicio con IA, sin intervención humana) a N5 con dropdown</t>
  </si>
  <si>
    <t>Nivel OBJETIVO →</t>
  </si>
  <si>
    <t>← Mínimo N3 (Nivel 3 — Back-end, causa raíz, correcciones de código) para Mesa de Soporte · Objetivo final N5</t>
  </si>
  <si>
    <t>¿Qué necesita para llegar al objetivo?</t>
  </si>
  <si>
    <t>③  17 PRÁCTICAS ITIL (Marco de mejores prácticas para gestión de servicios de TI) v5  ·  15 min  (Sí=funciona bien · Parcial=existe pero informal · No=no existe)</t>
  </si>
  <si>
    <t>Práctica</t>
  </si>
  <si>
    <t>Sí/No/Parcial</t>
  </si>
  <si>
    <t>Nivel mínimo</t>
  </si>
  <si>
    <t>Escala rápida de referencia + observación</t>
  </si>
  <si>
    <t>Estado actual en esta mesa (comentarios libres)</t>
  </si>
  <si>
    <t>1. Gobierno de roles (RACI)</t>
  </si>
  <si>
    <t>¿Roles Coord/Líder/Especialista diferenciados?  ·  N1 (Nivel 1 — Atención básica, front-end)=nadie sabe · N2 (Nivel 2 — Soporte especializado)=informal · N3 (Nivel 3 — Back-end, causa raíz, correcciones de código)=RACI (Responsable · Aprueba · Consultado · Informado) firmado</t>
  </si>
  <si>
    <t>2. Capacidad y dimensionamiento</t>
  </si>
  <si>
    <t>¿FTE (Persona de Tiempo Completo) se calcula con volúmenes reales + GAP (Diferencia / Brecha)?  ·  N1 (Nivel 1 — Atención básica, front-end)=a ojo · N2 (Nivel 2 — Soporte especializado)=base estática · N3 (Nivel 3 — Back-end, causa raíz, correcciones de código)=calculadora FTE</t>
  </si>
  <si>
    <t>3. Herramientas y automatización</t>
  </si>
  <si>
    <t>¿Herramienta de tickets activa e integrada?  ·  N1 (Nivel 1 — Atención básica, front-end)=Excel/correo · N2 (Nivel 2 — Soporte especializado)=básica · N3 (Nivel 3 — Back-end, causa raíz, correcciones de código)=flujos integrados</t>
  </si>
  <si>
    <t>4. Base de conocimiento (KEDB)</t>
  </si>
  <si>
    <t>¿Conocimiento documentado y accesible?  ·  N1 (Nivel 1 — Atención básica, front-end)=en la cabeza · N2 (Nivel 2 — Soporte especializado)=notas dispersas · N3 (Nivel 3 — Back-end, causa raíz, correcciones de código)=KEDB (Base de Datos de Errores Conocidos) central</t>
  </si>
  <si>
    <t>5. Gestión de integraciones</t>
  </si>
  <si>
    <t>¿Integraciones críticas documentadas?  ·  N1 (Nivel 1 — Atención básica, front-end)=sin doc · N2 (Nivel 2 — Soporte especializado)=lista · N3 (Nivel 3 — Back-end, causa raíz, correcciones de código)=mapa APIs+alertas</t>
  </si>
  <si>
    <t>6. Monitoreo y eventos</t>
  </si>
  <si>
    <t>¿Monitoreo proactivo o solo reacciona?  ·  N1 (Nivel 1 — Atención básica, front-end)=usuario reporta · N2 (Nivel 2 — Soporte especializado)=alertas manuales · N3 (Nivel 3 — Back-end, causa raíz, correcciones de código)=umbrales auto</t>
  </si>
  <si>
    <t>7. Service Desk — punto único</t>
  </si>
  <si>
    <t>¿Un único canal de entrada definido?  ·  N1 (Nivel 1 — Atención básica, front-end)=sin orden · N2 (Nivel 2 — Soporte especializado)=canal informal · N3 (Nivel 3 — Back-end, causa raíz, correcciones de código)=SPOC (Punto Único de Contacto) documentado</t>
  </si>
  <si>
    <t>8. Catálogo de servicios</t>
  </si>
  <si>
    <t>¿Catálogo define qué sí y qué no?  ·  N1 (Nivel 1 — Atención básica, front-end)=verbal · N2 (Nivel 2 — Soporte especializado)=desactualizado · N3 (Nivel 3 — Back-end, causa raíz, correcciones de código)=vivo y firmado</t>
  </si>
  <si>
    <t>9. ANS/SLA (Acuerdo de Nivel de Servicio) + XLA (Acuerdo de Nivel de Experiencia) por prioridad</t>
  </si>
  <si>
    <t>¿Tiempos medidos por Crítico/Alto/Medio/Bajo?  ·  N1 (Nivel 1 — Atención básica, front-end)=no se miden · N2 (Nivel 2 — Soporte especializado)=manual mensual · N3 (Nivel 3 — Back-end, causa raíz, correcciones de código)=tiempo real</t>
  </si>
  <si>
    <t>10. Disponibilidad y cobertura</t>
  </si>
  <si>
    <t>¿Cobertura real = contractual?  ·  N1 (Nivel 1 — Atención básica, front-end)=best effort · N2 (Nivel 2 — Soporte especializado)=pactado sin medir · N3 (Nivel 3 — Back-end, causa raíz, correcciones de código)=GAP (Diferencia / Brecha) medido</t>
  </si>
  <si>
    <t>11. Gestión de incidentes</t>
  </si>
  <si>
    <t>¿Proceso formal de registro y escalamiento?  ·  N1 (Nivel 1 — Atención básica, front-end)=reactivo · N2 (Nivel 2 — Soporte especializado)=registro básico · N3 (Nivel 3 — Back-end, causa raíz, correcciones de código)=proceso N1→N3</t>
  </si>
  <si>
    <t>12. Gestión de solicitudes</t>
  </si>
  <si>
    <t>¿Solicitudes diferenciadas de incidentes?  ·  N1 (Nivel 1 — Atención básica, front-end)=mezcladas · N2 (Nivel 2 — Soporte especializado)=flujo manual · N3 (Nivel 3 — Back-end, causa raíz, correcciones de código)=catálogo+tiempos</t>
  </si>
  <si>
    <t>13. Gestión de problemas</t>
  </si>
  <si>
    <t>¿Análisis de causa raíz sistemático?  ·  N1 (Nivel 1 — Atención básica, front-end)=no existe · N2 (Nivel 2 — Soporte especializado)=a voluntad · N3 (Nivel 3 — Back-end, causa raíz, correcciones de código)=análisis formal</t>
  </si>
  <si>
    <t>14. Change Enablement (Gestión del Cambio en Producción)</t>
  </si>
  <si>
    <t>¿Cambios en producción con aprobación formal?  ·  N1 (Nivel 1 — Atención básica, front-end)=sin control · N2 (Nivel 2 — Soporte especializado)=registro básico · N3 (Nivel 3 — Back-end, causa raíz, correcciones de código)=proceso+segregación</t>
  </si>
  <si>
    <t>15. Transición y Onboarding (proceso de integración al equipo y al cliente)</t>
  </si>
  <si>
    <t>¿Playbook documentado para nuevos integrantes?  ·  N1 (Nivel 1 — Atención básica, front-end)=improvisado · N2 (Nivel 2 — Soporte especializado)=pasos sueltos · N3 (Nivel 3 — Back-end, causa raíz, correcciones de código)=playbook exacto</t>
  </si>
  <si>
    <t>16. Mejora continua</t>
  </si>
  <si>
    <t>¿Backlog activo de mejoras con seguimiento?  ·  N2 (Nivel 2 — Soporte especializado)=solo crisis · N3 (Nivel 3 — Back-end, causa raíz, correcciones de código)=backlog activo · N4=medido antes/después</t>
  </si>
  <si>
    <t>17. CX / CSAT (Satisfacción del Cliente) / XLA (Experiencia del Usuario)</t>
  </si>
  <si>
    <t>¿Se mide satisfacción del usuario sistemáticamente?  ·  N1 (Nivel 1 — Atención básica, front-end)=cero quejas=OK · N2 (Nivel 2 — Soporte especializado)=anual · N3 (Nivel 3 — Back-end, causa raíz, correcciones de código)=CSAT (Índice de Satisfacción del Cliente)+XLA (Acuerdo de Nivel de Experiencia) continuo</t>
  </si>
  <si>
    <t>④  VALIDACIÓN DE DOLORES  ·  20 min</t>
  </si>
  <si>
    <t>Para cada dolor: marca intensidad con dropdown y escribe 1 ejemplo concreto de ESTA mesa. Si no aplica déjalo en No aplica.</t>
  </si>
  <si>
    <t>Dolor (levantado en sesiones de Sprint (ciclo de trabajo de 2 semanas en metodología ágil) 1)</t>
  </si>
  <si>
    <t>Intensidad</t>
  </si>
  <si>
    <t>Ejemplo concreto de ESTA mesa</t>
  </si>
  <si>
    <t>Dato cuantitativo (cifra / % / frecuencia)</t>
  </si>
  <si>
    <t>D1 · Sin límites claros del servicio ni roles definidos</t>
  </si>
  <si>
    <t>↳ No hay RACI (Responsable · Aprueba · Consultado · Informado) · Cada mesa opera diferente · Sin estándar N1 (Nivel 1 — Atención básica, front-end)/N2 (Nivel 2 — Soporte especializado)/N3 (Nivel 3 — Back-end, causa raíz, correcciones de código)</t>
  </si>
  <si>
    <t>D2 · Modelo económico indexado al FTE (Persona de Tiempo Completo), sin capacidad de escalar</t>
  </si>
  <si>
    <t>↳ Más apps sin más precio · Cliente no quiere pagar más · GAP (Diferencia / Brecha) no negociado</t>
  </si>
  <si>
    <t>D3 · Tareas manuales, conocimiento en personas y sin base de conocimiento</t>
  </si>
  <si>
    <t>↳ KEDB (Base de Datos de Errores Conocidos) no existe · Onboarding (proceso de integración de una persona nueva al equipo) lento · Sin Nivel 0 de autoservicio</t>
  </si>
  <si>
    <t>D4 · ANS (Acuerdo de Nivel de Servicio) sin medir, KPIs (Indicadores Clave de Desempeño) empíricos y herramientas sin estándar</t>
  </si>
  <si>
    <t>↳ BMC Remedy (herramienta de gestión de tickets de BMC Software)/Computer Associates (herramienta de gestión de tickets)/SN del cliente · Informes manuales · Sin taxonomía KPIs (Indicadores Clave de Desempeño)</t>
  </si>
  <si>
    <t>D5 · Expectativa vs realidad operativa en el arranque</t>
  </si>
  <si>
    <t>↳ Propuesta ≠ operación real · Fricción primeras semanas · Sin playbook</t>
  </si>
  <si>
    <t>D6 · Volumetría y estadísticas relevantes no se recogen en preventa</t>
  </si>
  <si>
    <t>↳ Sin datos nocturnos/extra · Equipo sub-dimensionado desde el contrato</t>
  </si>
  <si>
    <t>D7 · Rotación del equipo sin rutas de crecimiento claras</t>
  </si>
  <si>
    <t>↳ Se van por salario/sin carrera · Pérdida conocimiento · Bus factor (Riesgo por dependencia de una sola persona — si esa persona se va, el servicio falla)</t>
  </si>
  <si>
    <t>Dolor adicional #1 (si aplica):</t>
  </si>
  <si>
    <t>Dolor adicional #2 (si aplica):</t>
  </si>
  <si>
    <t>Dolor adicional #3 (si aplica):</t>
  </si>
  <si>
    <t>Dolor adicional #4 (si aplica):</t>
  </si>
  <si>
    <t>Dolor adicional #5 (si aplica):</t>
  </si>
  <si>
    <t>⑤  ROTACIÓN Y HORARIO  ·  10 min</t>
  </si>
  <si>
    <t>Personas rotadas último año (#):</t>
  </si>
  <si>
    <t>↳ ej: 2 de 4 FTEs (Personas de Tiempo Completo)</t>
  </si>
  <si>
    <t>Razón principal de salida:</t>
  </si>
  <si>
    <t>↳ Selecciona del dropdown — o escribe libremente</t>
  </si>
  <si>
    <t>Tiempo promedio que dura una persona:</t>
  </si>
  <si>
    <t>↳ &lt;1 mes / 1-3 meses / 6-12 meses</t>
  </si>
  <si>
    <t>¿Rutas de crecimiento definidas?</t>
  </si>
  <si>
    <t>↳ Sí Formales / Informales / No existen</t>
  </si>
  <si>
    <t>Horario real de operación:</t>
  </si>
  <si>
    <t>↳ ¿Coincide con el contractual?</t>
  </si>
  <si>
    <t>¿Las horas extra las asume PS o el cliente?</t>
  </si>
  <si>
    <t>↳ PersonalSoft / Cliente / Compartido</t>
  </si>
  <si>
    <t>% tickets nocturnos / fin de semana:</t>
  </si>
  <si>
    <t>↳ ej: 20% del volumen total</t>
  </si>
  <si>
    <t>Si la persona clave renuncia mañana, ¿qué pasa?</t>
  </si>
  <si>
    <t>↳ impacto real estimado</t>
  </si>
  <si>
    <t>⑥  TECNOLOGÍA Y NEGOCIO  ·  5 min</t>
  </si>
  <si>
    <t>Herramienta de tickets:</t>
  </si>
  <si>
    <t>↳ ServiceNow / BMC Remedy (herramienta de gestión de tickets de BMC Software) / Jira / Computer Associates</t>
  </si>
  <si>
    <t>¿La herramienta la paga?</t>
  </si>
  <si>
    <t>↳ Cliente / PS / Compartido</t>
  </si>
  <si>
    <t>Tecnologías del entorno:</t>
  </si>
  <si>
    <t>↳ Java / .Net / SAP / AWS / Power Platform</t>
  </si>
  <si>
    <t>¿Hay monitoreo automatizado?</t>
  </si>
  <si>
    <t>↳ Sí / No / Parcial</t>
  </si>
  <si>
    <t>¿Hay automatizaciones RPA (Automatización Robótica de Procesos)/IA activas?</t>
  </si>
  <si>
    <t>↳ Sí / No · ¿cuáles?</t>
  </si>
  <si>
    <t>Modelo de facturación:</t>
  </si>
  <si>
    <t>Riesgo de churn (perder el cliente):</t>
  </si>
  <si>
    <t>ANS (Acuerdo de Nivel de Servicio): ¿se miden?</t>
  </si>
  <si>
    <t>Penalidades:</t>
  </si>
  <si>
    <t>⑦  PARA EL DISEÑO DEL SERVICIO NUEVO  ·  5 min</t>
  </si>
  <si>
    <t>¿Qué haría esta mesa excelente en 12 meses?</t>
  </si>
  <si>
    <t>¿Qué tarea automatizaría primero con IA?</t>
  </si>
  <si>
    <t>¿Qué debería hacer PS diferente como proveedor?</t>
  </si>
  <si>
    <t>↳ propuesta concreta del líder de la mesa</t>
  </si>
  <si>
    <t>Argumento más poderoso para un cliente nuevo:</t>
  </si>
  <si>
    <t>↳ basado en esta experiencia real</t>
  </si>
  <si>
    <t>CARACTERIZACIÓN DE LA MESA · SURA Cotizadores</t>
  </si>
  <si>
    <t>Contexto de negocio · Industria · Casos de éxito · Potencial de expansión — para diseñar el servicio nuevo y encontrar el diferenciador</t>
  </si>
  <si>
    <t>A · CONTEXTO DE LA MESA Y DEL CLIENTE</t>
  </si>
  <si>
    <t>Industria / Sector del cliente:</t>
  </si>
  <si>
    <t>↳ Banca y Seguros · Energía · Salud · Retail ...</t>
  </si>
  <si>
    <t>Tamaño del cliente:</t>
  </si>
  <si>
    <t>↳ Grande &gt;1000 empleados · Mediana · Pequeña</t>
  </si>
  <si>
    <t>País / Región de operación:</t>
  </si>
  <si>
    <t>↳ ej: Colombia · Centro América · Caribe</t>
  </si>
  <si>
    <t>¿Tiene presencia en más países?</t>
  </si>
  <si>
    <t>↳ Sí / No / Parcial — ¿cuáles?</t>
  </si>
  <si>
    <t>Aplicaciones críticas que soporta esta mesa:</t>
  </si>
  <si>
    <t>↳ Listar las 3-5 más importantes (ej: Canal digital, cotizadores, core bancario)</t>
  </si>
  <si>
    <t>¿Afecta continuidad del negocio del cliente?</t>
  </si>
  <si>
    <t>↳ Alta / Media / Baja — ¿por qué?</t>
  </si>
  <si>
    <t>Regulaciones que aplican a este cliente:</t>
  </si>
  <si>
    <t>↳ SFC · SOX · BCP/DRP · Habeas Data · Supersalud · RIPS · Ninguna</t>
  </si>
  <si>
    <t>¿La mesa maneja datos sensibles o confidenciales?</t>
  </si>
  <si>
    <t>↳ Sí / No — datos financieros, clínicos, transaccionales</t>
  </si>
  <si>
    <t>Fecha de inicio de la mesa con PersonalSoft:</t>
  </si>
  <si>
    <t>↳ MM/AAAA</t>
  </si>
  <si>
    <t>Fecha de vencimiento del contrato:</t>
  </si>
  <si>
    <t>↳ MM/AAAA · ¿ya está en renovación?</t>
  </si>
  <si>
    <t>B · CASOS DE ÉXITO — Lo que esta mesa hace bien y debe replicarse</t>
  </si>
  <si>
    <t>Un caso de éxito es cualquier situación donde la mesa resolvió algo difícil, superó una expectativa del cliente o encontró una forma mejor de operar.</t>
  </si>
  <si>
    <t>Caso de éxito #1 — ¿Qué pasó?</t>
  </si>
  <si>
    <t>↳ Describe brevemente la situación y el resultado positivo</t>
  </si>
  <si>
    <t>¿Cómo lo resolvieron? ¿Qué hicieron diferente?</t>
  </si>
  <si>
    <t>↳ Proceso, herramienta, decisión o persona que marcó la diferencia</t>
  </si>
  <si>
    <t>¿Por qué fue un éxito? ¿Qué lo hizo posible?</t>
  </si>
  <si>
    <t>↳ Qué condición (equipo, herramienta, proceso, cliente) permitió ese resultado</t>
  </si>
  <si>
    <t>Caso de éxito #2 — ¿Qué pasó?</t>
  </si>
  <si>
    <t>↳ Otro ejemplo relevante de esta mesa</t>
  </si>
  <si>
    <t>¿Qué práctica o proceso de esta mesa debería replicarse en el modelo nuevo?</t>
  </si>
  <si>
    <t>↳ La respuesta más valiosa para el diseño del servicio óptimo</t>
  </si>
  <si>
    <t>¿Qué valora más el cliente de esta mesa específicamente?</t>
  </si>
  <si>
    <t>↳ Lo que el cliente menciona cuando habla bien del servicio</t>
  </si>
  <si>
    <t>C · INDUSTRIA Y ESPECIALIZACIÓN TÉCNICA</t>
  </si>
  <si>
    <t>Esta sección define las especializaciones únicas de esta mesa — lo que requiere conocimiento sectorial que no cualquier proveedor tiene.</t>
  </si>
  <si>
    <t>Tecnologías específicas de esta industria:</t>
  </si>
  <si>
    <t>↳ ej: Core bancario T24/AS400, RIPS/PISIS salud, SCADA energía, SAP, Oracle</t>
  </si>
  <si>
    <t>Certificaciones o conocimientos requeridos del equipo:</t>
  </si>
  <si>
    <t>↳ ej: ITIL, seguridad bancaria, manejo de datos clínicos, OT/IT</t>
  </si>
  <si>
    <t>¿Hay requerimientos especiales de seguridad?</t>
  </si>
  <si>
    <t>↳ Sí / No — describir: segregación funciones, acceso datos, auditorías</t>
  </si>
  <si>
    <t>¿Hay requerimientos de infraestructura física (hardware/red/planta)?</t>
  </si>
  <si>
    <t>↳ Sí / No — ej: equipos en sitio, VPN dedicada, sala segura</t>
  </si>
  <si>
    <t>¿El servicio requiere soporte en sitio (presencial)?</t>
  </si>
  <si>
    <t>↳ Sí / No / Parcial — ¿con qué frecuencia?</t>
  </si>
  <si>
    <t>¿Hay integraciones críticas con sistemas del cliente?</t>
  </si>
  <si>
    <t>↳ Sí / No — listar las 3 principales</t>
  </si>
  <si>
    <t>¿Esta industria tiene estacionalidad en la demanda?</t>
  </si>
  <si>
    <t>↳ Sí / No — ej: fin de mes bancario, cierre contable, temporadas</t>
  </si>
  <si>
    <t>¿Qué pasaría si la mesa cae 1 hora en hora pico?</t>
  </si>
  <si>
    <t>↳ Impacto económico o regulatorio estimado — esto define la criticidad real</t>
  </si>
  <si>
    <t>D · POTENCIAL DE EXPANSIÓN Y OPORTUNIDADES</t>
  </si>
  <si>
    <t>Potencial de expansión de esta cuenta:</t>
  </si>
  <si>
    <t>↳ Alto a más países · Alto más apps · Medio renovar · Bajo en riesgo</t>
  </si>
  <si>
    <t>¿Hay más mesas o equipos del cliente que podrían sumarse?</t>
  </si>
  <si>
    <t>↳ Sí / No — ¿cuáles? ¿están hablando con competencia?</t>
  </si>
  <si>
    <t>¿El cliente tiene operaciones en otros países?</t>
  </si>
  <si>
    <t>↳ Sí / No — ¿podría PS atender esas mesas también?</t>
  </si>
  <si>
    <t>¿Qué servicios adicionales podría comprar este cliente a PS?</t>
  </si>
  <si>
    <t>↳ ej: modernización, seguridad, desarrollo, AIOps, capacitaciones</t>
  </si>
  <si>
    <t>¿El cliente conoce todos los servicios que ofrece PS?</t>
  </si>
  <si>
    <t>↳ Sí / No / Parcial — oportunidad de upselling identificada</t>
  </si>
  <si>
    <t>¿Cuál es el riesgo de perder esta cuenta (Churn)?</t>
  </si>
  <si>
    <t>↳ Alta / Media / Baja — ¿por qué? ¿hay señales de alerta?</t>
  </si>
  <si>
    <t>¿Qué haría que este cliente recomendara PS a otro?</t>
  </si>
  <si>
    <t>↳ La respuesta más valiosa para la propuesta de valor del servicio nuevo</t>
  </si>
  <si>
    <t>E · LECCIONES APRENDIDAS — Insumo directo para diseñar el servicio óptimo</t>
  </si>
  <si>
    <t>Si pudieras rediseñar esta mesa desde cero sabiendo lo que sabes hoy, ¿qué harías diferente?</t>
  </si>
  <si>
    <t>Lección #1 — Lo que NO volvería a hacer:</t>
  </si>
  <si>
    <t>↳ Proceso, decisión o práctica que generó problemas</t>
  </si>
  <si>
    <t>Lección #2 — Lo que SÍ repetiría o escalaría:</t>
  </si>
  <si>
    <t>↳ Algo que funcionó tan bien que debe estar en el modelo nuevo</t>
  </si>
  <si>
    <t>Lección #3 — Lo que más le falta a esta mesa:</t>
  </si>
  <si>
    <t>↳ La brecha más dolorosa entre lo que hay y lo que debería haber</t>
  </si>
  <si>
    <t>Lección #4 — Lo que cambiaría del arranque (onboarding inicial):</t>
  </si>
  <si>
    <t>↳ Qué hubiera sido diferente si hubiera existido el playbook nuevo desde el inicio</t>
  </si>
  <si>
    <t>Lección #5 — La pregunta que debimos hacer en preventa y no hicimos:</t>
  </si>
  <si>
    <t>↳ Dato o información que hubiera cambiado cómo dimensionamos o contratamos la mesa</t>
  </si>
  <si>
    <t>Si el servicio fuera excelente en 12 meses, ¿cómo sería un día normal?</t>
  </si>
  <si>
    <t>↳ Describir el escenario ideal — sin restricciones, solo la visión</t>
  </si>
  <si>
    <t>TIPO Y NATURALEZA DE LA MESA · SURA Cotizadores</t>
  </si>
  <si>
    <t>Esta sección define QUÉ TIPO de mesa es, CÓMO opera hoy y HACIA DÓNDE debería evolucionar — es la base para diseñar el servicio óptimo</t>
  </si>
  <si>
    <t>A · ¿QUÉ TIPO DE MESA ES ESTA? — Clasificación y modo de operación</t>
  </si>
  <si>
    <t>Tipo</t>
  </si>
  <si>
    <t>Características principales</t>
  </si>
  <si>
    <t>Mesa de Ayuda
(Help Desk)</t>
  </si>
  <si>
    <t>Reactiva · Atiende cuando el usuario reporta · N1 básico · Sin proactividad</t>
  </si>
  <si>
    <t>Mesa de Soporte</t>
  </si>
  <si>
    <t>Reactiva y proactiva · N1+N2+N3 · Más técnica · Gestión de problemas</t>
  </si>
  <si>
    <t>Mesa de Servicios
(Service Desk)</t>
  </si>
  <si>
    <t>Proactiva e integral · SPOC · Catálogo · Gestión de cambios · ITSM completo</t>
  </si>
  <si>
    <t>Torre de Control</t>
  </si>
  <si>
    <t>Monitoreo y observabilidad · 24x7 · AIOps · Detección antes del impacto</t>
  </si>
  <si>
    <t>Mesa de Operaciones</t>
  </si>
  <si>
    <t>Alta criticidad · Continuidad de negocio · BCP/DRP · Turnos rotativos</t>
  </si>
  <si>
    <t>¿Qué tipo de mesa es esta hoy?</t>
  </si>
  <si>
    <t>↳ Selecciona el tipo que mejor describe cómo opera actualmente</t>
  </si>
  <si>
    <t>¿Qué tipo de mesa debería ser en 12 meses?</t>
  </si>
  <si>
    <t>↳ Hacia dónde queremos evolucionar esta mesa con el nuevo modelo</t>
  </si>
  <si>
    <t>Modelo de operación actual:</t>
  </si>
  <si>
    <t>↳ Reactivo puro / Reactivo+algo proactivo / Proactivo / Predictivo / Autónomo</t>
  </si>
  <si>
    <t>Canales de atención que usa hoy:</t>
  </si>
  <si>
    <t>↳ Teléfono / Correo / Chat / Portal / Presencial / Omnicanal</t>
  </si>
  <si>
    <t>B · ¿CÓMO OPERA HOY? — Reactiva vs Proactiva vs Automatizada</t>
  </si>
  <si>
    <t>Estas preguntas definen el modo de operación real — no el ideal, sino lo que pasa hoy en la práctica</t>
  </si>
  <si>
    <t>¿Cómo se entera el equipo de que hay un problema?</t>
  </si>
  <si>
    <t>↳ Solo cuando el usuario llama (reactivo) / Alertas del sistema / Antes del impacto (proactivo)</t>
  </si>
  <si>
    <t>¿Hay monitoreo automatizado de los sistemas del cliente?</t>
  </si>
  <si>
    <t>↳ Sí / No / Parcial — ¿qué herramienta? ¿qué sistemas monitorea?</t>
  </si>
  <si>
    <t>¿Se detectan y resuelven incidentes ANTES de que el usuario los note?</t>
  </si>
  <si>
    <t>↳ Sí (proactiva) / A veces / No (reactiva) — dar ejemplo</t>
  </si>
  <si>
    <t>¿Se hace análisis de causa raíz (RCA) para problemas recurrentes?</t>
  </si>
  <si>
    <t>↳ Sí / No / Parcial — ¿con qué frecuencia? ¿quién lo hace?</t>
  </si>
  <si>
    <t>¿Hay incidentes que se repiten todos los meses sin resolverse de raíz?</t>
  </si>
  <si>
    <t>↳ Sí / No — listar los 3 más frecuentes</t>
  </si>
  <si>
    <t>¿Cuántos tickets se resuelven sin intervención humana (automatizados)?</t>
  </si>
  <si>
    <t>↳ % estimado — ej: 0% (todo manual) / 10% / 30%</t>
  </si>
  <si>
    <t>¿Hay flujos automáticos de asignación, escalamiento o notificación?</t>
  </si>
  <si>
    <t>↳ Sí / No / Parcial — describir qué está automatizado</t>
  </si>
  <si>
    <t>¿El usuario puede resolver algo solo sin contactar la mesa?</t>
  </si>
  <si>
    <t>↳ Sí (portal) / No / En construcción — ¿qué puede resolver solo?</t>
  </si>
  <si>
    <t>¿Hay chatbot, asistente virtual o IA activa en esta mesa?</t>
  </si>
  <si>
    <t>↳ Sí / No / En piloto — ¿qué hace? ¿qué resuelve?</t>
  </si>
  <si>
    <t>¿Se usan datos históricos para predecir picos de demanda?</t>
  </si>
  <si>
    <t>↳ Sí / No — ¿se dimensiona el equipo con base en datos o a ojo?</t>
  </si>
  <si>
    <t>¿Los reportes e informes se generan automáticamente?</t>
  </si>
  <si>
    <t>↳ Sí / No / Parcial — ¿cuánto tiempo tarda hacer el informe mensual?</t>
  </si>
  <si>
    <t>¿Se mide la satisfacción del usuario (CSAT / XLA) sistemáticamente?</t>
  </si>
  <si>
    <t>↳ Sí / No / Parcial — ¿cuándo fue la última medición?</t>
  </si>
  <si>
    <t>C · CANALES DE ATENCIÓN Y FLUJO DEL TICKET</t>
  </si>
  <si>
    <t>¿Por qué canal entra la mayoría de los tickets?</t>
  </si>
  <si>
    <t>↳ ej: 80% teléfono · 15% correo · 5% portal</t>
  </si>
  <si>
    <t>¿Hay un portal de autoservicio activo y en uso?</t>
  </si>
  <si>
    <t>↳ Sí / No · si existe, ¿qué % de usuarios lo usa realmente?</t>
  </si>
  <si>
    <t>¿Cuál es el tiempo promedio desde que llega el ticket hasta que se asigna?</t>
  </si>
  <si>
    <t>↳ ej: inmediato / 15 min / 1 hora / no hay SLA de asignación</t>
  </si>
  <si>
    <t>¿Cómo se escala un ticket de N1 a N2 o a N3?</t>
  </si>
  <si>
    <t>↳ ¿es automático o manual? ¿quién decide? ¿hay criterios documentados?</t>
  </si>
  <si>
    <t>¿Qué pasa con los tickets que llegan fuera del horario de cobertura?</t>
  </si>
  <si>
    <t>↳ ¿hay guardia? ¿se acumulan? ¿el cliente queda sin atención?</t>
  </si>
  <si>
    <t>¿Se notifica al usuario el estado de su ticket automáticamente?</t>
  </si>
  <si>
    <t>↳ Sí / No · ¿cómo? (correo, portal, WhatsApp, teléfono)</t>
  </si>
  <si>
    <t>¿Cuántos tickets se resuelven en primer contacto (FCR)?</t>
  </si>
  <si>
    <t>↳ % estimado — ej: 60% se resuelven en N1 sin escalar</t>
  </si>
  <si>
    <t>D · SÍNTESIS — ¿Hacia dónde debería evolucionar esta mesa?</t>
  </si>
  <si>
    <t>En una escala del 1 al 5, ¿qué tan proactiva es esta mesa hoy?</t>
  </si>
  <si>
    <t>↳ 1 = completamente reactiva · 3 = mitad · 5 = completamente proactiva</t>
  </si>
  <si>
    <t>¿Qué cambio tendría mayor impacto en la operación de esta mesa?</t>
  </si>
  <si>
    <t>↳ la única cosa que si se hace, cambia todo — herramienta, proceso, persona, IA</t>
  </si>
  <si>
    <t>Si tuvieras 3 meses y presupuesto, ¿qué harías primero?</t>
  </si>
  <si>
    <t>↳ prioridad real del líder de la mesa — insumo directo para el diseño del servicio nuevo</t>
  </si>
  <si>
    <t>¿Qué haría que el cliente dejara de quejarse definitivamente?</t>
  </si>
  <si>
    <t>↳ la raíz del dolor del cliente — no el síntoma sino la causa</t>
  </si>
  <si>
    <t>Levantamiento · SURA Venta Digital</t>
  </si>
  <si>
    <t>CARACTERIZACIÓN DE LA MESA · SURA Venta Digital</t>
  </si>
  <si>
    <t>TIPO Y NATURALEZA DE LA MESA · SURA Venta Digital</t>
  </si>
  <si>
    <t>Levantamiento · SURA Torre Control</t>
  </si>
  <si>
    <t>CARACTERIZACIÓN DE LA MESA · SURA Torre Control</t>
  </si>
  <si>
    <t>TIPO Y NATURALEZA DE LA MESA · SURA Torre Control</t>
  </si>
  <si>
    <t>Levantamiento · SURA Mesa 4</t>
  </si>
  <si>
    <t>CARACTERIZACIÓN DE LA MESA · SURA Mesa 4</t>
  </si>
  <si>
    <t>TIPO Y NATURALEZA DE LA MESA · SURA Mesa 4</t>
  </si>
  <si>
    <t>Levantamiento · BCO Gioti 1</t>
  </si>
  <si>
    <t>CARACTERIZACIÓN DE LA MESA · BCO Gioti 1</t>
  </si>
  <si>
    <t>TIPO Y NATURALEZA DE LA MESA · BCO Gioti 1</t>
  </si>
  <si>
    <t>Levantamiento · BCO Gioti 2</t>
  </si>
  <si>
    <t>CARACTERIZACIÓN DE LA MESA · BCO Gioti 2</t>
  </si>
  <si>
    <t>TIPO Y NATURALEZA DE LA MESA · BCO Gioti 2</t>
  </si>
  <si>
    <t>Levantamiento · BCO Gioti 3</t>
  </si>
  <si>
    <t>CARACTERIZACIÓN DE LA MESA · BCO Gioti 3</t>
  </si>
  <si>
    <t>TIPO Y NATURALEZA DE LA MESA · BCO Gioti 3</t>
  </si>
  <si>
    <t>Levantamiento · BCO Gioti 4</t>
  </si>
  <si>
    <t>CARACTERIZACIÓN DE LA MESA · BCO Gioti 4</t>
  </si>
  <si>
    <t>TIPO Y NATURALEZA DE LA MESA · BCO Gioti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</si>
</sst>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2" x14ac:knownFonts="1">
    <font>
      <sz val="11"/>
      <color theme="1"/>
      <name val="Calibri"/>
      <family val="2"/>
      <charset val="1"/>
    </font>
    <font>
      <sz val="11"/>
      <color rgb="FF000000"/>
      <name val="Calibri"/>
      <charset val="1"/>
    </font>
    <font>
      <b/>
      <sz val="20"/>
      <color rgb="FFFFFFFF"/>
      <name val="Calibri"/>
      <charset val="1"/>
    </font>
    <font>
      <i/>
      <sz val="13"/>
      <color rgb="FFBDD7EE"/>
      <name val="Calibri"/>
      <charset val="1"/>
    </font>
    <font>
      <sz val="11"/>
      <color rgb="FF7FB3D3"/>
      <name val="Calibri"/>
      <charset val="1"/>
    </font>
    <font>
      <b/>
      <sz val="14"/>
      <color rgb="FFFFFFFF"/>
      <name val="Calibri"/>
      <charset val="1"/>
    </font>
    <font>
      <sz val="11"/>
      <color rgb="FF1F4E78"/>
      <name val="Calibri"/>
      <charset val="1"/>
    </font>
    <font>
      <b/>
      <sz val="10"/>
      <color rgb="FFFFFFFF"/>
      <name val="Calibri"/>
      <charset val="1"/>
    </font>
    <font>
      <b/>
      <sz val="13"/>
      <color rgb="FF085041"/>
      <name val="Calibri"/>
      <charset val="1"/>
    </font>
    <font>
      <b/>
      <sz val="11"/>
      <color rgb="FF085041"/>
      <name val="Calibri"/>
      <charset val="1"/>
    </font>
    <font>
      <sz val="10"/>
      <color rgb="FF085041"/>
      <name val="Calibri"/>
      <charset val="1"/>
    </font>
    <font>
      <b/>
      <sz val="13"/>
      <color rgb="FFC00000"/>
      <name val="Calibri"/>
      <charset val="1"/>
    </font>
    <font>
      <b/>
      <sz val="11"/>
      <color rgb="FFC00000"/>
      <name val="Calibri"/>
      <charset val="1"/>
    </font>
    <font>
      <sz val="10"/>
      <color rgb="FFC00000"/>
      <name val="Calibri"/>
      <charset val="1"/>
    </font>
    <font>
      <b/>
      <sz val="13"/>
      <color rgb="FF633806"/>
      <name val="Calibri"/>
      <charset val="1"/>
    </font>
    <font>
      <b/>
      <sz val="11"/>
      <color rgb="FF633806"/>
      <name val="Calibri"/>
      <charset val="1"/>
    </font>
    <font>
      <sz val="10"/>
      <color rgb="FF633806"/>
      <name val="Calibri"/>
      <charset val="1"/>
    </font>
    <font>
      <b/>
      <sz val="13"/>
      <color rgb="FF1D4ED8"/>
      <name val="Calibri"/>
      <charset val="1"/>
    </font>
    <font>
      <b/>
      <sz val="11"/>
      <color rgb="FF1D4ED8"/>
      <name val="Calibri"/>
      <charset val="1"/>
    </font>
    <font>
      <sz val="10"/>
      <color rgb="FF1D4ED8"/>
      <name val="Calibri"/>
      <charset val="1"/>
    </font>
    <font>
      <b/>
      <sz val="13"/>
      <color rgb="FF5B21B6"/>
      <name val="Calibri"/>
      <charset val="1"/>
    </font>
    <font>
      <b/>
      <sz val="11"/>
      <color rgb="FF5B21B6"/>
      <name val="Calibri"/>
      <charset val="1"/>
    </font>
    <font>
      <sz val="10"/>
      <color rgb="FF5B21B6"/>
      <name val="Calibri"/>
      <charset val="1"/>
    </font>
    <font>
      <b/>
      <sz val="13"/>
      <color rgb="FF065F46"/>
      <name val="Calibri"/>
      <charset val="1"/>
    </font>
    <font>
      <b/>
      <sz val="11"/>
      <color rgb="FF065F46"/>
      <name val="Calibri"/>
      <charset val="1"/>
    </font>
    <font>
      <sz val="10"/>
      <color rgb="FF065F46"/>
      <name val="Calibri"/>
      <charset val="1"/>
    </font>
    <font>
      <i/>
      <sz val="10"/>
      <color rgb="FF7F6000"/>
      <name val="Calibri"/>
      <charset val="1"/>
    </font>
    <font>
      <b/>
      <sz val="11"/>
      <color rgb="FF991B1B"/>
      <name val="Calibri"/>
      <charset val="1"/>
    </font>
    <font>
      <sz val="10"/>
      <color rgb="FF991B1B"/>
      <name val="Calibri"/>
      <charset val="1"/>
    </font>
    <font>
      <b/>
      <sz val="11"/>
      <color rgb="FF92400E"/>
      <name val="Calibri"/>
      <charset val="1"/>
    </font>
    <font>
      <sz val="10"/>
      <color rgb="FF92400E"/>
      <name val="Calibri"/>
      <charset val="1"/>
    </font>
    <font>
      <b/>
      <sz val="11"/>
      <color rgb="FFC2410C"/>
      <name val="Calibri"/>
      <charset val="1"/>
    </font>
    <font>
      <sz val="10"/>
      <color rgb="FFC2410C"/>
      <name val="Calibri"/>
      <charset val="1"/>
    </font>
    <font>
      <b/>
      <sz val="11"/>
      <color rgb="FF713F12"/>
      <name val="Calibri"/>
      <charset val="1"/>
    </font>
    <font>
      <sz val="10"/>
      <color rgb="FF713F12"/>
      <name val="Calibri"/>
      <charset val="1"/>
    </font>
    <font>
      <b/>
      <sz val="11"/>
      <color rgb="FF6B21A8"/>
      <name val="Calibri"/>
      <charset val="1"/>
    </font>
    <font>
      <sz val="10"/>
      <color rgb="FF6B21A8"/>
      <name val="Calibri"/>
      <charset val="1"/>
    </font>
    <font>
      <b/>
      <sz val="11"/>
      <color rgb="FF9D174D"/>
      <name val="Calibri"/>
      <charset val="1"/>
    </font>
    <font>
      <sz val="10"/>
      <color rgb="FF9D174D"/>
      <name val="Calibri"/>
      <charset val="1"/>
    </font>
    <font>
      <b/>
      <sz val="11"/>
      <color rgb="FF1F4E78"/>
      <name val="Calibri"/>
      <charset val="1"/>
    </font>
    <font>
      <b/>
      <sz val="12"/>
      <color rgb="FF444444"/>
      <name val="Calibri"/>
      <charset val="1"/>
    </font>
    <font>
      <sz val="10"/>
      <color rgb="FF444444"/>
      <name val="Calibri"/>
      <charset val="1"/>
    </font>
    <font>
      <i/>
      <sz val="10"/>
      <color rgb="FF1D5C2E"/>
      <name val="Calibri"/>
      <charset val="1"/>
    </font>
    <font>
      <b/>
      <sz val="10"/>
      <color rgb="FF1F4E78"/>
      <name val="Calibri"/>
      <charset val="1"/>
    </font>
    <font>
      <i/>
      <sz val="9"/>
      <color rgb="FF666666"/>
      <name val="Calibri"/>
      <charset val="1"/>
    </font>
    <font>
      <b/>
      <sz val="12"/>
      <color rgb="FFFFFFFF"/>
      <name val="Calibri"/>
      <charset val="1"/>
    </font>
    <font>
      <sz val="10"/>
      <color rgb="FF000000"/>
      <name val="Calibri"/>
      <charset val="1"/>
    </font>
    <font>
      <i/>
      <sz val="10"/>
      <color rgb="FFBDD7EE"/>
      <name val="Calibri"/>
      <charset val="1"/>
    </font>
    <font>
      <sz val="10"/>
      <color rgb="FF374151"/>
      <name val="Calibri"/>
      <charset val="1"/>
    </font>
    <font>
      <i/>
      <sz val="10"/>
      <color rgb="FFFFFFFF"/>
      <name val="Calibri"/>
      <charset val="1"/>
    </font>
    <font>
      <i/>
      <sz val="9"/>
      <color rgb="FF7F6000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13"/>
      <color rgb="FF555555"/>
      <name val="Calibri"/>
      <charset val="1"/>
    </font>
    <font>
      <b/>
      <sz val="10"/>
      <color rgb="FF1D4ED8"/>
      <name val="Calibri"/>
      <charset val="1"/>
    </font>
    <font>
      <b/>
      <sz val="10"/>
      <color rgb="FF92400E"/>
      <name val="Calibri"/>
      <charset val="1"/>
    </font>
    <font>
      <b/>
      <sz val="13"/>
      <color rgb="FF92400E"/>
      <name val="Calibri"/>
      <charset val="1"/>
    </font>
    <font>
      <i/>
      <sz val="9"/>
      <color rgb="FF1F4E78"/>
      <name val="Calibri"/>
      <charset val="1"/>
    </font>
    <font>
      <i/>
      <sz val="8"/>
      <color rgb="FF6B7280"/>
      <name val="Calibri"/>
      <charset val="1"/>
    </font>
    <font>
      <sz val="10"/>
      <color rgb="FF1F4E78"/>
      <name val="Calibri"/>
      <charset val="1"/>
    </font>
    <font>
      <b/>
      <sz val="11"/>
      <color rgb="FF000000"/>
      <name val="Calibri"/>
      <charset val="1"/>
    </font>
    <font>
      <b/>
      <sz val="10"/>
      <color rgb="FF375623"/>
      <name val="Calibri"/>
      <charset val="1"/>
    </font>
    <font>
      <sz val="9"/>
      <color rgb="FF374151"/>
      <name val="Calibri"/>
      <charset val="1"/>
    </font>
    <font>
      <b/>
      <sz val="9"/>
      <color rgb="FF374151"/>
      <name val="Calibri"/>
      <charset val="1"/>
    </font>
    <font>
      <i/>
      <sz val="9"/>
      <color rgb="FF991B1B"/>
      <name val="Calibri"/>
      <charset val="1"/>
    </font>
    <font>
      <b/>
      <sz val="10"/>
      <color rgb="FF991B1B"/>
      <name val="Calibri"/>
      <charset val="1"/>
    </font>
    <font>
      <b/>
      <sz val="11"/>
      <color rgb="FF555555"/>
      <name val="Calibri"/>
      <charset val="1"/>
    </font>
    <font>
      <b/>
      <sz val="13"/>
      <color rgb="FF991B1B"/>
      <name val="Calibri"/>
      <charset val="1"/>
    </font>
    <font>
      <b/>
      <sz val="10"/>
      <color rgb="FFC2410C"/>
      <name val="Calibri"/>
      <charset val="1"/>
    </font>
    <font>
      <b/>
      <sz val="10"/>
      <color rgb="FF713F12"/>
      <name val="Calibri"/>
      <charset val="1"/>
    </font>
    <font>
      <b/>
      <sz val="10"/>
      <color rgb="FF6B21A8"/>
      <name val="Calibri"/>
      <charset val="1"/>
    </font>
    <font>
      <b/>
      <sz val="10"/>
      <color rgb="FF9D174D"/>
      <name val="Calibri"/>
      <charset val="1"/>
    </font>
    <font>
      <i/>
      <sz val="9"/>
      <color rgb="FF6B7280"/>
      <name val="Calibri"/>
      <charset val="1"/>
    </font>
    <font>
      <i/>
      <sz val="9"/>
      <color rgb="FF1D5C2E"/>
      <name val="Calibri"/>
      <charset val="1"/>
    </font>
    <font>
      <b/>
      <sz val="10"/>
      <color rgb="FF1D5C2E"/>
      <name val="Calibri"/>
      <charset val="1"/>
    </font>
    <font>
      <b/>
      <sz val="11"/>
      <color rgb="FFFFFFFF"/>
      <name val="Calibri"/>
      <family val="2"/>
      <charset val="1"/>
    </font>
    <font>
      <i/>
      <sz val="11"/>
      <color rgb="FFFFFFFF"/>
      <name val="Calibri"/>
      <family val="2"/>
      <charset val="1"/>
    </font>
    <font>
      <b/>
      <sz val="11"/>
      <color rgb="FF1F4E78"/>
      <name val="Calibri"/>
      <family val="2"/>
      <charset val="1"/>
    </font>
    <font>
      <sz val="11"/>
      <color rgb="FF000000"/>
      <name val="Calibri"/>
      <family val="2"/>
      <charset val="1"/>
    </font>
    <font>
      <i/>
      <sz val="11"/>
      <color rgb="FF888888"/>
      <name val="Calibri"/>
      <family val="2"/>
      <charset val="1"/>
    </font>
    <font>
      <b/>
      <sz val="11"/>
      <color rgb="FF085041"/>
      <name val="Calibri"/>
      <family val="2"/>
      <charset val="1"/>
    </font>
    <font>
      <sz val="11"/>
      <color rgb="FF085041"/>
      <name val="Calibri"/>
      <family val="2"/>
      <charset val="1"/>
    </font>
    <font>
      <b/>
      <sz val="11"/>
      <color rgb="FFC00000"/>
      <name val="Calibri"/>
      <family val="2"/>
      <charset val="1"/>
    </font>
    <font>
      <sz val="11"/>
      <color rgb="FFC00000"/>
      <name val="Calibri"/>
      <family val="2"/>
      <charset val="1"/>
    </font>
    <font>
      <b/>
      <sz val="11"/>
      <color rgb="FF633806"/>
      <name val="Calibri"/>
      <family val="2"/>
      <charset val="1"/>
    </font>
    <font>
      <sz val="11"/>
      <color rgb="FF633806"/>
      <name val="Calibri"/>
      <family val="2"/>
      <charset val="1"/>
    </font>
    <font>
      <b/>
      <sz val="11"/>
      <color rgb="FF1D4ED8"/>
      <name val="Calibri"/>
      <family val="2"/>
      <charset val="1"/>
    </font>
    <font>
      <sz val="11"/>
      <color rgb="FF1D4ED8"/>
      <name val="Calibri"/>
      <family val="2"/>
      <charset val="1"/>
    </font>
    <font>
      <b/>
      <sz val="11"/>
      <color rgb="FF5B21B6"/>
      <name val="Calibri"/>
      <family val="2"/>
      <charset val="1"/>
    </font>
    <font>
      <sz val="11"/>
      <color rgb="FF5B21B6"/>
      <name val="Calibri"/>
      <family val="2"/>
      <charset val="1"/>
    </font>
    <font>
      <b/>
      <sz val="11"/>
      <color rgb="FF065F46"/>
      <name val="Calibri"/>
      <family val="2"/>
      <charset val="1"/>
    </font>
    <font>
      <sz val="11"/>
      <color rgb="FF065F46"/>
      <name val="Calibri"/>
      <family val="2"/>
      <charset val="1"/>
    </font>
    <font>
      <b/>
      <sz val="11"/>
      <color rgb="FF555555"/>
      <name val="Calibri"/>
      <family val="2"/>
      <charset val="1"/>
    </font>
    <font>
      <b/>
      <sz val="11"/>
      <color rgb="FF375623"/>
      <name val="Calibri"/>
      <family val="2"/>
      <charset val="1"/>
    </font>
    <font>
      <i/>
      <sz val="11"/>
      <color rgb="FF1D4ED8"/>
      <name val="Calibri"/>
      <family val="2"/>
      <charset val="1"/>
    </font>
    <font>
      <b/>
      <sz val="11"/>
      <color rgb="FF000000"/>
      <name val="Calibri"/>
      <family val="2"/>
      <charset val="1"/>
    </font>
    <font>
      <i/>
      <sz val="11"/>
      <color rgb="FF666666"/>
      <name val="Calibri"/>
      <family val="2"/>
      <charset val="1"/>
    </font>
    <font>
      <sz val="11"/>
      <color rgb="FF333333"/>
      <name val="Calibri"/>
      <family val="2"/>
      <charset val="1"/>
    </font>
    <font>
      <i/>
      <sz val="11"/>
      <color rgb="FF7F6000"/>
      <name val="Calibri"/>
      <family val="2"/>
      <charset val="1"/>
    </font>
    <font>
      <b/>
      <sz val="11"/>
      <color rgb="FF991B1B"/>
      <name val="Calibri"/>
      <family val="2"/>
      <charset val="1"/>
    </font>
    <font>
      <b/>
      <sz val="11"/>
      <color rgb="FF92400E"/>
      <name val="Calibri"/>
      <family val="2"/>
      <charset val="1"/>
    </font>
    <font>
      <b/>
      <sz val="11"/>
      <color rgb="FFC2410C"/>
      <name val="Calibri"/>
      <family val="2"/>
      <charset val="1"/>
    </font>
    <font>
      <b/>
      <sz val="11"/>
      <color rgb="FF713F12"/>
      <name val="Calibri"/>
      <family val="2"/>
      <charset val="1"/>
    </font>
    <font>
      <b/>
      <sz val="11"/>
      <color rgb="FF6B21A8"/>
      <name val="Calibri"/>
      <family val="2"/>
      <charset val="1"/>
    </font>
    <font>
      <b/>
      <sz val="11"/>
      <color rgb="FF9D174D"/>
      <name val="Calibri"/>
      <family val="2"/>
      <charset val="1"/>
    </font>
    <font>
      <i/>
      <sz val="11"/>
      <color rgb="FFC55A11"/>
      <name val="Calibri"/>
      <family val="2"/>
      <charset val="1"/>
    </font>
    <font>
      <b/>
      <sz val="11"/>
      <color rgb="FF888888"/>
      <name val="Calibri"/>
      <family val="2"/>
      <charset val="1"/>
    </font>
    <font>
      <b/>
      <sz val="11"/>
      <color rgb="FF1D5C2E"/>
      <name val="Calibri"/>
      <family val="2"/>
      <charset val="1"/>
    </font>
    <font>
      <i/>
      <sz val="11"/>
      <color rgb="FF375623"/>
      <name val="Calibri"/>
      <family val="2"/>
      <charset val="1"/>
    </font>
    <font>
      <i/>
      <sz val="11"/>
      <color rgb="FF1F4E78"/>
      <name val="Calibri"/>
      <family val="2"/>
      <charset val="1"/>
    </font>
    <font>
      <i/>
      <sz val="11"/>
      <color rgb="FF92400E"/>
      <name val="Calibri"/>
      <family val="2"/>
      <charset val="1"/>
    </font>
    <font>
      <i/>
      <sz val="9"/>
      <color rgb="FFFFFFFF"/>
      <name val="Calibri"/>
      <charset val="1"/>
    </font>
    <font>
      <i/>
      <sz val="9"/>
      <color rgb="FF888888"/>
      <name val="Calibri"/>
      <charset val="1"/>
    </font>
    <font>
      <b/>
      <sz val="12"/>
      <color rgb="FF085041"/>
      <name val="Calibri"/>
      <charset val="1"/>
    </font>
    <font>
      <b/>
      <sz val="12"/>
      <color rgb="FFC00000"/>
      <name val="Calibri"/>
      <charset val="1"/>
    </font>
    <font>
      <b/>
      <sz val="12"/>
      <color rgb="FF633806"/>
      <name val="Calibri"/>
      <charset val="1"/>
    </font>
    <font>
      <b/>
      <sz val="12"/>
      <color rgb="FF1D4ED8"/>
      <name val="Calibri"/>
      <charset val="1"/>
    </font>
    <font>
      <b/>
      <sz val="12"/>
      <color rgb="FF5B21B6"/>
      <name val="Calibri"/>
      <charset val="1"/>
    </font>
    <font>
      <b/>
      <sz val="12"/>
      <color rgb="FF065F46"/>
      <name val="Calibri"/>
      <charset val="1"/>
    </font>
    <font>
      <b/>
      <sz val="16"/>
      <color rgb="FF555555"/>
      <name val="Calibri"/>
      <charset val="1"/>
    </font>
    <font>
      <b/>
      <sz val="16"/>
      <color rgb="FF1D4ED8"/>
      <name val="Calibri"/>
      <charset val="1"/>
    </font>
    <font>
      <i/>
      <sz val="9"/>
      <color rgb="FF1D4ED8"/>
      <name val="Calibri"/>
      <charset val="1"/>
    </font>
    <font>
      <b/>
      <sz val="12"/>
      <color rgb="FF000000"/>
      <name val="Calibri"/>
      <charset val="1"/>
    </font>
    <font>
      <sz val="10"/>
      <color rgb="FF333333"/>
      <name val="Calibri"/>
      <charset val="1"/>
    </font>
    <font>
      <i/>
      <sz val="10"/>
      <color rgb="FFC55A11"/>
      <name val="Calibri"/>
      <charset val="1"/>
    </font>
    <font>
      <b/>
      <sz val="12"/>
      <color rgb="FF888888"/>
      <name val="Calibri"/>
      <charset val="1"/>
    </font>
    <font>
      <i/>
      <sz val="9"/>
      <color rgb="FF375623"/>
      <name val="Calibri"/>
      <charset val="1"/>
    </font>
    <font>
      <b/>
      <sz val="15"/>
      <color rgb="FFFFFFFF"/>
      <name val="Calibri"/>
      <charset val="1"/>
    </font>
    <font>
      <i/>
      <sz val="10"/>
      <color rgb="FF1F4E78"/>
      <name val="Calibri"/>
      <charset val="1"/>
    </font>
    <font>
      <i/>
      <sz val="9"/>
      <color rgb="FF92400E"/>
      <name val="Calibri"/>
      <charset val="1"/>
    </font>
    <font>
      <b/>
      <sz val="10"/>
      <color rgb="FF5B21B6"/>
      <name val="Calibri"/>
      <charset val="1"/>
    </font>
    <font>
      <i/>
      <sz val="10"/>
      <color rgb="FF1D4ED8"/>
      <name val="Calibri"/>
      <charset val="1"/>
    </font>
    <font>
      <b/>
      <sz val="9"/>
      <color rgb="FFC00000"/>
      <name val="Calibri"/>
      <charset val="1"/>
    </font>
    <font>
      <sz val="9"/>
      <color rgb="FFC00000"/>
      <name val="Calibri"/>
      <charset val="1"/>
    </font>
    <font>
      <b/>
      <sz val="9"/>
      <color rgb="FF633806"/>
      <name val="Calibri"/>
      <charset val="1"/>
    </font>
    <font>
      <sz val="9"/>
      <color rgb="FF633806"/>
      <name val="Calibri"/>
      <charset val="1"/>
    </font>
    <font>
      <b/>
      <sz val="9"/>
      <color rgb="FF1D4ED8"/>
      <name val="Calibri"/>
      <charset val="1"/>
    </font>
    <font>
      <sz val="9"/>
      <color rgb="FF1D4ED8"/>
      <name val="Calibri"/>
      <charset val="1"/>
    </font>
    <font>
      <b/>
      <sz val="9"/>
      <color rgb="FF5B21B6"/>
      <name val="Calibri"/>
      <charset val="1"/>
    </font>
    <font>
      <sz val="9"/>
      <color rgb="FF5B21B6"/>
      <name val="Calibri"/>
      <charset val="1"/>
    </font>
    <font>
      <b/>
      <sz val="9"/>
      <color rgb="FF065F46"/>
      <name val="Calibri"/>
      <charset val="1"/>
    </font>
    <font>
      <sz val="9"/>
      <color rgb="FF065F46"/>
      <name val="Calibri"/>
      <charset val="1"/>
    </font>
  </fonts>
  <fills count="44">
    <fill>
      <patternFill patternType="none"/>
    </fill>
    <fill>
      <patternFill patternType="gray125"/>
    </fill>
    <fill>
      <patternFill patternType="solid">
        <fgColor rgb="FF1F4E78"/>
        <bgColor rgb="FF0C447C"/>
      </patternFill>
    </fill>
    <fill>
      <patternFill patternType="solid">
        <fgColor rgb="FFFFFFFF"/>
        <bgColor rgb="FFFFFEF5"/>
      </patternFill>
    </fill>
    <fill>
      <patternFill patternType="solid">
        <fgColor rgb="FF0C447C"/>
        <bgColor rgb="FF1F4E78"/>
      </patternFill>
    </fill>
    <fill>
      <patternFill patternType="solid">
        <fgColor rgb="FFEBF3FB"/>
        <bgColor rgb="FFE8F0FE"/>
      </patternFill>
    </fill>
    <fill>
      <patternFill patternType="solid">
        <fgColor rgb="FFE1F5EE"/>
        <bgColor rgb="FFDCFCE7"/>
      </patternFill>
    </fill>
    <fill>
      <patternFill patternType="solid">
        <fgColor rgb="FFFAECE7"/>
        <bgColor rgb="FFFAEEDA"/>
      </patternFill>
    </fill>
    <fill>
      <patternFill patternType="solid">
        <fgColor rgb="FFFAEEDA"/>
        <bgColor rgb="FFFAECE7"/>
      </patternFill>
    </fill>
    <fill>
      <patternFill patternType="solid">
        <fgColor rgb="FFDBEAFE"/>
        <bgColor rgb="FFE8F0FE"/>
      </patternFill>
    </fill>
    <fill>
      <patternFill patternType="solid">
        <fgColor rgb="FFEDE9FE"/>
        <bgColor rgb="FFF3E8FF"/>
      </patternFill>
    </fill>
    <fill>
      <patternFill patternType="solid">
        <fgColor rgb="FFD1FAE5"/>
        <bgColor rgb="FFDCFCE7"/>
      </patternFill>
    </fill>
    <fill>
      <patternFill patternType="solid">
        <fgColor rgb="FFFFF2CC"/>
        <bgColor rgb="FFFEF3C7"/>
      </patternFill>
    </fill>
    <fill>
      <patternFill patternType="solid">
        <fgColor rgb="FF7B0000"/>
        <bgColor rgb="FF991B1B"/>
      </patternFill>
    </fill>
    <fill>
      <patternFill patternType="solid">
        <fgColor rgb="FFFEE2E2"/>
        <bgColor rgb="FFFCE7F3"/>
      </patternFill>
    </fill>
    <fill>
      <patternFill patternType="solid">
        <fgColor rgb="FFFEF3C7"/>
        <bgColor rgb="FFFFF2CC"/>
      </patternFill>
    </fill>
    <fill>
      <patternFill patternType="solid">
        <fgColor rgb="FFFFF7ED"/>
        <bgColor rgb="FFFFF8F0"/>
      </patternFill>
    </fill>
    <fill>
      <patternFill patternType="solid">
        <fgColor rgb="FFFEF9C3"/>
        <bgColor rgb="FFFEF3C7"/>
      </patternFill>
    </fill>
    <fill>
      <patternFill patternType="solid">
        <fgColor rgb="FFF3E8FF"/>
        <bgColor rgb="FFEDE9FE"/>
      </patternFill>
    </fill>
    <fill>
      <patternFill patternType="solid">
        <fgColor rgb="FFFCE7F3"/>
        <bgColor rgb="FFFAECE7"/>
      </patternFill>
    </fill>
    <fill>
      <patternFill patternType="solid">
        <fgColor rgb="FFE8F0FE"/>
        <bgColor rgb="FFEBF3FB"/>
      </patternFill>
    </fill>
    <fill>
      <patternFill patternType="solid">
        <fgColor rgb="FFE2EFDA"/>
        <bgColor rgb="FFE1F5EE"/>
      </patternFill>
    </fill>
    <fill>
      <patternFill patternType="solid">
        <fgColor rgb="FF26215C"/>
        <bgColor rgb="FF1B3A5C"/>
      </patternFill>
    </fill>
    <fill>
      <patternFill patternType="solid">
        <fgColor rgb="FFF8FAFF"/>
        <bgColor rgb="FFFAFAFA"/>
      </patternFill>
    </fill>
    <fill>
      <patternFill patternType="darkGray">
        <fgColor rgb="FF36383A"/>
        <bgColor rgb="FF3D4750"/>
      </patternFill>
    </fill>
    <fill>
      <patternFill patternType="solid">
        <fgColor rgb="FF1B3A5C"/>
        <bgColor rgb="FF0C447C"/>
      </patternFill>
    </fill>
    <fill>
      <patternFill patternType="mediumGray">
        <fgColor rgb="FF2E72B3"/>
        <bgColor rgb="FF307EB6"/>
      </patternFill>
    </fill>
    <fill>
      <patternFill patternType="solid">
        <fgColor rgb="FFFFFDE7"/>
        <bgColor rgb="FFFFFAE5"/>
      </patternFill>
    </fill>
    <fill>
      <patternFill patternType="solid">
        <fgColor rgb="FF036254"/>
        <bgColor rgb="FF085041"/>
      </patternFill>
    </fill>
    <fill>
      <patternFill patternType="solid">
        <fgColor rgb="FFFAFAFA"/>
        <bgColor rgb="FFF8FAFF"/>
      </patternFill>
    </fill>
    <fill>
      <patternFill patternType="solid">
        <fgColor rgb="FFDCFCE7"/>
        <bgColor rgb="FFD1FAE5"/>
      </patternFill>
    </fill>
    <fill>
      <patternFill patternType="mediumGray">
        <fgColor rgb="FF2E72B3"/>
        <bgColor rgb="FF1F4E78"/>
      </patternFill>
    </fill>
    <fill>
      <patternFill patternType="solid">
        <fgColor rgb="FFF3F4F6"/>
        <bgColor rgb="FFEBF3FB"/>
      </patternFill>
    </fill>
    <fill>
      <patternFill patternType="darkGray">
        <fgColor rgb="FF3D4750"/>
        <bgColor rgb="FF36383A"/>
      </patternFill>
    </fill>
    <fill>
      <patternFill patternType="solid">
        <fgColor rgb="FF1F5B29"/>
        <bgColor rgb="FF085041"/>
      </patternFill>
    </fill>
    <fill>
      <patternFill patternType="solid">
        <fgColor rgb="FFBDD7EE"/>
        <bgColor rgb="FFD3D1C7"/>
      </patternFill>
    </fill>
    <fill>
      <patternFill patternType="solid">
        <fgColor rgb="FFFFFAE5"/>
        <bgColor rgb="FFFFFDE7"/>
      </patternFill>
    </fill>
    <fill>
      <patternFill patternType="solid">
        <fgColor rgb="FFFFFEF5"/>
        <bgColor rgb="FFFFFFFF"/>
      </patternFill>
    </fill>
    <fill>
      <patternFill patternType="solid">
        <fgColor rgb="FFFFF8F0"/>
        <bgColor rgb="FFFFF7ED"/>
      </patternFill>
    </fill>
    <fill>
      <patternFill patternType="solid">
        <fgColor rgb="FFF0FFF4"/>
        <bgColor rgb="FFF8FAFF"/>
      </patternFill>
    </fill>
    <fill>
      <patternFill patternType="mediumGray">
        <fgColor rgb="FFFD7135"/>
        <bgColor rgb="FFFF6B35"/>
      </patternFill>
    </fill>
    <fill>
      <patternFill patternType="solid">
        <fgColor rgb="FF7B2D8B"/>
        <bgColor rgb="FF6021B2"/>
      </patternFill>
    </fill>
    <fill>
      <patternFill patternType="solid">
        <fgColor rgb="FFFF6B35"/>
        <bgColor rgb="FFFD7135"/>
      </patternFill>
    </fill>
    <fill>
      <patternFill patternType="darkGray">
        <fgColor rgb="FF3D4750"/>
        <bgColor rgb="FF36383A"/>
      </patternFill>
    </fill>
  </fills>
  <borders count="1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medium">
        <color rgb="FFF59E0C"/>
      </left>
      <right style="medium">
        <color rgb="FFF59E0C"/>
      </right>
      <top style="medium">
        <color rgb="FFF59E0C"/>
      </top>
      <bottom style="medium">
        <color rgb="FFF59E0C"/>
      </bottom>
      <diagonal/>
    </border>
    <border>
      <left style="medium">
        <color rgb="FF1D4ED8"/>
      </left>
      <right style="medium">
        <color rgb="FF1D4ED8"/>
      </right>
      <top style="medium">
        <color rgb="FF1D4ED8"/>
      </top>
      <bottom style="medium">
        <color rgb="FF1D4ED8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 style="medium">
        <color rgb="FF307EB6"/>
      </left>
      <right style="medium">
        <color rgb="FF307EB6"/>
      </right>
      <top style="medium">
        <color rgb="FF307EB6"/>
      </top>
      <bottom style="medium">
        <color rgb="FF307EB6"/>
      </bottom>
      <diagonal/>
    </border>
    <border>
      <left style="thin">
        <color rgb="FF307EB6"/>
      </left>
      <right style="thin">
        <color rgb="FF307EB6"/>
      </right>
      <top style="thin">
        <color rgb="FF307EB6"/>
      </top>
      <bottom style="thin">
        <color rgb="FF307EB6"/>
      </bottom>
      <diagonal/>
    </border>
    <border>
      <left style="medium">
        <color rgb="FF2E72B3"/>
      </left>
      <right style="medium">
        <color rgb="FF2E72B3"/>
      </right>
      <top style="medium">
        <color rgb="FF2E72B3"/>
      </top>
      <bottom style="medium">
        <color rgb="FF2E72B3"/>
      </bottom>
      <diagonal/>
    </border>
    <border>
      <left style="medium">
        <color rgb="FF1F5B29"/>
      </left>
      <right/>
      <top style="medium">
        <color rgb="FF1F5B29"/>
      </top>
      <bottom style="medium">
        <color rgb="FF1F5B29"/>
      </bottom>
      <diagonal/>
    </border>
    <border>
      <left style="medium">
        <color rgb="FF1D4ED8"/>
      </left>
      <right/>
      <top style="medium">
        <color rgb="FF1D4ED8"/>
      </top>
      <bottom style="medium">
        <color rgb="FF1D4ED8"/>
      </bottom>
      <diagonal/>
    </border>
    <border>
      <left style="medium">
        <color rgb="FF1F5B29"/>
      </left>
      <right style="medium">
        <color rgb="FF1F5B29"/>
      </right>
      <top style="medium">
        <color rgb="FF1F5B29"/>
      </top>
      <bottom style="medium">
        <color rgb="FF1F5B29"/>
      </bottom>
      <diagonal/>
    </border>
  </borders>
  <cellStyleXfs count="1">
    <xf numFmtId="0" fontId="0" fillId="0" borderId="0"/>
  </cellStyleXfs>
  <cellXfs count="295">
    <xf numFmtId="0" fontId="0" fillId="0" borderId="0" xfId="0"/>
    <xf numFmtId="0" fontId="94" fillId="9" borderId="0" xfId="0" applyFont="1" applyFill="1" applyAlignment="1">
      <alignment horizontal="left" vertical="center" wrapText="1"/>
    </xf>
    <xf numFmtId="0" fontId="79" fillId="27" borderId="0" xfId="0" applyFont="1" applyFill="1" applyAlignment="1">
      <alignment horizontal="left" vertical="center" wrapText="1"/>
    </xf>
    <xf numFmtId="0" fontId="91" fillId="11" borderId="0" xfId="0" applyFont="1" applyFill="1" applyAlignment="1">
      <alignment horizontal="left" vertical="center" wrapText="1"/>
    </xf>
    <xf numFmtId="0" fontId="89" fillId="10" borderId="0" xfId="0" applyFont="1" applyFill="1" applyAlignment="1">
      <alignment horizontal="left" vertical="center" wrapText="1"/>
    </xf>
    <xf numFmtId="0" fontId="87" fillId="9" borderId="0" xfId="0" applyFont="1" applyFill="1" applyAlignment="1">
      <alignment horizontal="left" vertical="center" wrapText="1"/>
    </xf>
    <xf numFmtId="0" fontId="85" fillId="8" borderId="0" xfId="0" applyFont="1" applyFill="1" applyAlignment="1">
      <alignment horizontal="left" vertical="center" wrapText="1"/>
    </xf>
    <xf numFmtId="0" fontId="83" fillId="7" borderId="0" xfId="0" applyFont="1" applyFill="1" applyAlignment="1">
      <alignment horizontal="left" vertical="center" wrapText="1"/>
    </xf>
    <xf numFmtId="0" fontId="81" fillId="6" borderId="0" xfId="0" applyFont="1" applyFill="1" applyAlignment="1">
      <alignment horizontal="left" vertical="center" wrapText="1"/>
    </xf>
    <xf numFmtId="0" fontId="75" fillId="2" borderId="0" xfId="0" applyFont="1" applyFill="1" applyAlignment="1">
      <alignment horizontal="left" vertical="center" wrapText="1"/>
    </xf>
    <xf numFmtId="0" fontId="79" fillId="36" borderId="0" xfId="0" applyFont="1" applyFill="1" applyAlignment="1">
      <alignment horizontal="left" vertical="center" wrapText="1"/>
    </xf>
    <xf numFmtId="0" fontId="77" fillId="35" borderId="0" xfId="0" applyFont="1" applyFill="1" applyAlignment="1">
      <alignment horizontal="center" vertical="center" wrapText="1"/>
    </xf>
    <xf numFmtId="0" fontId="76" fillId="22" borderId="0" xfId="0" applyFont="1" applyFill="1" applyAlignment="1">
      <alignment horizontal="left" vertical="center" wrapText="1"/>
    </xf>
    <xf numFmtId="0" fontId="75" fillId="26" borderId="0" xfId="0" applyFont="1" applyFill="1" applyAlignment="1">
      <alignment horizontal="center" vertical="center" wrapText="1"/>
    </xf>
    <xf numFmtId="0" fontId="75" fillId="2" borderId="0" xfId="0" applyFont="1" applyFill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0" fontId="20" fillId="10" borderId="1" xfId="0" applyFont="1" applyFill="1" applyBorder="1" applyAlignment="1">
      <alignment horizontal="center" vertical="center" wrapText="1"/>
    </xf>
    <xf numFmtId="0" fontId="21" fillId="10" borderId="1" xfId="0" applyFont="1" applyFill="1" applyBorder="1" applyAlignment="1">
      <alignment horizontal="center" vertical="center" wrapText="1"/>
    </xf>
    <xf numFmtId="0" fontId="22" fillId="10" borderId="1" xfId="0" applyFont="1" applyFill="1" applyBorder="1" applyAlignment="1">
      <alignment horizontal="left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24" fillId="11" borderId="1" xfId="0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left" vertical="center" wrapText="1"/>
    </xf>
    <xf numFmtId="0" fontId="27" fillId="14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1" fillId="16" borderId="1" xfId="0" applyFont="1" applyFill="1" applyBorder="1" applyAlignment="1">
      <alignment horizontal="center" vertical="center" wrapText="1"/>
    </xf>
    <xf numFmtId="0" fontId="33" fillId="17" borderId="1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37" fillId="19" borderId="1" xfId="0" applyFont="1" applyFill="1" applyBorder="1" applyAlignment="1">
      <alignment horizontal="center" vertical="center" wrapText="1"/>
    </xf>
    <xf numFmtId="0" fontId="39" fillId="20" borderId="1" xfId="0" applyFont="1" applyFill="1" applyBorder="1" applyAlignment="1">
      <alignment horizontal="left" vertical="center" wrapText="1"/>
    </xf>
    <xf numFmtId="0" fontId="40" fillId="20" borderId="1" xfId="0" applyFont="1" applyFill="1" applyBorder="1" applyAlignment="1">
      <alignment horizontal="center" vertical="center" wrapText="1"/>
    </xf>
    <xf numFmtId="0" fontId="41" fillId="20" borderId="1" xfId="0" applyFont="1" applyFill="1" applyBorder="1" applyAlignment="1">
      <alignment horizontal="left" vertical="center" wrapText="1"/>
    </xf>
    <xf numFmtId="0" fontId="39" fillId="5" borderId="1" xfId="0" applyFont="1" applyFill="1" applyBorder="1" applyAlignment="1">
      <alignment horizontal="left" vertical="center" wrapText="1"/>
    </xf>
    <xf numFmtId="0" fontId="40" fillId="5" borderId="1" xfId="0" applyFont="1" applyFill="1" applyBorder="1" applyAlignment="1">
      <alignment horizontal="center" vertical="center" wrapText="1"/>
    </xf>
    <xf numFmtId="0" fontId="41" fillId="5" borderId="1" xfId="0" applyFont="1" applyFill="1" applyBorder="1" applyAlignment="1">
      <alignment horizontal="left" vertical="center" wrapText="1"/>
    </xf>
    <xf numFmtId="0" fontId="39" fillId="21" borderId="1" xfId="0" applyFont="1" applyFill="1" applyBorder="1" applyAlignment="1">
      <alignment horizontal="left" vertical="center" wrapText="1"/>
    </xf>
    <xf numFmtId="0" fontId="40" fillId="21" borderId="1" xfId="0" applyFont="1" applyFill="1" applyBorder="1" applyAlignment="1">
      <alignment horizontal="center" vertical="center" wrapText="1"/>
    </xf>
    <xf numFmtId="0" fontId="41" fillId="21" borderId="1" xfId="0" applyFont="1" applyFill="1" applyBorder="1" applyAlignment="1">
      <alignment horizontal="left" vertical="center" wrapText="1"/>
    </xf>
    <xf numFmtId="0" fontId="39" fillId="14" borderId="1" xfId="0" applyFont="1" applyFill="1" applyBorder="1" applyAlignment="1">
      <alignment horizontal="left" vertical="center" wrapText="1"/>
    </xf>
    <xf numFmtId="0" fontId="40" fillId="14" borderId="1" xfId="0" applyFont="1" applyFill="1" applyBorder="1" applyAlignment="1">
      <alignment horizontal="center" vertical="center" wrapText="1"/>
    </xf>
    <xf numFmtId="0" fontId="41" fillId="14" borderId="1" xfId="0" applyFont="1" applyFill="1" applyBorder="1" applyAlignment="1">
      <alignment horizontal="left" vertical="center" wrapText="1"/>
    </xf>
    <xf numFmtId="0" fontId="39" fillId="15" borderId="1" xfId="0" applyFont="1" applyFill="1" applyBorder="1" applyAlignment="1">
      <alignment horizontal="left" vertical="center" wrapText="1"/>
    </xf>
    <xf numFmtId="0" fontId="40" fillId="15" borderId="1" xfId="0" applyFont="1" applyFill="1" applyBorder="1" applyAlignment="1">
      <alignment horizontal="center" vertical="center" wrapText="1"/>
    </xf>
    <xf numFmtId="0" fontId="41" fillId="15" borderId="1" xfId="0" applyFont="1" applyFill="1" applyBorder="1" applyAlignment="1">
      <alignment horizontal="left" vertical="center" wrapText="1"/>
    </xf>
    <xf numFmtId="0" fontId="39" fillId="18" borderId="1" xfId="0" applyFont="1" applyFill="1" applyBorder="1" applyAlignment="1">
      <alignment horizontal="left" vertical="center" wrapText="1"/>
    </xf>
    <xf numFmtId="0" fontId="40" fillId="18" borderId="1" xfId="0" applyFont="1" applyFill="1" applyBorder="1" applyAlignment="1">
      <alignment horizontal="center" vertical="center" wrapText="1"/>
    </xf>
    <xf numFmtId="0" fontId="41" fillId="18" borderId="1" xfId="0" applyFont="1" applyFill="1" applyBorder="1" applyAlignment="1">
      <alignment horizontal="left" vertical="center" wrapText="1"/>
    </xf>
    <xf numFmtId="0" fontId="39" fillId="11" borderId="1" xfId="0" applyFont="1" applyFill="1" applyBorder="1" applyAlignment="1">
      <alignment horizontal="left" vertical="center" wrapText="1"/>
    </xf>
    <xf numFmtId="0" fontId="40" fillId="11" borderId="1" xfId="0" applyFont="1" applyFill="1" applyBorder="1" applyAlignment="1">
      <alignment horizontal="center" vertical="center" wrapText="1"/>
    </xf>
    <xf numFmtId="0" fontId="41" fillId="11" borderId="1" xfId="0" applyFont="1" applyFill="1" applyBorder="1" applyAlignment="1">
      <alignment horizontal="left" vertical="center" wrapText="1"/>
    </xf>
    <xf numFmtId="0" fontId="43" fillId="5" borderId="1" xfId="0" applyFont="1" applyFill="1" applyBorder="1" applyAlignment="1">
      <alignment horizontal="left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46" fillId="23" borderId="1" xfId="0" applyFont="1" applyFill="1" applyBorder="1" applyAlignment="1">
      <alignment horizontal="center" vertical="center" wrapText="1"/>
    </xf>
    <xf numFmtId="0" fontId="46" fillId="23" borderId="1" xfId="0" applyFont="1" applyFill="1" applyBorder="1" applyAlignment="1">
      <alignment horizontal="left" vertical="center" wrapText="1"/>
    </xf>
    <xf numFmtId="0" fontId="7" fillId="25" borderId="0" xfId="0" applyFont="1" applyFill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52" fillId="2" borderId="1" xfId="0" applyFont="1" applyFill="1" applyBorder="1" applyAlignment="1">
      <alignment horizontal="center" vertical="center" wrapText="1"/>
    </xf>
    <xf numFmtId="0" fontId="52" fillId="22" borderId="1" xfId="0" applyFont="1" applyFill="1" applyBorder="1" applyAlignment="1">
      <alignment horizontal="center" vertical="center" wrapText="1"/>
    </xf>
    <xf numFmtId="0" fontId="39" fillId="27" borderId="1" xfId="0" applyFont="1" applyFill="1" applyBorder="1" applyAlignment="1">
      <alignment horizontal="left" vertical="center" wrapText="1"/>
    </xf>
    <xf numFmtId="0" fontId="53" fillId="27" borderId="2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left" vertical="center" wrapText="1"/>
    </xf>
    <xf numFmtId="0" fontId="17" fillId="9" borderId="3" xfId="0" applyFont="1" applyFill="1" applyBorder="1" applyAlignment="1">
      <alignment horizontal="center" vertical="center" wrapText="1"/>
    </xf>
    <xf numFmtId="0" fontId="54" fillId="9" borderId="1" xfId="0" applyFont="1" applyFill="1" applyBorder="1" applyAlignment="1">
      <alignment horizontal="center" vertical="center" wrapText="1"/>
    </xf>
    <xf numFmtId="0" fontId="55" fillId="15" borderId="1" xfId="0" applyFont="1" applyFill="1" applyBorder="1" applyAlignment="1">
      <alignment horizontal="left" vertical="center" wrapText="1"/>
    </xf>
    <xf numFmtId="0" fontId="56" fillId="15" borderId="1" xfId="0" applyFont="1" applyFill="1" applyBorder="1" applyAlignment="1">
      <alignment horizontal="center" vertical="center" wrapText="1"/>
    </xf>
    <xf numFmtId="0" fontId="52" fillId="28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9" fillId="23" borderId="1" xfId="0" applyFont="1" applyFill="1" applyBorder="1" applyAlignment="1">
      <alignment horizontal="left" vertical="center" wrapText="1"/>
    </xf>
    <xf numFmtId="0" fontId="60" fillId="29" borderId="1" xfId="0" applyFont="1" applyFill="1" applyBorder="1" applyAlignment="1">
      <alignment horizontal="center" vertical="center" wrapText="1"/>
    </xf>
    <xf numFmtId="9" fontId="61" fillId="21" borderId="1" xfId="0" applyNumberFormat="1" applyFont="1" applyFill="1" applyBorder="1" applyAlignment="1">
      <alignment horizontal="center" vertical="center" wrapText="1"/>
    </xf>
    <xf numFmtId="9" fontId="62" fillId="0" borderId="0" xfId="0" applyNumberFormat="1" applyFont="1" applyAlignment="1">
      <alignment horizontal="center" vertical="center"/>
    </xf>
    <xf numFmtId="0" fontId="63" fillId="30" borderId="0" xfId="0" applyFont="1" applyFill="1" applyAlignment="1">
      <alignment horizontal="left" vertical="center" wrapText="1"/>
    </xf>
    <xf numFmtId="9" fontId="63" fillId="30" borderId="0" xfId="0" applyNumberFormat="1" applyFont="1" applyFill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65" fillId="14" borderId="1" xfId="0" applyFont="1" applyFill="1" applyBorder="1" applyAlignment="1">
      <alignment horizontal="left" vertical="center" wrapText="1"/>
    </xf>
    <xf numFmtId="0" fontId="66" fillId="27" borderId="4" xfId="0" applyFont="1" applyFill="1" applyBorder="1" applyAlignment="1">
      <alignment horizontal="center" vertical="center" wrapText="1"/>
    </xf>
    <xf numFmtId="0" fontId="67" fillId="14" borderId="1" xfId="0" applyFont="1" applyFill="1" applyBorder="1" applyAlignment="1">
      <alignment horizontal="center" vertical="center" wrapText="1"/>
    </xf>
    <xf numFmtId="0" fontId="68" fillId="16" borderId="1" xfId="0" applyFont="1" applyFill="1" applyBorder="1" applyAlignment="1">
      <alignment horizontal="left" vertical="center" wrapText="1"/>
    </xf>
    <xf numFmtId="0" fontId="69" fillId="17" borderId="1" xfId="0" applyFont="1" applyFill="1" applyBorder="1" applyAlignment="1">
      <alignment horizontal="left" vertical="center" wrapText="1"/>
    </xf>
    <xf numFmtId="0" fontId="70" fillId="18" borderId="1" xfId="0" applyFont="1" applyFill="1" applyBorder="1" applyAlignment="1">
      <alignment horizontal="left" vertical="center" wrapText="1"/>
    </xf>
    <xf numFmtId="0" fontId="71" fillId="19" borderId="1" xfId="0" applyFont="1" applyFill="1" applyBorder="1" applyAlignment="1">
      <alignment horizontal="left" vertical="center" wrapText="1"/>
    </xf>
    <xf numFmtId="0" fontId="52" fillId="25" borderId="0" xfId="0" applyFont="1" applyFill="1" applyAlignment="1">
      <alignment horizontal="center" vertical="center" wrapText="1"/>
    </xf>
    <xf numFmtId="0" fontId="62" fillId="32" borderId="0" xfId="0" applyFont="1" applyFill="1" applyAlignment="1">
      <alignment horizontal="left" vertical="center" wrapText="1"/>
    </xf>
    <xf numFmtId="0" fontId="62" fillId="3" borderId="0" xfId="0" applyFont="1" applyFill="1" applyAlignment="1">
      <alignment horizontal="left" vertical="center" wrapText="1"/>
    </xf>
    <xf numFmtId="0" fontId="46" fillId="29" borderId="1" xfId="0" applyFont="1" applyFill="1" applyBorder="1" applyAlignment="1">
      <alignment horizontal="center" vertical="center" wrapText="1"/>
    </xf>
    <xf numFmtId="0" fontId="74" fillId="21" borderId="1" xfId="0" applyFont="1" applyFill="1" applyBorder="1" applyAlignment="1">
      <alignment horizontal="left" vertical="center" wrapText="1"/>
    </xf>
    <xf numFmtId="0" fontId="75" fillId="2" borderId="0" xfId="0" applyFont="1" applyFill="1" applyAlignment="1">
      <alignment horizontal="center" vertical="center" wrapText="1"/>
    </xf>
    <xf numFmtId="0" fontId="77" fillId="35" borderId="0" xfId="0" applyFont="1" applyFill="1" applyAlignment="1">
      <alignment horizontal="center" vertical="center" wrapText="1"/>
    </xf>
    <xf numFmtId="0" fontId="77" fillId="5" borderId="1" xfId="0" applyFont="1" applyFill="1" applyBorder="1" applyAlignment="1">
      <alignment horizontal="left" vertical="center" wrapText="1"/>
    </xf>
    <xf numFmtId="0" fontId="78" fillId="3" borderId="1" xfId="0" applyFont="1" applyFill="1" applyBorder="1" applyAlignment="1">
      <alignment horizontal="left" vertical="center" wrapText="1"/>
    </xf>
    <xf numFmtId="0" fontId="79" fillId="36" borderId="0" xfId="0" applyFont="1" applyFill="1" applyAlignment="1">
      <alignment horizontal="left" vertical="center" wrapText="1"/>
    </xf>
    <xf numFmtId="0" fontId="80" fillId="6" borderId="1" xfId="0" applyFont="1" applyFill="1" applyBorder="1" applyAlignment="1">
      <alignment horizontal="center" vertical="center" wrapText="1"/>
    </xf>
    <xf numFmtId="0" fontId="82" fillId="7" borderId="1" xfId="0" applyFont="1" applyFill="1" applyBorder="1" applyAlignment="1">
      <alignment horizontal="center" vertical="center" wrapText="1"/>
    </xf>
    <xf numFmtId="0" fontId="84" fillId="8" borderId="1" xfId="0" applyFont="1" applyFill="1" applyBorder="1" applyAlignment="1">
      <alignment horizontal="center" vertical="center" wrapText="1"/>
    </xf>
    <xf numFmtId="0" fontId="86" fillId="9" borderId="1" xfId="0" applyFont="1" applyFill="1" applyBorder="1" applyAlignment="1">
      <alignment horizontal="center" vertical="center" wrapText="1"/>
    </xf>
    <xf numFmtId="0" fontId="88" fillId="10" borderId="1" xfId="0" applyFont="1" applyFill="1" applyBorder="1" applyAlignment="1">
      <alignment horizontal="center" vertical="center" wrapText="1"/>
    </xf>
    <xf numFmtId="0" fontId="90" fillId="11" borderId="1" xfId="0" applyFont="1" applyFill="1" applyBorder="1" applyAlignment="1">
      <alignment horizontal="center" vertical="center" wrapText="1"/>
    </xf>
    <xf numFmtId="0" fontId="92" fillId="27" borderId="2" xfId="0" applyFont="1" applyFill="1" applyBorder="1" applyAlignment="1">
      <alignment horizontal="center" vertical="center" wrapText="1"/>
    </xf>
    <xf numFmtId="0" fontId="93" fillId="21" borderId="1" xfId="0" applyFont="1" applyFill="1" applyBorder="1" applyAlignment="1">
      <alignment horizontal="left" vertical="center" wrapText="1"/>
    </xf>
    <xf numFmtId="0" fontId="86" fillId="9" borderId="3" xfId="0" applyFont="1" applyFill="1" applyBorder="1" applyAlignment="1">
      <alignment horizontal="center" vertical="center" wrapText="1"/>
    </xf>
    <xf numFmtId="0" fontId="78" fillId="3" borderId="0" xfId="0" applyFont="1" applyFill="1" applyAlignment="1">
      <alignment horizontal="left" vertical="center" wrapText="1"/>
    </xf>
    <xf numFmtId="0" fontId="75" fillId="2" borderId="1" xfId="0" applyFont="1" applyFill="1" applyBorder="1" applyAlignment="1">
      <alignment horizontal="center" vertical="center" wrapText="1"/>
    </xf>
    <xf numFmtId="0" fontId="0" fillId="20" borderId="1" xfId="0" applyFill="1" applyBorder="1"/>
    <xf numFmtId="0" fontId="77" fillId="23" borderId="1" xfId="0" applyFont="1" applyFill="1" applyBorder="1" applyAlignment="1">
      <alignment horizontal="left" vertical="center" wrapText="1"/>
    </xf>
    <xf numFmtId="0" fontId="95" fillId="27" borderId="6" xfId="0" applyFont="1" applyFill="1" applyBorder="1" applyAlignment="1">
      <alignment horizontal="center" vertical="center" wrapText="1"/>
    </xf>
    <xf numFmtId="0" fontId="96" fillId="29" borderId="1" xfId="0" applyFont="1" applyFill="1" applyBorder="1" applyAlignment="1">
      <alignment horizontal="left" vertical="center" wrapText="1"/>
    </xf>
    <xf numFmtId="0" fontId="97" fillId="37" borderId="7" xfId="0" applyFont="1" applyFill="1" applyBorder="1" applyAlignment="1">
      <alignment horizontal="left" vertical="center" wrapText="1"/>
    </xf>
    <xf numFmtId="0" fontId="52" fillId="25" borderId="1" xfId="0" applyFont="1" applyFill="1" applyBorder="1" applyAlignment="1">
      <alignment horizontal="center" vertical="center" wrapText="1"/>
    </xf>
    <xf numFmtId="0" fontId="99" fillId="14" borderId="1" xfId="0" applyFont="1" applyFill="1" applyBorder="1" applyAlignment="1">
      <alignment horizontal="left" vertical="center" wrapText="1"/>
    </xf>
    <xf numFmtId="0" fontId="95" fillId="27" borderId="4" xfId="0" applyFont="1" applyFill="1" applyBorder="1" applyAlignment="1">
      <alignment horizontal="center" vertical="center" wrapText="1"/>
    </xf>
    <xf numFmtId="0" fontId="79" fillId="29" borderId="1" xfId="0" applyFont="1" applyFill="1" applyBorder="1" applyAlignment="1">
      <alignment horizontal="left" vertical="center" wrapText="1"/>
    </xf>
    <xf numFmtId="0" fontId="100" fillId="15" borderId="1" xfId="0" applyFont="1" applyFill="1" applyBorder="1" applyAlignment="1">
      <alignment horizontal="left" vertical="center" wrapText="1"/>
    </xf>
    <xf numFmtId="0" fontId="101" fillId="16" borderId="1" xfId="0" applyFont="1" applyFill="1" applyBorder="1" applyAlignment="1">
      <alignment horizontal="left" vertical="center" wrapText="1"/>
    </xf>
    <xf numFmtId="0" fontId="102" fillId="17" borderId="1" xfId="0" applyFont="1" applyFill="1" applyBorder="1" applyAlignment="1">
      <alignment horizontal="left" vertical="center" wrapText="1"/>
    </xf>
    <xf numFmtId="0" fontId="103" fillId="18" borderId="1" xfId="0" applyFont="1" applyFill="1" applyBorder="1" applyAlignment="1">
      <alignment horizontal="left" vertical="center" wrapText="1"/>
    </xf>
    <xf numFmtId="0" fontId="104" fillId="19" borderId="1" xfId="0" applyFont="1" applyFill="1" applyBorder="1" applyAlignment="1">
      <alignment horizontal="left" vertical="center" wrapText="1"/>
    </xf>
    <xf numFmtId="0" fontId="105" fillId="38" borderId="1" xfId="0" applyFont="1" applyFill="1" applyBorder="1" applyAlignment="1">
      <alignment horizontal="left" vertical="center" wrapText="1"/>
    </xf>
    <xf numFmtId="0" fontId="106" fillId="27" borderId="6" xfId="0" applyFont="1" applyFill="1" applyBorder="1" applyAlignment="1">
      <alignment horizontal="center" vertical="center" wrapText="1"/>
    </xf>
    <xf numFmtId="0" fontId="78" fillId="37" borderId="1" xfId="0" applyFont="1" applyFill="1" applyBorder="1" applyAlignment="1">
      <alignment horizontal="left" vertical="center" wrapText="1"/>
    </xf>
    <xf numFmtId="0" fontId="75" fillId="34" borderId="0" xfId="0" applyFont="1" applyFill="1" applyAlignment="1">
      <alignment horizontal="center" vertical="center" wrapText="1"/>
    </xf>
    <xf numFmtId="0" fontId="107" fillId="21" borderId="1" xfId="0" applyFont="1" applyFill="1" applyBorder="1" applyAlignment="1">
      <alignment horizontal="left" vertical="center" wrapText="1"/>
    </xf>
    <xf numFmtId="0" fontId="108" fillId="39" borderId="0" xfId="0" applyFont="1" applyFill="1" applyAlignment="1">
      <alignment horizontal="left" vertical="center" wrapText="1"/>
    </xf>
    <xf numFmtId="0" fontId="78" fillId="3" borderId="8" xfId="0" applyFont="1" applyFill="1" applyBorder="1" applyAlignment="1">
      <alignment horizontal="center" vertical="center" wrapText="1"/>
    </xf>
    <xf numFmtId="0" fontId="78" fillId="3" borderId="1" xfId="0" applyFont="1" applyFill="1" applyBorder="1" applyAlignment="1">
      <alignment horizontal="center" vertical="center" wrapText="1"/>
    </xf>
    <xf numFmtId="0" fontId="88" fillId="10" borderId="1" xfId="0" applyFont="1" applyFill="1" applyBorder="1" applyAlignment="1">
      <alignment horizontal="left" vertical="center" wrapText="1"/>
    </xf>
    <xf numFmtId="0" fontId="86" fillId="9" borderId="1" xfId="0" applyFont="1" applyFill="1" applyBorder="1" applyAlignment="1">
      <alignment horizontal="left" vertical="center" wrapText="1"/>
    </xf>
    <xf numFmtId="0" fontId="95" fillId="3" borderId="2" xfId="0" applyFont="1" applyFill="1" applyBorder="1" applyAlignment="1">
      <alignment horizontal="center" vertical="center" wrapText="1"/>
    </xf>
    <xf numFmtId="0" fontId="51" fillId="2" borderId="0" xfId="0" applyFont="1" applyFill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112" fillId="36" borderId="0" xfId="0" applyFont="1" applyFill="1" applyAlignment="1">
      <alignment horizontal="left" vertical="center" wrapText="1"/>
    </xf>
    <xf numFmtId="0" fontId="113" fillId="6" borderId="1" xfId="0" applyFont="1" applyFill="1" applyBorder="1" applyAlignment="1">
      <alignment horizontal="center" vertical="center" wrapText="1"/>
    </xf>
    <xf numFmtId="0" fontId="114" fillId="7" borderId="1" xfId="0" applyFont="1" applyFill="1" applyBorder="1" applyAlignment="1">
      <alignment horizontal="center" vertical="center" wrapText="1"/>
    </xf>
    <xf numFmtId="0" fontId="115" fillId="8" borderId="1" xfId="0" applyFont="1" applyFill="1" applyBorder="1" applyAlignment="1">
      <alignment horizontal="center" vertical="center" wrapText="1"/>
    </xf>
    <xf numFmtId="0" fontId="116" fillId="9" borderId="1" xfId="0" applyFont="1" applyFill="1" applyBorder="1" applyAlignment="1">
      <alignment horizontal="center" vertical="center" wrapText="1"/>
    </xf>
    <xf numFmtId="0" fontId="117" fillId="10" borderId="1" xfId="0" applyFont="1" applyFill="1" applyBorder="1" applyAlignment="1">
      <alignment horizontal="center" vertical="center" wrapText="1"/>
    </xf>
    <xf numFmtId="0" fontId="118" fillId="11" borderId="1" xfId="0" applyFont="1" applyFill="1" applyBorder="1" applyAlignment="1">
      <alignment horizontal="center" vertical="center" wrapText="1"/>
    </xf>
    <xf numFmtId="0" fontId="119" fillId="27" borderId="2" xfId="0" applyFont="1" applyFill="1" applyBorder="1" applyAlignment="1">
      <alignment horizontal="center" vertical="center" wrapText="1"/>
    </xf>
    <xf numFmtId="0" fontId="61" fillId="21" borderId="1" xfId="0" applyFont="1" applyFill="1" applyBorder="1" applyAlignment="1">
      <alignment horizontal="left" vertical="center" wrapText="1"/>
    </xf>
    <xf numFmtId="0" fontId="120" fillId="9" borderId="3" xfId="0" applyFont="1" applyFill="1" applyBorder="1" applyAlignment="1">
      <alignment horizontal="center" vertical="center" wrapText="1"/>
    </xf>
    <xf numFmtId="0" fontId="46" fillId="3" borderId="0" xfId="0" applyFont="1" applyFill="1" applyAlignment="1">
      <alignment horizontal="left" vertical="center" wrapText="1"/>
    </xf>
    <xf numFmtId="0" fontId="51" fillId="2" borderId="1" xfId="0" applyFont="1" applyFill="1" applyBorder="1" applyAlignment="1">
      <alignment horizontal="center" vertical="center" wrapText="1"/>
    </xf>
    <xf numFmtId="0" fontId="43" fillId="23" borderId="1" xfId="0" applyFont="1" applyFill="1" applyBorder="1" applyAlignment="1">
      <alignment horizontal="left" vertical="center" wrapText="1"/>
    </xf>
    <xf numFmtId="0" fontId="122" fillId="27" borderId="6" xfId="0" applyFont="1" applyFill="1" applyBorder="1" applyAlignment="1">
      <alignment horizontal="center" vertical="center" wrapText="1"/>
    </xf>
    <xf numFmtId="0" fontId="44" fillId="29" borderId="1" xfId="0" applyFont="1" applyFill="1" applyBorder="1" applyAlignment="1">
      <alignment horizontal="left" vertical="center" wrapText="1"/>
    </xf>
    <xf numFmtId="0" fontId="123" fillId="37" borderId="7" xfId="0" applyFont="1" applyFill="1" applyBorder="1" applyAlignment="1">
      <alignment horizontal="left" vertical="center" wrapText="1"/>
    </xf>
    <xf numFmtId="0" fontId="122" fillId="27" borderId="4" xfId="0" applyFont="1" applyFill="1" applyBorder="1" applyAlignment="1">
      <alignment horizontal="center" vertical="center" wrapText="1"/>
    </xf>
    <xf numFmtId="0" fontId="112" fillId="29" borderId="1" xfId="0" applyFont="1" applyFill="1" applyBorder="1" applyAlignment="1">
      <alignment horizontal="left" vertical="center" wrapText="1"/>
    </xf>
    <xf numFmtId="0" fontId="124" fillId="38" borderId="1" xfId="0" applyFont="1" applyFill="1" applyBorder="1" applyAlignment="1">
      <alignment horizontal="left" vertical="center" wrapText="1"/>
    </xf>
    <xf numFmtId="0" fontId="125" fillId="27" borderId="6" xfId="0" applyFont="1" applyFill="1" applyBorder="1" applyAlignment="1">
      <alignment horizontal="center" vertical="center" wrapText="1"/>
    </xf>
    <xf numFmtId="0" fontId="46" fillId="37" borderId="1" xfId="0" applyFont="1" applyFill="1" applyBorder="1" applyAlignment="1">
      <alignment horizontal="left" vertical="center" wrapText="1"/>
    </xf>
    <xf numFmtId="0" fontId="51" fillId="34" borderId="0" xfId="0" applyFont="1" applyFill="1" applyAlignment="1">
      <alignment horizontal="center" vertical="center" wrapText="1"/>
    </xf>
    <xf numFmtId="0" fontId="126" fillId="39" borderId="0" xfId="0" applyFont="1" applyFill="1" applyAlignment="1">
      <alignment horizontal="left" vertical="center" wrapText="1"/>
    </xf>
    <xf numFmtId="0" fontId="46" fillId="3" borderId="8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0" fontId="130" fillId="10" borderId="1" xfId="0" applyFont="1" applyFill="1" applyBorder="1" applyAlignment="1">
      <alignment horizontal="left" vertical="center" wrapText="1"/>
    </xf>
    <xf numFmtId="0" fontId="54" fillId="9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132" fillId="7" borderId="1" xfId="0" applyFont="1" applyFill="1" applyBorder="1" applyAlignment="1">
      <alignment horizontal="center" vertical="center" wrapText="1"/>
    </xf>
    <xf numFmtId="0" fontId="134" fillId="8" borderId="1" xfId="0" applyFont="1" applyFill="1" applyBorder="1" applyAlignment="1">
      <alignment horizontal="center" vertical="center" wrapText="1"/>
    </xf>
    <xf numFmtId="0" fontId="136" fillId="9" borderId="1" xfId="0" applyFont="1" applyFill="1" applyBorder="1" applyAlignment="1">
      <alignment horizontal="center" vertical="center" wrapText="1"/>
    </xf>
    <xf numFmtId="0" fontId="138" fillId="10" borderId="1" xfId="0" applyFont="1" applyFill="1" applyBorder="1" applyAlignment="1">
      <alignment horizontal="center" vertical="center" wrapText="1"/>
    </xf>
    <xf numFmtId="0" fontId="140" fillId="11" borderId="1" xfId="0" applyFont="1" applyFill="1" applyBorder="1" applyAlignment="1">
      <alignment horizontal="center" vertical="center" wrapText="1"/>
    </xf>
    <xf numFmtId="0" fontId="60" fillId="3" borderId="2" xfId="0" applyFont="1" applyFill="1" applyBorder="1" applyAlignment="1">
      <alignment horizontal="center" vertical="center" wrapText="1"/>
    </xf>
    <xf numFmtId="0" fontId="78" fillId="3" borderId="0" xfId="0" applyFont="1" applyFill="1" applyAlignment="1">
      <alignment horizontal="left" vertical="center" wrapText="1"/>
    </xf>
    <xf numFmtId="0" fontId="77" fillId="20" borderId="0" xfId="0" applyFont="1" applyFill="1" applyAlignment="1">
      <alignment horizontal="left" vertical="center" wrapText="1"/>
    </xf>
    <xf numFmtId="0" fontId="98" fillId="12" borderId="0" xfId="0" applyFont="1" applyFill="1" applyAlignment="1">
      <alignment horizontal="left" vertical="center" wrapText="1"/>
    </xf>
    <xf numFmtId="0" fontId="105" fillId="38" borderId="1" xfId="0" applyFont="1" applyFill="1" applyBorder="1" applyAlignment="1">
      <alignment horizontal="left" vertical="center" wrapText="1"/>
    </xf>
    <xf numFmtId="0" fontId="78" fillId="3" borderId="1" xfId="0" applyFont="1" applyFill="1" applyBorder="1" applyAlignment="1">
      <alignment horizontal="left" vertical="center" wrapText="1"/>
    </xf>
    <xf numFmtId="0" fontId="0" fillId="0" borderId="0" xfId="0"/>
    <xf numFmtId="0" fontId="77" fillId="5" borderId="5" xfId="0" applyFont="1" applyFill="1" applyBorder="1" applyAlignment="1">
      <alignment horizontal="left" vertical="center" wrapText="1"/>
    </xf>
    <xf numFmtId="0" fontId="78" fillId="3" borderId="5" xfId="0" applyFont="1" applyFill="1" applyBorder="1" applyAlignment="1">
      <alignment horizontal="left" vertical="center" wrapText="1"/>
    </xf>
    <xf numFmtId="0" fontId="107" fillId="21" borderId="5" xfId="0" applyFont="1" applyFill="1" applyBorder="1" applyAlignment="1">
      <alignment horizontal="left" vertical="center" wrapText="1"/>
    </xf>
    <xf numFmtId="0" fontId="75" fillId="22" borderId="0" xfId="0" applyFont="1" applyFill="1" applyAlignment="1">
      <alignment horizontal="center" vertical="center" wrapText="1"/>
    </xf>
    <xf numFmtId="0" fontId="109" fillId="5" borderId="0" xfId="0" applyFont="1" applyFill="1" applyAlignment="1">
      <alignment horizontal="center" vertical="center" wrapText="1"/>
    </xf>
    <xf numFmtId="0" fontId="75" fillId="4" borderId="0" xfId="0" applyFont="1" applyFill="1" applyAlignment="1">
      <alignment horizontal="left" vertical="center" wrapText="1"/>
    </xf>
    <xf numFmtId="0" fontId="75" fillId="34" borderId="0" xfId="0" applyFont="1" applyFill="1" applyAlignment="1">
      <alignment horizontal="left" vertical="center" wrapText="1"/>
    </xf>
    <xf numFmtId="0" fontId="108" fillId="21" borderId="0" xfId="0" applyFont="1" applyFill="1" applyAlignment="1">
      <alignment horizontal="left" vertical="center" wrapText="1"/>
    </xf>
    <xf numFmtId="0" fontId="108" fillId="39" borderId="5" xfId="0" applyFont="1" applyFill="1" applyBorder="1" applyAlignment="1">
      <alignment horizontal="left" vertical="center" wrapText="1"/>
    </xf>
    <xf numFmtId="0" fontId="78" fillId="3" borderId="9" xfId="0" applyFont="1" applyFill="1" applyBorder="1" applyAlignment="1">
      <alignment horizontal="left" vertical="center" wrapText="1"/>
    </xf>
    <xf numFmtId="0" fontId="75" fillId="40" borderId="0" xfId="0" applyFont="1" applyFill="1" applyAlignment="1">
      <alignment horizontal="left" vertical="center" wrapText="1"/>
    </xf>
    <xf numFmtId="0" fontId="110" fillId="15" borderId="0" xfId="0" applyFont="1" applyFill="1" applyAlignment="1">
      <alignment horizontal="left" vertical="center" wrapText="1"/>
    </xf>
    <xf numFmtId="0" fontId="75" fillId="41" borderId="0" xfId="0" applyFont="1" applyFill="1" applyAlignment="1">
      <alignment horizontal="left" vertical="center" wrapText="1"/>
    </xf>
    <xf numFmtId="0" fontId="109" fillId="5" borderId="5" xfId="0" applyFont="1" applyFill="1" applyBorder="1" applyAlignment="1">
      <alignment horizontal="left" vertical="center" wrapText="1"/>
    </xf>
    <xf numFmtId="0" fontId="78" fillId="3" borderId="10" xfId="0" applyFont="1" applyFill="1" applyBorder="1" applyAlignment="1">
      <alignment horizontal="left" vertical="center" wrapText="1"/>
    </xf>
    <xf numFmtId="0" fontId="75" fillId="4" borderId="0" xfId="0" applyFont="1" applyFill="1" applyAlignment="1">
      <alignment horizontal="center" vertical="center" wrapText="1"/>
    </xf>
    <xf numFmtId="0" fontId="94" fillId="9" borderId="0" xfId="0" applyFont="1" applyFill="1" applyAlignment="1">
      <alignment horizontal="center" vertical="center" wrapText="1"/>
    </xf>
    <xf numFmtId="0" fontId="75" fillId="42" borderId="0" xfId="0" applyFont="1" applyFill="1" applyAlignment="1">
      <alignment horizontal="left" vertical="center" wrapText="1"/>
    </xf>
    <xf numFmtId="0" fontId="110" fillId="15" borderId="0" xfId="0" applyFont="1" applyFill="1" applyAlignment="1">
      <alignment horizontal="center" vertical="center" wrapText="1"/>
    </xf>
    <xf numFmtId="0" fontId="75" fillId="43" borderId="0" xfId="0" applyFont="1" applyFill="1" applyAlignment="1">
      <alignment horizontal="left" vertical="center" wrapText="1"/>
    </xf>
    <xf numFmtId="0" fontId="108" fillId="39" borderId="0" xfId="0" applyFont="1" applyFill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2" borderId="0" xfId="0" applyFill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left" vertical="center" wrapText="1"/>
    </xf>
    <xf numFmtId="0" fontId="26" fillId="12" borderId="0" xfId="0" applyFont="1" applyFill="1" applyAlignment="1">
      <alignment horizontal="left" vertical="center" wrapText="1"/>
    </xf>
    <xf numFmtId="0" fontId="5" fillId="13" borderId="0" xfId="0" applyFont="1" applyFill="1" applyAlignment="1">
      <alignment horizontal="center" vertical="center" wrapText="1"/>
    </xf>
    <xf numFmtId="0" fontId="28" fillId="14" borderId="0" xfId="0" applyFont="1" applyFill="1" applyAlignment="1">
      <alignment horizontal="left" vertical="center" wrapText="1"/>
    </xf>
    <xf numFmtId="0" fontId="30" fillId="15" borderId="0" xfId="0" applyFont="1" applyFill="1" applyAlignment="1">
      <alignment horizontal="left" vertical="center" wrapText="1"/>
    </xf>
    <xf numFmtId="0" fontId="32" fillId="16" borderId="0" xfId="0" applyFont="1" applyFill="1" applyAlignment="1">
      <alignment horizontal="left" vertical="center" wrapText="1"/>
    </xf>
    <xf numFmtId="0" fontId="34" fillId="17" borderId="0" xfId="0" applyFont="1" applyFill="1" applyAlignment="1">
      <alignment horizontal="left" vertical="center" wrapText="1"/>
    </xf>
    <xf numFmtId="0" fontId="36" fillId="18" borderId="0" xfId="0" applyFont="1" applyFill="1" applyAlignment="1">
      <alignment horizontal="left" vertical="center" wrapText="1"/>
    </xf>
    <xf numFmtId="0" fontId="38" fillId="19" borderId="0" xfId="0" applyFont="1" applyFill="1" applyAlignment="1">
      <alignment horizontal="left" vertical="center" wrapText="1"/>
    </xf>
    <xf numFmtId="0" fontId="42" fillId="21" borderId="0" xfId="0" applyFont="1" applyFill="1" applyAlignment="1">
      <alignment horizontal="left" vertical="center" wrapText="1"/>
    </xf>
    <xf numFmtId="0" fontId="5" fillId="22" borderId="0" xfId="0" applyFont="1" applyFill="1" applyAlignment="1">
      <alignment horizontal="center" vertical="center" wrapText="1"/>
    </xf>
    <xf numFmtId="0" fontId="44" fillId="23" borderId="0" xfId="0" applyFont="1" applyFill="1" applyAlignment="1">
      <alignment horizontal="left" vertical="center" wrapText="1"/>
    </xf>
    <xf numFmtId="0" fontId="45" fillId="24" borderId="0" xfId="0" applyFont="1" applyFill="1" applyAlignment="1">
      <alignment horizontal="center" vertical="center" wrapText="1"/>
    </xf>
    <xf numFmtId="0" fontId="47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49" fillId="26" borderId="0" xfId="0" applyFont="1" applyFill="1" applyAlignment="1">
      <alignment horizontal="center" vertical="center" wrapText="1"/>
    </xf>
    <xf numFmtId="0" fontId="50" fillId="12" borderId="0" xfId="0" applyFont="1" applyFill="1" applyAlignment="1">
      <alignment horizontal="left" vertical="center" wrapText="1"/>
    </xf>
    <xf numFmtId="0" fontId="51" fillId="4" borderId="0" xfId="0" applyFont="1" applyFill="1" applyAlignment="1">
      <alignment horizontal="left" vertical="center" wrapText="1"/>
    </xf>
    <xf numFmtId="0" fontId="57" fillId="5" borderId="0" xfId="0" applyFont="1" applyFill="1" applyAlignment="1">
      <alignment horizontal="left" vertical="center" wrapText="1"/>
    </xf>
    <xf numFmtId="0" fontId="43" fillId="20" borderId="0" xfId="0" applyFont="1" applyFill="1" applyAlignment="1">
      <alignment horizontal="left" vertical="center" wrapText="1"/>
    </xf>
    <xf numFmtId="0" fontId="51" fillId="13" borderId="0" xfId="0" applyFont="1" applyFill="1" applyAlignment="1">
      <alignment horizontal="left" vertical="center" wrapText="1"/>
    </xf>
    <xf numFmtId="0" fontId="64" fillId="14" borderId="0" xfId="0" applyFont="1" applyFill="1" applyAlignment="1">
      <alignment horizontal="left" vertical="center" wrapText="1"/>
    </xf>
    <xf numFmtId="0" fontId="51" fillId="31" borderId="0" xfId="0" applyFont="1" applyFill="1" applyAlignment="1">
      <alignment horizontal="left" vertical="center"/>
    </xf>
    <xf numFmtId="0" fontId="72" fillId="32" borderId="0" xfId="0" applyFont="1" applyFill="1" applyAlignment="1">
      <alignment horizontal="left" vertical="center"/>
    </xf>
    <xf numFmtId="0" fontId="52" fillId="25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62" fillId="3" borderId="0" xfId="0" applyFont="1" applyFill="1" applyAlignment="1">
      <alignment horizontal="center" vertical="center"/>
    </xf>
    <xf numFmtId="0" fontId="51" fillId="28" borderId="0" xfId="0" applyFont="1" applyFill="1" applyAlignment="1">
      <alignment horizontal="left" vertical="center"/>
    </xf>
    <xf numFmtId="0" fontId="51" fillId="33" borderId="0" xfId="0" applyFont="1" applyFill="1" applyAlignment="1">
      <alignment horizontal="left" vertical="center" wrapText="1"/>
    </xf>
    <xf numFmtId="0" fontId="51" fillId="34" borderId="0" xfId="0" applyFont="1" applyFill="1" applyAlignment="1">
      <alignment horizontal="left" vertical="center" wrapText="1"/>
    </xf>
    <xf numFmtId="0" fontId="73" fillId="21" borderId="0" xfId="0" applyFont="1" applyFill="1" applyAlignment="1">
      <alignment horizontal="left" vertical="center" wrapText="1"/>
    </xf>
    <xf numFmtId="0" fontId="0" fillId="3" borderId="5" xfId="0" applyFill="1" applyBorder="1" applyAlignment="1">
      <alignment horizontal="left" vertical="center" wrapText="1"/>
    </xf>
    <xf numFmtId="0" fontId="51" fillId="22" borderId="0" xfId="0" applyFont="1" applyFill="1" applyAlignment="1">
      <alignment horizontal="left" vertical="center" wrapText="1"/>
    </xf>
    <xf numFmtId="0" fontId="10" fillId="6" borderId="5" xfId="0" applyFont="1" applyFill="1" applyBorder="1" applyAlignment="1">
      <alignment horizontal="left" vertical="center" wrapText="1"/>
    </xf>
    <xf numFmtId="0" fontId="13" fillId="7" borderId="5" xfId="0" applyFont="1" applyFill="1" applyBorder="1" applyAlignment="1">
      <alignment horizontal="left" vertical="center" wrapText="1"/>
    </xf>
    <xf numFmtId="0" fontId="16" fillId="8" borderId="5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0" fontId="22" fillId="10" borderId="5" xfId="0" applyFont="1" applyFill="1" applyBorder="1" applyAlignment="1">
      <alignment horizontal="left" vertical="center" wrapText="1"/>
    </xf>
    <xf numFmtId="0" fontId="25" fillId="11" borderId="5" xfId="0" applyFont="1" applyFill="1" applyBorder="1" applyAlignment="1">
      <alignment horizontal="left" vertical="center" wrapText="1"/>
    </xf>
    <xf numFmtId="0" fontId="51" fillId="2" borderId="0" xfId="0" applyFont="1" applyFill="1" applyAlignment="1">
      <alignment horizontal="center" vertical="center" wrapText="1"/>
    </xf>
    <xf numFmtId="0" fontId="7" fillId="26" borderId="0" xfId="0" applyFont="1" applyFill="1" applyAlignment="1">
      <alignment horizontal="center" vertical="center" wrapText="1"/>
    </xf>
    <xf numFmtId="0" fontId="111" fillId="22" borderId="0" xfId="0" applyFont="1" applyFill="1" applyAlignment="1">
      <alignment horizontal="left" vertical="center" wrapText="1"/>
    </xf>
    <xf numFmtId="0" fontId="39" fillId="35" borderId="0" xfId="0" applyFont="1" applyFill="1" applyAlignment="1">
      <alignment horizontal="center" vertical="center" wrapText="1"/>
    </xf>
    <xf numFmtId="0" fontId="112" fillId="36" borderId="0" xfId="0" applyFont="1" applyFill="1" applyAlignment="1">
      <alignment horizontal="left" vertical="center" wrapText="1"/>
    </xf>
    <xf numFmtId="0" fontId="51" fillId="2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vertical="center" wrapText="1"/>
    </xf>
    <xf numFmtId="0" fontId="13" fillId="7" borderId="0" xfId="0" applyFont="1" applyFill="1" applyAlignment="1">
      <alignment horizontal="left" vertical="center" wrapText="1"/>
    </xf>
    <xf numFmtId="0" fontId="16" fillId="8" borderId="0" xfId="0" applyFont="1" applyFill="1" applyAlignment="1">
      <alignment horizontal="left" vertical="center" wrapText="1"/>
    </xf>
    <xf numFmtId="0" fontId="19" fillId="9" borderId="0" xfId="0" applyFont="1" applyFill="1" applyAlignment="1">
      <alignment horizontal="left" vertical="center" wrapText="1"/>
    </xf>
    <xf numFmtId="0" fontId="22" fillId="10" borderId="0" xfId="0" applyFont="1" applyFill="1" applyAlignment="1">
      <alignment horizontal="left" vertical="center" wrapText="1"/>
    </xf>
    <xf numFmtId="0" fontId="25" fillId="11" borderId="0" xfId="0" applyFont="1" applyFill="1" applyAlignment="1">
      <alignment horizontal="left" vertical="center" wrapText="1"/>
    </xf>
    <xf numFmtId="0" fontId="112" fillId="27" borderId="0" xfId="0" applyFont="1" applyFill="1" applyAlignment="1">
      <alignment horizontal="left" vertical="center" wrapText="1"/>
    </xf>
    <xf numFmtId="0" fontId="121" fillId="9" borderId="0" xfId="0" applyFont="1" applyFill="1" applyAlignment="1">
      <alignment horizontal="left" vertical="center" wrapText="1"/>
    </xf>
    <xf numFmtId="0" fontId="46" fillId="3" borderId="0" xfId="0" applyFont="1" applyFill="1" applyAlignment="1">
      <alignment horizontal="left" vertical="center" wrapText="1"/>
    </xf>
    <xf numFmtId="0" fontId="124" fillId="38" borderId="1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3" fillId="5" borderId="5" xfId="0" applyFont="1" applyFill="1" applyBorder="1" applyAlignment="1">
      <alignment horizontal="left" vertical="center" wrapText="1"/>
    </xf>
    <xf numFmtId="0" fontId="46" fillId="3" borderId="5" xfId="0" applyFont="1" applyFill="1" applyBorder="1" applyAlignment="1">
      <alignment horizontal="left" vertical="center" wrapText="1"/>
    </xf>
    <xf numFmtId="0" fontId="74" fillId="21" borderId="5" xfId="0" applyFont="1" applyFill="1" applyBorder="1" applyAlignment="1">
      <alignment horizontal="left" vertical="center" wrapText="1"/>
    </xf>
    <xf numFmtId="0" fontId="127" fillId="22" borderId="0" xfId="0" applyFont="1" applyFill="1" applyAlignment="1">
      <alignment horizontal="center" vertical="center" wrapText="1"/>
    </xf>
    <xf numFmtId="0" fontId="128" fillId="5" borderId="0" xfId="0" applyFont="1" applyFill="1" applyAlignment="1">
      <alignment horizontal="center" vertical="center" wrapText="1"/>
    </xf>
    <xf numFmtId="0" fontId="45" fillId="4" borderId="0" xfId="0" applyFont="1" applyFill="1" applyAlignment="1">
      <alignment horizontal="left" vertical="center" wrapText="1"/>
    </xf>
    <xf numFmtId="0" fontId="45" fillId="34" borderId="0" xfId="0" applyFont="1" applyFill="1" applyAlignment="1">
      <alignment horizontal="left" vertical="center" wrapText="1"/>
    </xf>
    <xf numFmtId="0" fontId="126" fillId="21" borderId="0" xfId="0" applyFont="1" applyFill="1" applyAlignment="1">
      <alignment horizontal="left" vertical="center" wrapText="1"/>
    </xf>
    <xf numFmtId="0" fontId="126" fillId="39" borderId="5" xfId="0" applyFont="1" applyFill="1" applyBorder="1" applyAlignment="1">
      <alignment horizontal="left" vertical="center" wrapText="1"/>
    </xf>
    <xf numFmtId="0" fontId="46" fillId="3" borderId="9" xfId="0" applyFont="1" applyFill="1" applyBorder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29" fillId="15" borderId="0" xfId="0" applyFont="1" applyFill="1" applyAlignment="1">
      <alignment horizontal="left" vertical="center" wrapText="1"/>
    </xf>
    <xf numFmtId="0" fontId="45" fillId="41" borderId="0" xfId="0" applyFont="1" applyFill="1" applyAlignment="1">
      <alignment horizontal="left" vertical="center" wrapText="1"/>
    </xf>
    <xf numFmtId="0" fontId="45" fillId="2" borderId="0" xfId="0" applyFont="1" applyFill="1" applyAlignment="1">
      <alignment horizontal="left" vertical="center" wrapText="1"/>
    </xf>
    <xf numFmtId="0" fontId="57" fillId="5" borderId="0" xfId="0" applyFont="1" applyFill="1" applyAlignment="1">
      <alignment horizontal="center" vertical="center" wrapText="1"/>
    </xf>
    <xf numFmtId="0" fontId="57" fillId="5" borderId="5" xfId="0" applyFont="1" applyFill="1" applyBorder="1" applyAlignment="1">
      <alignment horizontal="left" vertical="center" wrapText="1"/>
    </xf>
    <xf numFmtId="0" fontId="46" fillId="3" borderId="10" xfId="0" applyFont="1" applyFill="1" applyBorder="1" applyAlignment="1">
      <alignment horizontal="left" vertical="center" wrapText="1"/>
    </xf>
    <xf numFmtId="0" fontId="127" fillId="4" borderId="0" xfId="0" applyFont="1" applyFill="1" applyAlignment="1">
      <alignment horizontal="center" vertical="center" wrapText="1"/>
    </xf>
    <xf numFmtId="0" fontId="131" fillId="9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133" fillId="7" borderId="0" xfId="0" applyFont="1" applyFill="1" applyAlignment="1">
      <alignment horizontal="left" vertical="center" wrapText="1"/>
    </xf>
    <xf numFmtId="0" fontId="135" fillId="8" borderId="0" xfId="0" applyFont="1" applyFill="1" applyAlignment="1">
      <alignment horizontal="left" vertical="center" wrapText="1"/>
    </xf>
    <xf numFmtId="0" fontId="137" fillId="9" borderId="0" xfId="0" applyFont="1" applyFill="1" applyAlignment="1">
      <alignment horizontal="left" vertical="center" wrapText="1"/>
    </xf>
    <xf numFmtId="0" fontId="139" fillId="10" borderId="0" xfId="0" applyFont="1" applyFill="1" applyAlignment="1">
      <alignment horizontal="left" vertical="center" wrapText="1"/>
    </xf>
    <xf numFmtId="0" fontId="141" fillId="11" borderId="0" xfId="0" applyFont="1" applyFill="1" applyAlignment="1">
      <alignment horizontal="left" vertical="center" wrapText="1"/>
    </xf>
    <xf numFmtId="0" fontId="45" fillId="42" borderId="0" xfId="0" applyFont="1" applyFill="1" applyAlignment="1">
      <alignment horizontal="left" vertical="center" wrapText="1"/>
    </xf>
    <xf numFmtId="0" fontId="129" fillId="15" borderId="0" xfId="0" applyFont="1" applyFill="1" applyAlignment="1">
      <alignment horizontal="center" vertical="center" wrapText="1"/>
    </xf>
    <xf numFmtId="0" fontId="45" fillId="43" borderId="0" xfId="0" applyFont="1" applyFill="1" applyAlignment="1">
      <alignment horizontal="left" vertical="center" wrapText="1"/>
    </xf>
    <xf numFmtId="0" fontId="126" fillId="39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FFFAE5"/>
      <rgbColor rgb="FFFAFAFA"/>
      <rgbColor rgb="FFFFF2CC"/>
      <rgbColor rgb="FFFFF7ED"/>
      <rgbColor rgb="FFF0FFF4"/>
      <rgbColor rgb="FF7B0000"/>
      <rgbColor rgb="FF1F5B29"/>
      <rgbColor rgb="FF0C447C"/>
      <rgbColor rgb="FF713F12"/>
      <rgbColor rgb="FF6021B2"/>
      <rgbColor rgb="FF036254"/>
      <rgbColor rgb="FFD3D1C7"/>
      <rgbColor rgb="FF888F7C"/>
      <rgbColor rgb="FFE2EFDA"/>
      <rgbColor rgb="FF7B2D8B"/>
      <rgbColor rgb="FFFEF9C3"/>
      <rgbColor rgb="FFDCFCE7"/>
      <rgbColor rgb="FF3D4750"/>
      <rgbColor rgb="FFFD7135"/>
      <rgbColor rgb="FF1D4ED8"/>
      <rgbColor rgb="FFBDD7EE"/>
      <rgbColor rgb="FFFFFEF5"/>
      <rgbColor rgb="FFFFF8F0"/>
      <rgbColor rgb="FFFAEEDA"/>
      <rgbColor rgb="FFF3F4F6"/>
      <rgbColor rgb="FFC3490E"/>
      <rgbColor rgb="FF991B1B"/>
      <rgbColor rgb="FF307EB6"/>
      <rgbColor rgb="FFFFFDE7"/>
      <rgbColor rgb="FFF8FAFF"/>
      <rgbColor rgb="FFE1F5EE"/>
      <rgbColor rgb="FFD1FAE5"/>
      <rgbColor rgb="FFFEF3C7"/>
      <rgbColor rgb="FFDBEAFE"/>
      <rgbColor rgb="FFFCE7F3"/>
      <rgbColor rgb="FFEDE9FE"/>
      <rgbColor rgb="FFFEE2E2"/>
      <rgbColor rgb="FF2E72B3"/>
      <rgbColor rgb="FFEBF3FB"/>
      <rgbColor rgb="FFE8F0FE"/>
      <rgbColor rgb="FFFAECE7"/>
      <rgbColor rgb="FFF59E0C"/>
      <rgbColor rgb="FFFF6B35"/>
      <rgbColor rgb="FF6A6978"/>
      <rgbColor rgb="FFF3E8FF"/>
      <rgbColor rgb="FF1B3A5C"/>
      <rgbColor rgb="FF1F4E78"/>
      <rgbColor rgb="FF085041"/>
      <rgbColor rgb="FF633806"/>
      <rgbColor rgb="FF8C4A05"/>
      <rgbColor rgb="FF9D174D"/>
      <rgbColor rgb="FF26215C"/>
      <rgbColor rgb="FF3638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CO" sz="1800" b="1" u="none" strike="noStrike">
                <a:solidFill>
                  <a:srgbClr val="000000"/>
                </a:solidFill>
                <a:uFillTx/>
                <a:latin typeface="Calibri"/>
              </a:rPr>
              <a:t>Nivel de Madurez por Mesa — Actual vs Objetivo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E75B6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Dashboard!$M$12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F-40BE-B843-105EA710A097}"/>
            </c:ext>
          </c:extLst>
        </c:ser>
        <c:ser>
          <c:idx val="1"/>
          <c:order val="1"/>
          <c:spPr>
            <a:solidFill>
              <a:srgbClr val="70AD47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Dashboard!$N$12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7F-40BE-B843-105EA710A097}"/>
            </c:ext>
          </c:extLst>
        </c:ser>
        <c:ser>
          <c:idx val="2"/>
          <c:order val="2"/>
          <c:spPr>
            <a:solidFill>
              <a:srgbClr val="809B49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Dashboard!$O$12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7F-40BE-B843-105EA710A097}"/>
            </c:ext>
          </c:extLst>
        </c:ser>
        <c:ser>
          <c:idx val="3"/>
          <c:order val="3"/>
          <c:spPr>
            <a:solidFill>
              <a:srgbClr val="6A5286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Dashboard!$P$12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7F-40BE-B843-105EA710A097}"/>
            </c:ext>
          </c:extLst>
        </c:ser>
        <c:ser>
          <c:idx val="4"/>
          <c:order val="4"/>
          <c:spPr>
            <a:solidFill>
              <a:srgbClr val="3E8EA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Dashboard!$Q$12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7F-40BE-B843-105EA710A097}"/>
            </c:ext>
          </c:extLst>
        </c:ser>
        <c:ser>
          <c:idx val="5"/>
          <c:order val="5"/>
          <c:spPr>
            <a:solidFill>
              <a:srgbClr val="CC7C3A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Dashboard!$R$12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77F-40BE-B843-105EA710A097}"/>
            </c:ext>
          </c:extLst>
        </c:ser>
        <c:ser>
          <c:idx val="6"/>
          <c:order val="6"/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Dashboard!$S$12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77F-40BE-B843-105EA710A097}"/>
            </c:ext>
          </c:extLst>
        </c:ser>
        <c:ser>
          <c:idx val="7"/>
          <c:order val="7"/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Dashboard!$T$12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77F-40BE-B843-105EA710A097}"/>
            </c:ext>
          </c:extLst>
        </c:ser>
        <c:ser>
          <c:idx val="8"/>
          <c:order val="8"/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Dashboard!$M$13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77F-40BE-B843-105EA710A097}"/>
            </c:ext>
          </c:extLst>
        </c:ser>
        <c:ser>
          <c:idx val="9"/>
          <c:order val="9"/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Dashboard!$N$13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77F-40BE-B843-105EA710A097}"/>
            </c:ext>
          </c:extLst>
        </c:ser>
        <c:ser>
          <c:idx val="10"/>
          <c:order val="10"/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Dashboard!$O$13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77F-40BE-B843-105EA710A097}"/>
            </c:ext>
          </c:extLst>
        </c:ser>
        <c:ser>
          <c:idx val="11"/>
          <c:order val="11"/>
          <c:spPr>
            <a:solidFill>
              <a:srgbClr val="F79646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Dashboard!$P$13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77F-40BE-B843-105EA710A097}"/>
            </c:ext>
          </c:extLst>
        </c:ser>
        <c:ser>
          <c:idx val="12"/>
          <c:order val="12"/>
          <c:spPr>
            <a:solidFill>
              <a:srgbClr val="AABAD7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Dashboard!$Q$13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77F-40BE-B843-105EA710A097}"/>
            </c:ext>
          </c:extLst>
        </c:ser>
        <c:ser>
          <c:idx val="13"/>
          <c:order val="13"/>
          <c:spPr>
            <a:solidFill>
              <a:srgbClr val="D8AAA9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Dashboard!$R$13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77F-40BE-B843-105EA710A097}"/>
            </c:ext>
          </c:extLst>
        </c:ser>
        <c:ser>
          <c:idx val="14"/>
          <c:order val="14"/>
          <c:spPr>
            <a:solidFill>
              <a:srgbClr val="C5D6AC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Dashboard!$S$13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77F-40BE-B843-105EA710A097}"/>
            </c:ext>
          </c:extLst>
        </c:ser>
        <c:ser>
          <c:idx val="15"/>
          <c:order val="15"/>
          <c:spPr>
            <a:solidFill>
              <a:srgbClr val="B9AFC9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Dashboard!$T$13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77F-40BE-B843-105EA710A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486783"/>
        <c:axId val="47337977"/>
      </c:barChart>
      <c:catAx>
        <c:axId val="164867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47337977"/>
        <c:crosses val="autoZero"/>
        <c:auto val="1"/>
        <c:lblAlgn val="ctr"/>
        <c:lblOffset val="100"/>
        <c:noMultiLvlLbl val="0"/>
      </c:catAx>
      <c:valAx>
        <c:axId val="473379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s-CO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Nivel (1=N0 · 2=N1 · 3=N2 · 4=N3 · 5=N4 · 6=N5)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164867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CO" sz="1800" b="1" u="none" strike="noStrike">
                <a:solidFill>
                  <a:srgbClr val="000000"/>
                </a:solidFill>
                <a:uFillTx/>
                <a:latin typeface="Calibri"/>
              </a:rPr>
              <a:t>% Prácticas ITIL v5 Cumplidas (Sí) por Mesa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Dashboard!$M$64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7-45FE-8F76-513A4B7814E5}"/>
            </c:ext>
          </c:extLst>
        </c:ser>
        <c:ser>
          <c:idx val="1"/>
          <c:order val="1"/>
          <c:spPr>
            <a:solidFill>
              <a:srgbClr val="AB474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Dashboard!$N$64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77-45FE-8F76-513A4B7814E5}"/>
            </c:ext>
          </c:extLst>
        </c:ser>
        <c:ser>
          <c:idx val="2"/>
          <c:order val="2"/>
          <c:spPr>
            <a:solidFill>
              <a:srgbClr val="8AA64F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Dashboard!$O$64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77-45FE-8F76-513A4B7814E5}"/>
            </c:ext>
          </c:extLst>
        </c:ser>
        <c:ser>
          <c:idx val="3"/>
          <c:order val="3"/>
          <c:spPr>
            <a:solidFill>
              <a:srgbClr val="72599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Dashboard!$P$64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77-45FE-8F76-513A4B7814E5}"/>
            </c:ext>
          </c:extLst>
        </c:ser>
        <c:ser>
          <c:idx val="4"/>
          <c:order val="4"/>
          <c:spPr>
            <a:solidFill>
              <a:srgbClr val="4299B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Dashboard!$Q$64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77-45FE-8F76-513A4B7814E5}"/>
            </c:ext>
          </c:extLst>
        </c:ser>
        <c:ser>
          <c:idx val="5"/>
          <c:order val="5"/>
          <c:spPr>
            <a:solidFill>
              <a:srgbClr val="DC853E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Dashboard!$R$64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77-45FE-8F76-513A4B7814E5}"/>
            </c:ext>
          </c:extLst>
        </c:ser>
        <c:ser>
          <c:idx val="6"/>
          <c:order val="6"/>
          <c:spPr>
            <a:solidFill>
              <a:srgbClr val="93A9CE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Dashboard!$S$64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77-45FE-8F76-513A4B7814E5}"/>
            </c:ext>
          </c:extLst>
        </c:ser>
        <c:ser>
          <c:idx val="7"/>
          <c:order val="7"/>
          <c:spPr>
            <a:solidFill>
              <a:srgbClr val="D09493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Dashboard!$T$64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77-45FE-8F76-513A4B781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747945"/>
        <c:axId val="64903458"/>
      </c:barChart>
      <c:catAx>
        <c:axId val="4974794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64903458"/>
        <c:crosses val="autoZero"/>
        <c:auto val="1"/>
        <c:lblAlgn val="ctr"/>
        <c:lblOffset val="100"/>
        <c:noMultiLvlLbl val="0"/>
      </c:catAx>
      <c:valAx>
        <c:axId val="649034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497479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CO" sz="1800" b="1" u="none" strike="noStrike">
                <a:solidFill>
                  <a:srgbClr val="000000"/>
                </a:solidFill>
                <a:uFillTx/>
                <a:latin typeface="Calibri"/>
              </a:rPr>
              <a:t>Dolores más Frecuentes — # mesas con intensidad Alta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C000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Dashboard!$M$100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8D-41FC-8A5A-F4C4A55B89E0}"/>
            </c:ext>
          </c:extLst>
        </c:ser>
        <c:ser>
          <c:idx val="1"/>
          <c:order val="1"/>
          <c:spPr>
            <a:solidFill>
              <a:srgbClr val="AB474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Dashboard!$N$100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8D-41FC-8A5A-F4C4A55B89E0}"/>
            </c:ext>
          </c:extLst>
        </c:ser>
        <c:ser>
          <c:idx val="2"/>
          <c:order val="2"/>
          <c:spPr>
            <a:solidFill>
              <a:srgbClr val="8AA64F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Dashboard!$O$100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8D-41FC-8A5A-F4C4A55B89E0}"/>
            </c:ext>
          </c:extLst>
        </c:ser>
        <c:ser>
          <c:idx val="3"/>
          <c:order val="3"/>
          <c:spPr>
            <a:solidFill>
              <a:srgbClr val="72599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Dashboard!$P$100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8D-41FC-8A5A-F4C4A55B89E0}"/>
            </c:ext>
          </c:extLst>
        </c:ser>
        <c:ser>
          <c:idx val="4"/>
          <c:order val="4"/>
          <c:spPr>
            <a:solidFill>
              <a:srgbClr val="4299B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Dashboard!$Q$100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8D-41FC-8A5A-F4C4A55B89E0}"/>
            </c:ext>
          </c:extLst>
        </c:ser>
        <c:ser>
          <c:idx val="5"/>
          <c:order val="5"/>
          <c:spPr>
            <a:solidFill>
              <a:srgbClr val="DC853E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Dashboard!$R$100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8D-41FC-8A5A-F4C4A55B89E0}"/>
            </c:ext>
          </c:extLst>
        </c:ser>
        <c:ser>
          <c:idx val="6"/>
          <c:order val="6"/>
          <c:spPr>
            <a:solidFill>
              <a:srgbClr val="93A9CE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Dashboard!$S$100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8D-41FC-8A5A-F4C4A55B8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10831"/>
        <c:axId val="48203132"/>
      </c:barChart>
      <c:catAx>
        <c:axId val="6710831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48203132"/>
        <c:crosses val="autoZero"/>
        <c:auto val="1"/>
        <c:lblAlgn val="ctr"/>
        <c:lblOffset val="100"/>
        <c:noMultiLvlLbl val="0"/>
      </c:catAx>
      <c:valAx>
        <c:axId val="4820313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s-CO"/>
          </a:p>
        </c:txPr>
        <c:crossAx val="67108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7</xdr:col>
      <xdr:colOff>306360</xdr:colOff>
      <xdr:row>33</xdr:row>
      <xdr:rowOff>118440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63</xdr:row>
      <xdr:rowOff>0</xdr:rowOff>
    </xdr:from>
    <xdr:to>
      <xdr:col>7</xdr:col>
      <xdr:colOff>306360</xdr:colOff>
      <xdr:row>85</xdr:row>
      <xdr:rowOff>118440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99</xdr:row>
      <xdr:rowOff>0</xdr:rowOff>
    </xdr:from>
    <xdr:to>
      <xdr:col>7</xdr:col>
      <xdr:colOff>306360</xdr:colOff>
      <xdr:row>121</xdr:row>
      <xdr:rowOff>124560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E59"/>
  <sheetViews>
    <sheetView view="pageBreakPreview" topLeftCell="A19" zoomScaleNormal="100" workbookViewId="0">
      <selection activeCell="C51" sqref="C51"/>
    </sheetView>
  </sheetViews>
  <sheetFormatPr baseColWidth="10" defaultColWidth="8.6328125" defaultRowHeight="14.5" x14ac:dyDescent="0.35"/>
  <cols>
    <col min="1" max="1" width="5.26953125" customWidth="1"/>
    <col min="2" max="2" width="32.08984375" customWidth="1"/>
    <col min="3" max="3" width="14" customWidth="1"/>
    <col min="4" max="4" width="41.26953125" customWidth="1"/>
    <col min="5" max="6" width="16.453125" customWidth="1"/>
  </cols>
  <sheetData>
    <row r="1" spans="1:5" ht="9.75" customHeight="1" x14ac:dyDescent="0.35">
      <c r="A1" s="203"/>
      <c r="B1" s="203"/>
      <c r="C1" s="203"/>
      <c r="D1" s="203"/>
      <c r="E1" s="203"/>
    </row>
    <row r="2" spans="1:5" ht="9.75" customHeight="1" x14ac:dyDescent="0.35">
      <c r="A2" s="203"/>
      <c r="B2" s="203"/>
      <c r="C2" s="203"/>
      <c r="D2" s="203"/>
      <c r="E2" s="203"/>
    </row>
    <row r="3" spans="1:5" ht="9.75" customHeight="1" x14ac:dyDescent="0.35">
      <c r="A3" s="203"/>
      <c r="B3" s="203"/>
      <c r="C3" s="203"/>
      <c r="D3" s="203"/>
      <c r="E3" s="203"/>
    </row>
    <row r="4" spans="1:5" ht="9.75" customHeight="1" x14ac:dyDescent="0.35">
      <c r="A4" s="203"/>
      <c r="B4" s="203"/>
      <c r="C4" s="203"/>
      <c r="D4" s="203"/>
      <c r="E4" s="203"/>
    </row>
    <row r="5" spans="1:5" ht="9.75" customHeight="1" x14ac:dyDescent="0.35">
      <c r="A5" s="204"/>
      <c r="B5" s="204"/>
      <c r="C5" s="204"/>
      <c r="D5" s="204"/>
      <c r="E5" s="204"/>
    </row>
    <row r="6" spans="1:5" ht="39.75" customHeight="1" x14ac:dyDescent="0.35">
      <c r="B6" s="205" t="s">
        <v>0</v>
      </c>
      <c r="C6" s="205"/>
      <c r="D6" s="205"/>
    </row>
    <row r="7" spans="1:5" ht="27.75" customHeight="1" x14ac:dyDescent="0.35">
      <c r="B7" s="206" t="s">
        <v>1</v>
      </c>
      <c r="C7" s="206"/>
      <c r="D7" s="206"/>
    </row>
    <row r="8" spans="1:5" ht="24" customHeight="1" x14ac:dyDescent="0.35">
      <c r="B8" s="207" t="s">
        <v>2</v>
      </c>
      <c r="C8" s="207"/>
      <c r="D8" s="207"/>
    </row>
    <row r="9" spans="1:5" ht="15.75" customHeight="1" x14ac:dyDescent="0.35">
      <c r="B9" s="204"/>
      <c r="C9" s="204"/>
      <c r="D9" s="204"/>
    </row>
    <row r="10" spans="1:5" ht="12" customHeight="1" x14ac:dyDescent="0.35">
      <c r="B10" s="208"/>
      <c r="C10" s="208"/>
      <c r="D10" s="208"/>
    </row>
    <row r="11" spans="1:5" ht="30" customHeight="1" x14ac:dyDescent="0.35">
      <c r="B11" s="209" t="s">
        <v>3</v>
      </c>
      <c r="C11" s="209"/>
      <c r="D11" s="209"/>
    </row>
    <row r="12" spans="1:5" ht="120" customHeight="1" x14ac:dyDescent="0.35">
      <c r="B12" s="210" t="s">
        <v>4</v>
      </c>
      <c r="C12" s="210"/>
      <c r="D12" s="210"/>
    </row>
    <row r="13" spans="1:5" ht="12" customHeight="1" x14ac:dyDescent="0.35">
      <c r="B13" s="208"/>
      <c r="C13" s="208"/>
      <c r="D13" s="208"/>
    </row>
    <row r="14" spans="1:5" ht="30" customHeight="1" x14ac:dyDescent="0.35">
      <c r="B14" s="209" t="s">
        <v>5</v>
      </c>
      <c r="C14" s="209"/>
      <c r="D14" s="209"/>
    </row>
    <row r="15" spans="1:5" ht="21.75" customHeight="1" x14ac:dyDescent="0.35">
      <c r="B15" s="15" t="s">
        <v>6</v>
      </c>
      <c r="C15" s="15" t="s">
        <v>7</v>
      </c>
      <c r="D15" s="15" t="s">
        <v>8</v>
      </c>
    </row>
    <row r="16" spans="1:5" ht="25.5" customHeight="1" x14ac:dyDescent="0.35">
      <c r="B16" s="16" t="s">
        <v>9</v>
      </c>
      <c r="C16" s="17" t="s">
        <v>10</v>
      </c>
      <c r="D16" s="18" t="s">
        <v>11</v>
      </c>
    </row>
    <row r="17" spans="2:4" ht="25.5" customHeight="1" x14ac:dyDescent="0.35">
      <c r="B17" s="19" t="s">
        <v>12</v>
      </c>
      <c r="C17" s="20" t="s">
        <v>13</v>
      </c>
      <c r="D17" s="21" t="s">
        <v>14</v>
      </c>
    </row>
    <row r="18" spans="2:4" ht="25.5" customHeight="1" x14ac:dyDescent="0.35">
      <c r="B18" s="22" t="s">
        <v>15</v>
      </c>
      <c r="C18" s="23" t="s">
        <v>16</v>
      </c>
      <c r="D18" s="24" t="s">
        <v>17</v>
      </c>
    </row>
    <row r="19" spans="2:4" ht="25.5" customHeight="1" x14ac:dyDescent="0.35">
      <c r="B19" s="25" t="s">
        <v>18</v>
      </c>
      <c r="C19" s="26" t="s">
        <v>19</v>
      </c>
      <c r="D19" s="27" t="s">
        <v>20</v>
      </c>
    </row>
    <row r="20" spans="2:4" ht="25.5" customHeight="1" x14ac:dyDescent="0.35">
      <c r="B20" s="28" t="s">
        <v>21</v>
      </c>
      <c r="C20" s="29" t="s">
        <v>22</v>
      </c>
      <c r="D20" s="30" t="s">
        <v>23</v>
      </c>
    </row>
    <row r="21" spans="2:4" ht="25.5" customHeight="1" x14ac:dyDescent="0.35">
      <c r="B21" s="31" t="s">
        <v>24</v>
      </c>
      <c r="C21" s="32" t="s">
        <v>25</v>
      </c>
      <c r="D21" s="33" t="s">
        <v>26</v>
      </c>
    </row>
    <row r="22" spans="2:4" ht="21.75" customHeight="1" x14ac:dyDescent="0.35">
      <c r="B22" s="211" t="s">
        <v>27</v>
      </c>
      <c r="C22" s="211"/>
      <c r="D22" s="211"/>
    </row>
    <row r="23" spans="2:4" ht="12" customHeight="1" x14ac:dyDescent="0.35">
      <c r="B23" s="208"/>
      <c r="C23" s="208"/>
      <c r="D23" s="208"/>
    </row>
    <row r="24" spans="2:4" ht="30" customHeight="1" x14ac:dyDescent="0.35">
      <c r="B24" s="212" t="s">
        <v>28</v>
      </c>
      <c r="C24" s="212"/>
      <c r="D24" s="212"/>
    </row>
    <row r="25" spans="2:4" ht="25.5" customHeight="1" x14ac:dyDescent="0.35">
      <c r="B25" s="34" t="s">
        <v>29</v>
      </c>
      <c r="C25" s="213" t="s">
        <v>30</v>
      </c>
      <c r="D25" s="213"/>
    </row>
    <row r="26" spans="2:4" ht="25.5" customHeight="1" x14ac:dyDescent="0.35">
      <c r="B26" s="35" t="s">
        <v>31</v>
      </c>
      <c r="C26" s="214" t="s">
        <v>32</v>
      </c>
      <c r="D26" s="214"/>
    </row>
    <row r="27" spans="2:4" ht="25.5" customHeight="1" x14ac:dyDescent="0.35">
      <c r="B27" s="34" t="s">
        <v>33</v>
      </c>
      <c r="C27" s="213" t="s">
        <v>34</v>
      </c>
      <c r="D27" s="213"/>
    </row>
    <row r="28" spans="2:4" ht="25.5" customHeight="1" x14ac:dyDescent="0.35">
      <c r="B28" s="36" t="s">
        <v>35</v>
      </c>
      <c r="C28" s="215" t="s">
        <v>36</v>
      </c>
      <c r="D28" s="215"/>
    </row>
    <row r="29" spans="2:4" ht="25.5" customHeight="1" x14ac:dyDescent="0.35">
      <c r="B29" s="37" t="s">
        <v>37</v>
      </c>
      <c r="C29" s="216" t="s">
        <v>38</v>
      </c>
      <c r="D29" s="216"/>
    </row>
    <row r="30" spans="2:4" ht="25.5" customHeight="1" x14ac:dyDescent="0.35">
      <c r="B30" s="38" t="s">
        <v>39</v>
      </c>
      <c r="C30" s="217" t="s">
        <v>40</v>
      </c>
      <c r="D30" s="217"/>
    </row>
    <row r="31" spans="2:4" ht="25.5" customHeight="1" x14ac:dyDescent="0.35">
      <c r="B31" s="39" t="s">
        <v>41</v>
      </c>
      <c r="C31" s="218" t="s">
        <v>42</v>
      </c>
      <c r="D31" s="218"/>
    </row>
    <row r="32" spans="2:4" ht="21.75" customHeight="1" x14ac:dyDescent="0.35">
      <c r="B32" s="211" t="s">
        <v>43</v>
      </c>
      <c r="C32" s="211"/>
      <c r="D32" s="211"/>
    </row>
    <row r="33" spans="2:5" ht="12" customHeight="1" x14ac:dyDescent="0.35">
      <c r="B33" s="208"/>
      <c r="C33" s="208"/>
      <c r="D33" s="208"/>
    </row>
    <row r="34" spans="2:5" ht="30" customHeight="1" x14ac:dyDescent="0.35">
      <c r="B34" s="209" t="s">
        <v>44</v>
      </c>
      <c r="C34" s="209"/>
      <c r="D34" s="209"/>
    </row>
    <row r="35" spans="2:5" ht="21.75" customHeight="1" x14ac:dyDescent="0.35">
      <c r="B35" s="15" t="s">
        <v>45</v>
      </c>
      <c r="C35" s="15" t="s">
        <v>46</v>
      </c>
      <c r="D35" s="15" t="s">
        <v>47</v>
      </c>
      <c r="E35" s="15" t="s">
        <v>48</v>
      </c>
    </row>
    <row r="36" spans="2:5" ht="25.5" customHeight="1" x14ac:dyDescent="0.35">
      <c r="B36" s="40" t="s">
        <v>49</v>
      </c>
      <c r="C36" s="41" t="s">
        <v>50</v>
      </c>
      <c r="D36" s="42" t="s">
        <v>51</v>
      </c>
    </row>
    <row r="37" spans="2:5" ht="25.5" customHeight="1" x14ac:dyDescent="0.35">
      <c r="B37" s="43" t="s">
        <v>52</v>
      </c>
      <c r="C37" s="44" t="s">
        <v>50</v>
      </c>
      <c r="D37" s="45" t="s">
        <v>53</v>
      </c>
    </row>
    <row r="38" spans="2:5" ht="25.5" customHeight="1" x14ac:dyDescent="0.35">
      <c r="B38" s="46" t="s">
        <v>54</v>
      </c>
      <c r="C38" s="47" t="s">
        <v>55</v>
      </c>
      <c r="D38" s="48" t="s">
        <v>56</v>
      </c>
    </row>
    <row r="39" spans="2:5" ht="25.5" customHeight="1" x14ac:dyDescent="0.35">
      <c r="B39" s="49" t="s">
        <v>57</v>
      </c>
      <c r="C39" s="50" t="s">
        <v>58</v>
      </c>
      <c r="D39" s="51" t="s">
        <v>59</v>
      </c>
    </row>
    <row r="40" spans="2:5" ht="25.5" customHeight="1" x14ac:dyDescent="0.35">
      <c r="B40" s="52" t="s">
        <v>60</v>
      </c>
      <c r="C40" s="53" t="s">
        <v>61</v>
      </c>
      <c r="D40" s="54" t="s">
        <v>62</v>
      </c>
    </row>
    <row r="41" spans="2:5" ht="25.5" customHeight="1" x14ac:dyDescent="0.35">
      <c r="B41" s="55" t="s">
        <v>63</v>
      </c>
      <c r="C41" s="56" t="s">
        <v>50</v>
      </c>
      <c r="D41" s="57" t="s">
        <v>64</v>
      </c>
    </row>
    <row r="42" spans="2:5" ht="25.5" customHeight="1" x14ac:dyDescent="0.35">
      <c r="B42" s="58" t="s">
        <v>65</v>
      </c>
      <c r="C42" s="59" t="s">
        <v>50</v>
      </c>
      <c r="D42" s="60" t="s">
        <v>66</v>
      </c>
    </row>
    <row r="43" spans="2:5" ht="21.75" customHeight="1" x14ac:dyDescent="0.35">
      <c r="B43" s="219" t="s">
        <v>67</v>
      </c>
      <c r="C43" s="219"/>
      <c r="D43" s="219"/>
    </row>
    <row r="44" spans="2:5" ht="12" customHeight="1" x14ac:dyDescent="0.35">
      <c r="B44" s="208"/>
      <c r="C44" s="208"/>
      <c r="D44" s="208"/>
    </row>
    <row r="45" spans="2:5" ht="30" customHeight="1" x14ac:dyDescent="0.35">
      <c r="B45" s="220" t="s">
        <v>68</v>
      </c>
      <c r="C45" s="220"/>
      <c r="D45" s="220"/>
    </row>
    <row r="46" spans="2:5" ht="30" customHeight="1" x14ac:dyDescent="0.35">
      <c r="B46" s="61" t="s">
        <v>69</v>
      </c>
      <c r="C46" s="221" t="s">
        <v>70</v>
      </c>
      <c r="D46" s="221"/>
    </row>
    <row r="47" spans="2:5" ht="30" customHeight="1" x14ac:dyDescent="0.35">
      <c r="B47" s="61" t="s">
        <v>71</v>
      </c>
      <c r="C47" s="221" t="s">
        <v>72</v>
      </c>
      <c r="D47" s="221"/>
    </row>
    <row r="48" spans="2:5" ht="30" customHeight="1" x14ac:dyDescent="0.35">
      <c r="B48" s="61" t="s">
        <v>73</v>
      </c>
      <c r="C48" s="221" t="s">
        <v>74</v>
      </c>
      <c r="D48" s="221"/>
    </row>
    <row r="49" spans="2:5" ht="30" customHeight="1" x14ac:dyDescent="0.35">
      <c r="B49" s="61" t="s">
        <v>75</v>
      </c>
      <c r="C49" s="221" t="s">
        <v>76</v>
      </c>
      <c r="D49" s="221"/>
    </row>
    <row r="50" spans="2:5" ht="30" customHeight="1" x14ac:dyDescent="0.35">
      <c r="B50" s="61" t="s">
        <v>77</v>
      </c>
      <c r="C50" s="221" t="s">
        <v>78</v>
      </c>
      <c r="D50" s="221"/>
    </row>
    <row r="51" spans="2:5" ht="30" customHeight="1" x14ac:dyDescent="0.35">
      <c r="B51" s="61" t="s">
        <v>79</v>
      </c>
      <c r="C51" s="221" t="s">
        <v>80</v>
      </c>
      <c r="D51" s="221"/>
    </row>
    <row r="52" spans="2:5" ht="12" customHeight="1" x14ac:dyDescent="0.35">
      <c r="B52" s="208"/>
      <c r="C52" s="208"/>
      <c r="D52" s="208"/>
    </row>
    <row r="53" spans="2:5" ht="25.5" customHeight="1" x14ac:dyDescent="0.35">
      <c r="B53" s="222" t="s">
        <v>81</v>
      </c>
      <c r="C53" s="222"/>
      <c r="D53" s="222"/>
    </row>
    <row r="54" spans="2:5" ht="21.75" customHeight="1" x14ac:dyDescent="0.35">
      <c r="B54" s="62" t="s">
        <v>82</v>
      </c>
      <c r="C54" s="62" t="s">
        <v>83</v>
      </c>
      <c r="D54" s="62" t="s">
        <v>84</v>
      </c>
      <c r="E54" s="62" t="s">
        <v>85</v>
      </c>
    </row>
    <row r="55" spans="2:5" ht="24" customHeight="1" x14ac:dyDescent="0.35">
      <c r="B55" s="63" t="s">
        <v>86</v>
      </c>
      <c r="C55" s="63" t="s">
        <v>87</v>
      </c>
      <c r="D55" s="64" t="s">
        <v>88</v>
      </c>
    </row>
    <row r="56" spans="2:5" ht="24" customHeight="1" x14ac:dyDescent="0.35">
      <c r="B56" s="63" t="s">
        <v>89</v>
      </c>
      <c r="C56" s="63"/>
      <c r="D56" s="64"/>
    </row>
    <row r="57" spans="2:5" ht="24" customHeight="1" x14ac:dyDescent="0.35">
      <c r="B57" s="63" t="s">
        <v>90</v>
      </c>
      <c r="C57" s="63"/>
      <c r="D57" s="64"/>
    </row>
    <row r="58" spans="2:5" ht="15.75" customHeight="1" x14ac:dyDescent="0.35">
      <c r="B58" s="208"/>
      <c r="C58" s="208"/>
      <c r="D58" s="208"/>
    </row>
    <row r="59" spans="2:5" ht="24" customHeight="1" x14ac:dyDescent="0.35">
      <c r="B59" s="223" t="s">
        <v>91</v>
      </c>
      <c r="C59" s="223"/>
      <c r="D59" s="223"/>
    </row>
  </sheetData>
  <mergeCells count="40">
    <mergeCell ref="C51:D51"/>
    <mergeCell ref="B52:D52"/>
    <mergeCell ref="B53:D53"/>
    <mergeCell ref="B58:D58"/>
    <mergeCell ref="B59:D59"/>
    <mergeCell ref="C46:D46"/>
    <mergeCell ref="C47:D47"/>
    <mergeCell ref="C48:D48"/>
    <mergeCell ref="C49:D49"/>
    <mergeCell ref="C50:D50"/>
    <mergeCell ref="B33:D33"/>
    <mergeCell ref="B34:D34"/>
    <mergeCell ref="B43:D43"/>
    <mergeCell ref="B44:D44"/>
    <mergeCell ref="B45:D45"/>
    <mergeCell ref="C28:D28"/>
    <mergeCell ref="C29:D29"/>
    <mergeCell ref="C30:D30"/>
    <mergeCell ref="C31:D31"/>
    <mergeCell ref="B32:D32"/>
    <mergeCell ref="B23:D23"/>
    <mergeCell ref="B24:D24"/>
    <mergeCell ref="C25:D25"/>
    <mergeCell ref="C26:D26"/>
    <mergeCell ref="C27:D27"/>
    <mergeCell ref="B11:D11"/>
    <mergeCell ref="B12:D12"/>
    <mergeCell ref="B13:D13"/>
    <mergeCell ref="B14:D14"/>
    <mergeCell ref="B22:D22"/>
    <mergeCell ref="B6:D6"/>
    <mergeCell ref="B7:D7"/>
    <mergeCell ref="B8:D8"/>
    <mergeCell ref="B9:D9"/>
    <mergeCell ref="B10:D10"/>
    <mergeCell ref="A1:E1"/>
    <mergeCell ref="A2:E2"/>
    <mergeCell ref="A3:E3"/>
    <mergeCell ref="A4:E4"/>
    <mergeCell ref="A5:E5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"/>
  <sheetViews>
    <sheetView view="pageBreakPreview" zoomScaleNormal="100" workbookViewId="0"/>
  </sheetViews>
  <sheetFormatPr baseColWidth="10" defaultColWidth="8.6328125" defaultRowHeight="14.5" x14ac:dyDescent="0.35"/>
  <cols>
    <col min="21" max="21" width="30" customWidth="1"/>
  </cols>
  <sheetData>
    <row r="1" spans="1:21" ht="15" customHeight="1" x14ac:dyDescent="0.35">
      <c r="A1" t="s">
        <v>92</v>
      </c>
      <c r="B1" t="s">
        <v>93</v>
      </c>
      <c r="C1" t="s">
        <v>94</v>
      </c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111</v>
      </c>
      <c r="U1" s="65" t="s">
        <v>112</v>
      </c>
    </row>
    <row r="2" spans="1:21" ht="15" customHeight="1" x14ac:dyDescent="0.35">
      <c r="A2" t="s">
        <v>113</v>
      </c>
      <c r="B2" t="s">
        <v>114</v>
      </c>
      <c r="C2" t="s">
        <v>115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s="66" t="s">
        <v>133</v>
      </c>
    </row>
    <row r="3" spans="1:21" ht="15" customHeight="1" x14ac:dyDescent="0.35">
      <c r="A3" t="s">
        <v>134</v>
      </c>
      <c r="B3" t="s">
        <v>135</v>
      </c>
      <c r="C3" t="s">
        <v>136</v>
      </c>
      <c r="D3" t="s">
        <v>137</v>
      </c>
      <c r="E3" t="s">
        <v>138</v>
      </c>
      <c r="F3" t="s">
        <v>139</v>
      </c>
      <c r="G3" t="s">
        <v>140</v>
      </c>
      <c r="H3" t="s">
        <v>141</v>
      </c>
      <c r="I3" t="s">
        <v>142</v>
      </c>
      <c r="J3" t="s">
        <v>143</v>
      </c>
      <c r="K3" t="s">
        <v>144</v>
      </c>
      <c r="L3" t="s">
        <v>145</v>
      </c>
      <c r="M3" t="s">
        <v>146</v>
      </c>
      <c r="N3" t="s">
        <v>147</v>
      </c>
      <c r="O3" t="s">
        <v>148</v>
      </c>
      <c r="P3" t="s">
        <v>149</v>
      </c>
      <c r="Q3" t="s">
        <v>150</v>
      </c>
      <c r="R3" t="s">
        <v>151</v>
      </c>
      <c r="S3" t="s">
        <v>152</v>
      </c>
      <c r="T3" t="s">
        <v>153</v>
      </c>
      <c r="U3" s="66" t="s">
        <v>154</v>
      </c>
    </row>
    <row r="4" spans="1:21" ht="15" customHeight="1" x14ac:dyDescent="0.35">
      <c r="A4" t="s">
        <v>155</v>
      </c>
      <c r="C4" t="s">
        <v>156</v>
      </c>
      <c r="D4" t="s">
        <v>157</v>
      </c>
      <c r="E4" t="s">
        <v>158</v>
      </c>
      <c r="F4" t="s">
        <v>159</v>
      </c>
      <c r="I4" t="s">
        <v>160</v>
      </c>
      <c r="J4" t="s">
        <v>161</v>
      </c>
      <c r="K4" t="s">
        <v>162</v>
      </c>
      <c r="L4" t="s">
        <v>163</v>
      </c>
      <c r="N4" t="s">
        <v>164</v>
      </c>
      <c r="O4" t="s">
        <v>165</v>
      </c>
      <c r="P4" t="s">
        <v>166</v>
      </c>
      <c r="R4" t="s">
        <v>167</v>
      </c>
      <c r="S4" t="s">
        <v>168</v>
      </c>
      <c r="T4" t="s">
        <v>169</v>
      </c>
      <c r="U4" s="66" t="s">
        <v>170</v>
      </c>
    </row>
    <row r="5" spans="1:21" ht="15" customHeight="1" x14ac:dyDescent="0.35">
      <c r="A5" t="s">
        <v>21</v>
      </c>
      <c r="E5" t="s">
        <v>171</v>
      </c>
      <c r="F5" t="s">
        <v>172</v>
      </c>
      <c r="I5" t="s">
        <v>173</v>
      </c>
      <c r="J5" t="s">
        <v>174</v>
      </c>
      <c r="N5" t="s">
        <v>175</v>
      </c>
      <c r="O5" t="s">
        <v>176</v>
      </c>
      <c r="P5" t="s">
        <v>177</v>
      </c>
      <c r="R5" t="s">
        <v>178</v>
      </c>
      <c r="S5" t="s">
        <v>179</v>
      </c>
      <c r="T5" t="s">
        <v>180</v>
      </c>
      <c r="U5" s="66" t="s">
        <v>174</v>
      </c>
    </row>
    <row r="6" spans="1:21" ht="15" customHeight="1" x14ac:dyDescent="0.35">
      <c r="A6" t="s">
        <v>24</v>
      </c>
      <c r="E6" t="s">
        <v>181</v>
      </c>
      <c r="F6" t="s">
        <v>182</v>
      </c>
      <c r="J6" t="s">
        <v>183</v>
      </c>
      <c r="N6" t="s">
        <v>184</v>
      </c>
      <c r="O6" t="s">
        <v>185</v>
      </c>
      <c r="P6" t="s">
        <v>186</v>
      </c>
      <c r="S6" t="s">
        <v>187</v>
      </c>
      <c r="T6" t="s">
        <v>188</v>
      </c>
      <c r="U6" s="66" t="s">
        <v>189</v>
      </c>
    </row>
    <row r="7" spans="1:21" ht="15" customHeight="1" x14ac:dyDescent="0.35">
      <c r="E7" t="s">
        <v>190</v>
      </c>
      <c r="F7" t="s">
        <v>191</v>
      </c>
      <c r="N7" t="s">
        <v>192</v>
      </c>
      <c r="O7" t="s">
        <v>193</v>
      </c>
      <c r="P7" t="s">
        <v>194</v>
      </c>
      <c r="U7" s="66" t="s">
        <v>195</v>
      </c>
    </row>
    <row r="8" spans="1:21" ht="15" customHeight="1" x14ac:dyDescent="0.35">
      <c r="F8" t="s">
        <v>196</v>
      </c>
      <c r="N8" t="s">
        <v>197</v>
      </c>
      <c r="O8" t="s">
        <v>198</v>
      </c>
      <c r="P8" t="s">
        <v>199</v>
      </c>
      <c r="U8" s="66" t="s">
        <v>183</v>
      </c>
    </row>
    <row r="9" spans="1:21" ht="15" customHeight="1" x14ac:dyDescent="0.35">
      <c r="F9" t="s">
        <v>200</v>
      </c>
      <c r="O9" t="s">
        <v>201</v>
      </c>
      <c r="P9" t="s">
        <v>183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6B35"/>
  </sheetPr>
  <dimension ref="A1:T147"/>
  <sheetViews>
    <sheetView zoomScale="81" zoomScaleNormal="81" zoomScaleSheetLayoutView="80" workbookViewId="0">
      <pane xSplit="1" ySplit="4" topLeftCell="B146" activePane="bottomRight" state="frozen"/>
      <selection pane="topRight" activeCell="B1" sqref="B1"/>
      <selection pane="bottomLeft" activeCell="A5" sqref="A5"/>
      <selection pane="bottomRight" activeCell="O129" sqref="O129"/>
    </sheetView>
  </sheetViews>
  <sheetFormatPr baseColWidth="10" defaultColWidth="8.6328125" defaultRowHeight="14.5" x14ac:dyDescent="0.35"/>
  <cols>
    <col min="1" max="1" width="30" customWidth="1"/>
    <col min="2" max="9" width="13" customWidth="1"/>
    <col min="10" max="10" width="14" customWidth="1"/>
  </cols>
  <sheetData>
    <row r="1" spans="1:20" ht="33.75" customHeight="1" x14ac:dyDescent="0.35">
      <c r="A1" s="224" t="s">
        <v>202</v>
      </c>
      <c r="B1" s="224"/>
      <c r="C1" s="224"/>
      <c r="D1" s="224"/>
      <c r="E1" s="224"/>
      <c r="F1" s="224"/>
      <c r="G1" s="224"/>
      <c r="H1" s="224"/>
      <c r="I1" s="224"/>
      <c r="J1" s="224"/>
    </row>
    <row r="2" spans="1:20" ht="19.5" customHeight="1" x14ac:dyDescent="0.35">
      <c r="A2" s="225" t="s">
        <v>203</v>
      </c>
      <c r="B2" s="225"/>
      <c r="C2" s="225"/>
      <c r="D2" s="225"/>
      <c r="E2" s="225"/>
      <c r="F2" s="225"/>
      <c r="G2" s="225"/>
      <c r="H2" s="225"/>
      <c r="I2" s="225"/>
      <c r="J2" s="225"/>
    </row>
    <row r="3" spans="1:20" ht="18" customHeight="1" x14ac:dyDescent="0.35">
      <c r="A3" s="226" t="s">
        <v>204</v>
      </c>
      <c r="B3" s="226"/>
      <c r="C3" s="226"/>
      <c r="D3" s="226"/>
      <c r="E3" s="226"/>
      <c r="F3" s="226"/>
      <c r="G3" s="226"/>
      <c r="H3" s="226"/>
      <c r="I3" s="226"/>
      <c r="J3" s="226"/>
    </row>
    <row r="5" spans="1:20" ht="24" customHeight="1" x14ac:dyDescent="0.35">
      <c r="A5" s="227" t="s">
        <v>205</v>
      </c>
      <c r="B5" s="227"/>
      <c r="C5" s="227"/>
      <c r="D5" s="227"/>
      <c r="E5" s="227"/>
      <c r="F5" s="227"/>
      <c r="G5" s="227"/>
      <c r="H5" s="227"/>
      <c r="I5" s="227"/>
      <c r="J5" s="227"/>
    </row>
    <row r="6" spans="1:20" ht="33.75" customHeight="1" x14ac:dyDescent="0.35">
      <c r="A6" s="15"/>
      <c r="B6" s="67" t="s">
        <v>206</v>
      </c>
      <c r="C6" s="67" t="s">
        <v>207</v>
      </c>
      <c r="D6" s="67" t="s">
        <v>208</v>
      </c>
      <c r="E6" s="67" t="s">
        <v>209</v>
      </c>
      <c r="F6" s="67" t="s">
        <v>210</v>
      </c>
      <c r="G6" s="67" t="s">
        <v>211</v>
      </c>
      <c r="H6" s="67" t="s">
        <v>212</v>
      </c>
      <c r="I6" s="67" t="s">
        <v>213</v>
      </c>
      <c r="J6" s="68" t="s">
        <v>214</v>
      </c>
    </row>
    <row r="7" spans="1:20" ht="31.5" customHeight="1" x14ac:dyDescent="0.35">
      <c r="A7" s="69" t="s">
        <v>215</v>
      </c>
      <c r="B7" s="70">
        <f>'SURA Cotizadores'!B22</f>
        <v>0</v>
      </c>
      <c r="C7" s="70">
        <f>'SURA Venta Digital'!B22</f>
        <v>0</v>
      </c>
      <c r="D7" s="70">
        <f>'SURA Torre Control'!B22</f>
        <v>0</v>
      </c>
      <c r="E7" s="70">
        <f>'SURA Mesa 4'!B22</f>
        <v>0</v>
      </c>
      <c r="F7" s="70">
        <f>'BCO Gioti 1'!B22</f>
        <v>0</v>
      </c>
      <c r="G7" s="70">
        <f>'BCO Gioti 2'!B22</f>
        <v>0</v>
      </c>
      <c r="H7" s="70">
        <f>'BCO Gioti 3'!B22</f>
        <v>0</v>
      </c>
      <c r="I7" s="70">
        <f>'BCO Gioti 4'!B22</f>
        <v>0</v>
      </c>
    </row>
    <row r="8" spans="1:20" ht="31.5" customHeight="1" x14ac:dyDescent="0.35">
      <c r="A8" s="71" t="s">
        <v>216</v>
      </c>
      <c r="B8" s="72" t="str">
        <f>'SURA Cotizadores'!B23</f>
        <v>N3 (Nivel 3 — Back-end, causa raíz, correcciones de código)</v>
      </c>
      <c r="C8" s="72" t="str">
        <f>'SURA Venta Digital'!B23</f>
        <v>N3 (Nivel 3 — Back-end, causa raíz, correcciones de código)</v>
      </c>
      <c r="D8" s="72" t="str">
        <f>'SURA Torre Control'!B23</f>
        <v>N3 (Nivel 3 — Back-end, causa raíz, correcciones de código)</v>
      </c>
      <c r="E8" s="72" t="str">
        <f>'SURA Mesa 4'!B23</f>
        <v>N3 (Nivel 3 — Back-end, causa raíz, correcciones de código)</v>
      </c>
      <c r="F8" s="72" t="str">
        <f>'BCO Gioti 1'!B23</f>
        <v>N3 (Nivel 3 — Back-end, causa raíz, correcciones de código)</v>
      </c>
      <c r="G8" s="72" t="str">
        <f>'BCO Gioti 2'!B23</f>
        <v>N3 (Nivel 3 — Back-end, causa raíz, correcciones de código)</v>
      </c>
      <c r="H8" s="72" t="str">
        <f>'BCO Gioti 3'!B23</f>
        <v>N3 (Nivel 3 — Back-end, causa raíz, correcciones de código)</v>
      </c>
      <c r="I8" s="72" t="str">
        <f>'BCO Gioti 4'!B23</f>
        <v>N3 (Nivel 3 — Back-end, causa raíz, correcciones de código)</v>
      </c>
      <c r="J8" s="73" t="s">
        <v>217</v>
      </c>
    </row>
    <row r="9" spans="1:20" ht="27.75" customHeight="1" x14ac:dyDescent="0.35">
      <c r="A9" s="74" t="s">
        <v>218</v>
      </c>
      <c r="B9" s="75" t="str">
        <f>IFERROR(MATCH(B8,Listas!$A$1:$A$6,0)-MATCH(B7,Listas!$A$1:$A$6,0),"")</f>
        <v/>
      </c>
      <c r="C9" s="75" t="str">
        <f>IFERROR(MATCH(C8,Listas!$A$1:$A$6,0)-MATCH(C7,Listas!$A$1:$A$6,0),"")</f>
        <v/>
      </c>
      <c r="D9" s="75" t="str">
        <f>IFERROR(MATCH(D8,Listas!$A$1:$A$6,0)-MATCH(D7,Listas!$A$1:$A$6,0),"")</f>
        <v/>
      </c>
      <c r="E9" s="75" t="str">
        <f>IFERROR(MATCH(E8,Listas!$A$1:$A$6,0)-MATCH(E7,Listas!$A$1:$A$6,0),"")</f>
        <v/>
      </c>
      <c r="F9" s="75" t="str">
        <f>IFERROR(MATCH(F8,Listas!$A$1:$A$6,0)-MATCH(F7,Listas!$A$1:$A$6,0),"")</f>
        <v/>
      </c>
      <c r="G9" s="75" t="str">
        <f>IFERROR(MATCH(G8,Listas!$A$1:$A$6,0)-MATCH(G7,Listas!$A$1:$A$6,0),"")</f>
        <v/>
      </c>
      <c r="H9" s="75" t="str">
        <f>IFERROR(MATCH(H8,Listas!$A$1:$A$6,0)-MATCH(H7,Listas!$A$1:$A$6,0),"")</f>
        <v/>
      </c>
      <c r="I9" s="75" t="str">
        <f>IFERROR(MATCH(I8,Listas!$A$1:$A$6,0)-MATCH(I7,Listas!$A$1:$A$6,0),"")</f>
        <v/>
      </c>
      <c r="J9" s="35" t="str">
        <f>IFERROR(AVERAGE(B9:I9),"")</f>
        <v/>
      </c>
    </row>
    <row r="11" spans="1:20" ht="15" customHeight="1" x14ac:dyDescent="0.35">
      <c r="L11" t="s">
        <v>219</v>
      </c>
      <c r="M11" t="s">
        <v>220</v>
      </c>
      <c r="N11" t="s">
        <v>221</v>
      </c>
      <c r="O11" t="s">
        <v>222</v>
      </c>
      <c r="P11" t="s">
        <v>209</v>
      </c>
      <c r="Q11" t="s">
        <v>210</v>
      </c>
      <c r="R11" t="s">
        <v>211</v>
      </c>
      <c r="S11" t="s">
        <v>212</v>
      </c>
      <c r="T11" t="s">
        <v>213</v>
      </c>
    </row>
    <row r="12" spans="1:20" ht="15" customHeight="1" x14ac:dyDescent="0.35">
      <c r="L12" t="s">
        <v>223</v>
      </c>
      <c r="M12">
        <f>IFERROR(MATCH(B7,Listas!$A$1:$A$6,0)-1,0)</f>
        <v>0</v>
      </c>
      <c r="N12">
        <f>IFERROR(MATCH(C7,Listas!$A$1:$A$6,0)-1,0)</f>
        <v>0</v>
      </c>
      <c r="O12">
        <f>IFERROR(MATCH(D7,Listas!$A$1:$A$6,0)-1,0)</f>
        <v>0</v>
      </c>
      <c r="P12">
        <f>IFERROR(MATCH(E7,Listas!$A$1:$A$6,0)-1,0)</f>
        <v>0</v>
      </c>
      <c r="Q12">
        <f>IFERROR(MATCH(F7,Listas!$A$1:$A$6,0)-1,0)</f>
        <v>0</v>
      </c>
      <c r="R12">
        <f>IFERROR(MATCH(G7,Listas!$A$1:$A$6,0)-1,0)</f>
        <v>0</v>
      </c>
      <c r="S12">
        <f>IFERROR(MATCH(H7,Listas!$A$1:$A$6,0)-1,0)</f>
        <v>0</v>
      </c>
      <c r="T12">
        <f>IFERROR(MATCH(I7,Listas!$A$1:$A$6,0)-1,0)</f>
        <v>0</v>
      </c>
    </row>
    <row r="13" spans="1:20" ht="15" customHeight="1" x14ac:dyDescent="0.35">
      <c r="L13" t="s">
        <v>224</v>
      </c>
      <c r="M13">
        <f>IFERROR(MATCH(B8,Listas!$A$1:$A$6,0)-1,0)</f>
        <v>0</v>
      </c>
      <c r="N13">
        <f>IFERROR(MATCH(C8,Listas!$A$1:$A$6,0)-1,0)</f>
        <v>0</v>
      </c>
      <c r="O13">
        <f>IFERROR(MATCH(D8,Listas!$A$1:$A$6,0)-1,0)</f>
        <v>0</v>
      </c>
      <c r="P13">
        <f>IFERROR(MATCH(E8,Listas!$A$1:$A$6,0)-1,0)</f>
        <v>0</v>
      </c>
      <c r="Q13">
        <f>IFERROR(MATCH(F8,Listas!$A$1:$A$6,0)-1,0)</f>
        <v>0</v>
      </c>
      <c r="R13">
        <f>IFERROR(MATCH(G8,Listas!$A$1:$A$6,0)-1,0)</f>
        <v>0</v>
      </c>
      <c r="S13">
        <f>IFERROR(MATCH(H8,Listas!$A$1:$A$6,0)-1,0)</f>
        <v>0</v>
      </c>
      <c r="T13">
        <f>IFERROR(MATCH(I8,Listas!$A$1:$A$6,0)-1,0)</f>
        <v>0</v>
      </c>
    </row>
    <row r="38" spans="1:11" ht="24" customHeight="1" x14ac:dyDescent="0.35">
      <c r="A38" s="227" t="s">
        <v>225</v>
      </c>
      <c r="B38" s="227"/>
      <c r="C38" s="227"/>
      <c r="D38" s="227"/>
      <c r="E38" s="227"/>
      <c r="F38" s="227"/>
      <c r="G38" s="227"/>
      <c r="H38" s="227"/>
      <c r="I38" s="227"/>
      <c r="J38" s="227"/>
    </row>
    <row r="39" spans="1:11" ht="18" customHeight="1" x14ac:dyDescent="0.35">
      <c r="A39" s="228" t="s">
        <v>226</v>
      </c>
      <c r="B39" s="228"/>
      <c r="C39" s="228"/>
      <c r="D39" s="228"/>
      <c r="E39" s="228"/>
      <c r="F39" s="228"/>
      <c r="G39" s="228"/>
      <c r="H39" s="228"/>
      <c r="I39" s="228"/>
      <c r="J39" s="228"/>
      <c r="K39" s="76" t="s">
        <v>227</v>
      </c>
    </row>
    <row r="40" spans="1:11" ht="33.75" customHeight="1" x14ac:dyDescent="0.35">
      <c r="A40" s="15"/>
      <c r="B40" s="67" t="s">
        <v>206</v>
      </c>
      <c r="C40" s="67" t="s">
        <v>207</v>
      </c>
      <c r="D40" s="67" t="s">
        <v>208</v>
      </c>
      <c r="E40" s="67" t="s">
        <v>209</v>
      </c>
      <c r="F40" s="67" t="s">
        <v>210</v>
      </c>
      <c r="G40" s="67" t="s">
        <v>211</v>
      </c>
      <c r="H40" s="67" t="s">
        <v>212</v>
      </c>
      <c r="I40" s="67" t="s">
        <v>213</v>
      </c>
      <c r="J40" s="68" t="s">
        <v>228</v>
      </c>
      <c r="K40" s="77" t="s">
        <v>229</v>
      </c>
    </row>
    <row r="41" spans="1:11" ht="18" customHeight="1" x14ac:dyDescent="0.35">
      <c r="A41" s="229" t="s">
        <v>230</v>
      </c>
      <c r="B41" s="229"/>
      <c r="C41" s="229"/>
      <c r="D41" s="229"/>
      <c r="E41" s="229"/>
      <c r="F41" s="229"/>
      <c r="G41" s="229"/>
      <c r="H41" s="229"/>
      <c r="I41" s="229"/>
      <c r="J41" s="229"/>
    </row>
    <row r="42" spans="1:11" ht="24" customHeight="1" x14ac:dyDescent="0.35">
      <c r="A42" s="78" t="s">
        <v>231</v>
      </c>
      <c r="B42" s="79">
        <f>'SURA Cotizadores'!B29</f>
        <v>0</v>
      </c>
      <c r="C42" s="79">
        <f>'SURA Venta Digital'!B29</f>
        <v>0</v>
      </c>
      <c r="D42" s="79">
        <f>'SURA Torre Control'!B29</f>
        <v>0</v>
      </c>
      <c r="E42" s="79">
        <f>'SURA Mesa 4'!B29</f>
        <v>0</v>
      </c>
      <c r="F42" s="79">
        <f>'BCO Gioti 1'!B29</f>
        <v>0</v>
      </c>
      <c r="G42" s="79">
        <f>'BCO Gioti 2'!B29</f>
        <v>0</v>
      </c>
      <c r="H42" s="79">
        <f>'BCO Gioti 3'!B29</f>
        <v>0</v>
      </c>
      <c r="I42" s="79">
        <f>'BCO Gioti 4'!B29</f>
        <v>0</v>
      </c>
      <c r="J42" s="80">
        <f>IFERROR(COUNTIF(B42:I42,"Sí")/8,"")</f>
        <v>0</v>
      </c>
      <c r="K42" s="81">
        <f>IFERROR((COUNTIF(B42:I42,"Sí") + 0.5*COUNTIF(B42:I42,"Parcial"))/8,"")</f>
        <v>0</v>
      </c>
    </row>
    <row r="43" spans="1:11" ht="24" customHeight="1" x14ac:dyDescent="0.35">
      <c r="A43" s="78" t="s">
        <v>232</v>
      </c>
      <c r="B43" s="79">
        <f>'SURA Cotizadores'!B30</f>
        <v>0</v>
      </c>
      <c r="C43" s="79">
        <f>'SURA Venta Digital'!B30</f>
        <v>0</v>
      </c>
      <c r="D43" s="79">
        <f>'SURA Torre Control'!B30</f>
        <v>0</v>
      </c>
      <c r="E43" s="79">
        <f>'SURA Mesa 4'!B30</f>
        <v>0</v>
      </c>
      <c r="F43" s="79">
        <f>'BCO Gioti 1'!B30</f>
        <v>0</v>
      </c>
      <c r="G43" s="79">
        <f>'BCO Gioti 2'!B30</f>
        <v>0</v>
      </c>
      <c r="H43" s="79">
        <f>'BCO Gioti 3'!B30</f>
        <v>0</v>
      </c>
      <c r="I43" s="79">
        <f>'BCO Gioti 4'!B30</f>
        <v>0</v>
      </c>
      <c r="J43" s="80">
        <f>IFERROR(COUNTIF(B43:I43,"Sí")/8,"")</f>
        <v>0</v>
      </c>
      <c r="K43" s="81">
        <f>IFERROR((COUNTIF(B43:I43,"Sí") + 0.5*COUNTIF(B43:I43,"Parcial"))/8,"")</f>
        <v>0</v>
      </c>
    </row>
    <row r="44" spans="1:11" ht="18" customHeight="1" x14ac:dyDescent="0.35">
      <c r="A44" s="229" t="s">
        <v>233</v>
      </c>
      <c r="B44" s="229"/>
      <c r="C44" s="229"/>
      <c r="D44" s="229"/>
      <c r="E44" s="229"/>
      <c r="F44" s="229"/>
      <c r="G44" s="229"/>
      <c r="H44" s="229"/>
      <c r="I44" s="229"/>
      <c r="J44" s="229"/>
    </row>
    <row r="45" spans="1:11" ht="24" customHeight="1" x14ac:dyDescent="0.35">
      <c r="A45" s="78" t="s">
        <v>234</v>
      </c>
      <c r="B45" s="79">
        <f>'SURA Cotizadores'!B32</f>
        <v>0</v>
      </c>
      <c r="C45" s="79">
        <f>'SURA Venta Digital'!B32</f>
        <v>0</v>
      </c>
      <c r="D45" s="79">
        <f>'SURA Torre Control'!B32</f>
        <v>0</v>
      </c>
      <c r="E45" s="79">
        <f>'SURA Mesa 4'!B32</f>
        <v>0</v>
      </c>
      <c r="F45" s="79">
        <f>'BCO Gioti 1'!B32</f>
        <v>0</v>
      </c>
      <c r="G45" s="79">
        <f>'BCO Gioti 2'!B32</f>
        <v>0</v>
      </c>
      <c r="H45" s="79">
        <f>'BCO Gioti 3'!B32</f>
        <v>0</v>
      </c>
      <c r="I45" s="79">
        <f>'BCO Gioti 4'!B32</f>
        <v>0</v>
      </c>
      <c r="J45" s="80">
        <f>IFERROR(COUNTIF(B45:I45,"Sí")/8,"")</f>
        <v>0</v>
      </c>
      <c r="K45" s="81">
        <f>IFERROR((COUNTIF(B45:I45,"Sí") + 0.5*COUNTIF(B45:I45,"Parcial"))/8,"")</f>
        <v>0</v>
      </c>
    </row>
    <row r="46" spans="1:11" ht="24" customHeight="1" x14ac:dyDescent="0.35">
      <c r="A46" s="78" t="s">
        <v>235</v>
      </c>
      <c r="B46" s="79">
        <f>'SURA Cotizadores'!B33</f>
        <v>0</v>
      </c>
      <c r="C46" s="79">
        <f>'SURA Venta Digital'!B33</f>
        <v>0</v>
      </c>
      <c r="D46" s="79">
        <f>'SURA Torre Control'!B33</f>
        <v>0</v>
      </c>
      <c r="E46" s="79">
        <f>'SURA Mesa 4'!B33</f>
        <v>0</v>
      </c>
      <c r="F46" s="79">
        <f>'BCO Gioti 1'!B33</f>
        <v>0</v>
      </c>
      <c r="G46" s="79">
        <f>'BCO Gioti 2'!B33</f>
        <v>0</v>
      </c>
      <c r="H46" s="79">
        <f>'BCO Gioti 3'!B33</f>
        <v>0</v>
      </c>
      <c r="I46" s="79">
        <f>'BCO Gioti 4'!B33</f>
        <v>0</v>
      </c>
      <c r="J46" s="80">
        <f>IFERROR(COUNTIF(B46:I46,"Sí")/8,"")</f>
        <v>0</v>
      </c>
      <c r="K46" s="81">
        <f>IFERROR((COUNTIF(B46:I46,"Sí") + 0.5*COUNTIF(B46:I46,"Parcial"))/8,"")</f>
        <v>0</v>
      </c>
    </row>
    <row r="47" spans="1:11" ht="24" customHeight="1" x14ac:dyDescent="0.35">
      <c r="A47" s="78" t="s">
        <v>236</v>
      </c>
      <c r="B47" s="79">
        <f>'SURA Cotizadores'!B34</f>
        <v>0</v>
      </c>
      <c r="C47" s="79">
        <f>'SURA Venta Digital'!B34</f>
        <v>0</v>
      </c>
      <c r="D47" s="79">
        <f>'SURA Torre Control'!B34</f>
        <v>0</v>
      </c>
      <c r="E47" s="79">
        <f>'SURA Mesa 4'!B34</f>
        <v>0</v>
      </c>
      <c r="F47" s="79">
        <f>'BCO Gioti 1'!B34</f>
        <v>0</v>
      </c>
      <c r="G47" s="79">
        <f>'BCO Gioti 2'!B34</f>
        <v>0</v>
      </c>
      <c r="H47" s="79">
        <f>'BCO Gioti 3'!B34</f>
        <v>0</v>
      </c>
      <c r="I47" s="79">
        <f>'BCO Gioti 4'!B34</f>
        <v>0</v>
      </c>
      <c r="J47" s="80">
        <f>IFERROR(COUNTIF(B47:I47,"Sí")/8,"")</f>
        <v>0</v>
      </c>
      <c r="K47" s="81">
        <f>IFERROR((COUNTIF(B47:I47,"Sí") + 0.5*COUNTIF(B47:I47,"Parcial"))/8,"")</f>
        <v>0</v>
      </c>
    </row>
    <row r="48" spans="1:11" ht="24" customHeight="1" x14ac:dyDescent="0.35">
      <c r="A48" s="78" t="s">
        <v>237</v>
      </c>
      <c r="B48" s="79">
        <f>'SURA Cotizadores'!B35</f>
        <v>0</v>
      </c>
      <c r="C48" s="79">
        <f>'SURA Venta Digital'!B35</f>
        <v>0</v>
      </c>
      <c r="D48" s="79">
        <f>'SURA Torre Control'!B35</f>
        <v>0</v>
      </c>
      <c r="E48" s="79">
        <f>'SURA Mesa 4'!B35</f>
        <v>0</v>
      </c>
      <c r="F48" s="79">
        <f>'BCO Gioti 1'!B35</f>
        <v>0</v>
      </c>
      <c r="G48" s="79">
        <f>'BCO Gioti 2'!B35</f>
        <v>0</v>
      </c>
      <c r="H48" s="79">
        <f>'BCO Gioti 3'!B35</f>
        <v>0</v>
      </c>
      <c r="I48" s="79">
        <f>'BCO Gioti 4'!B35</f>
        <v>0</v>
      </c>
      <c r="J48" s="80">
        <f>IFERROR(COUNTIF(B48:I48,"Sí")/8,"")</f>
        <v>0</v>
      </c>
      <c r="K48" s="81">
        <f>IFERROR((COUNTIF(B48:I48,"Sí") + 0.5*COUNTIF(B48:I48,"Parcial"))/8,"")</f>
        <v>0</v>
      </c>
    </row>
    <row r="49" spans="1:20" ht="18" customHeight="1" x14ac:dyDescent="0.35">
      <c r="A49" s="229" t="s">
        <v>238</v>
      </c>
      <c r="B49" s="229"/>
      <c r="C49" s="229"/>
      <c r="D49" s="229"/>
      <c r="E49" s="229"/>
      <c r="F49" s="229"/>
      <c r="G49" s="229"/>
      <c r="H49" s="229"/>
      <c r="I49" s="229"/>
      <c r="J49" s="229"/>
    </row>
    <row r="50" spans="1:20" ht="24" customHeight="1" x14ac:dyDescent="0.35">
      <c r="A50" s="78" t="s">
        <v>239</v>
      </c>
      <c r="B50" s="79">
        <f>'SURA Cotizadores'!B37</f>
        <v>0</v>
      </c>
      <c r="C50" s="79">
        <f>'SURA Venta Digital'!B37</f>
        <v>0</v>
      </c>
      <c r="D50" s="79">
        <f>'SURA Torre Control'!B37</f>
        <v>0</v>
      </c>
      <c r="E50" s="79">
        <f>'SURA Mesa 4'!B37</f>
        <v>0</v>
      </c>
      <c r="F50" s="79">
        <f>'BCO Gioti 1'!B37</f>
        <v>0</v>
      </c>
      <c r="G50" s="79">
        <f>'BCO Gioti 2'!B37</f>
        <v>0</v>
      </c>
      <c r="H50" s="79">
        <f>'BCO Gioti 3'!B37</f>
        <v>0</v>
      </c>
      <c r="I50" s="79">
        <f>'BCO Gioti 4'!B37</f>
        <v>0</v>
      </c>
      <c r="J50" s="80">
        <f>IFERROR(COUNTIF(B50:I50,"Sí")/8,"")</f>
        <v>0</v>
      </c>
      <c r="K50" s="81">
        <f>IFERROR((COUNTIF(B50:I50,"Sí") + 0.5*COUNTIF(B50:I50,"Parcial"))/8,"")</f>
        <v>0</v>
      </c>
    </row>
    <row r="51" spans="1:20" ht="24" customHeight="1" x14ac:dyDescent="0.35">
      <c r="A51" s="78" t="s">
        <v>240</v>
      </c>
      <c r="B51" s="79">
        <f>'SURA Cotizadores'!B38</f>
        <v>0</v>
      </c>
      <c r="C51" s="79">
        <f>'SURA Venta Digital'!B38</f>
        <v>0</v>
      </c>
      <c r="D51" s="79">
        <f>'SURA Torre Control'!B38</f>
        <v>0</v>
      </c>
      <c r="E51" s="79">
        <f>'SURA Mesa 4'!B38</f>
        <v>0</v>
      </c>
      <c r="F51" s="79">
        <f>'BCO Gioti 1'!B38</f>
        <v>0</v>
      </c>
      <c r="G51" s="79">
        <f>'BCO Gioti 2'!B38</f>
        <v>0</v>
      </c>
      <c r="H51" s="79">
        <f>'BCO Gioti 3'!B38</f>
        <v>0</v>
      </c>
      <c r="I51" s="79">
        <f>'BCO Gioti 4'!B38</f>
        <v>0</v>
      </c>
      <c r="J51" s="80">
        <f>IFERROR(COUNTIF(B51:I51,"Sí")/8,"")</f>
        <v>0</v>
      </c>
      <c r="K51" s="81">
        <f>IFERROR((COUNTIF(B51:I51,"Sí") + 0.5*COUNTIF(B51:I51,"Parcial"))/8,"")</f>
        <v>0</v>
      </c>
    </row>
    <row r="52" spans="1:20" ht="24" customHeight="1" x14ac:dyDescent="0.35">
      <c r="A52" s="78" t="s">
        <v>241</v>
      </c>
      <c r="B52" s="79">
        <f>'SURA Cotizadores'!B39</f>
        <v>0</v>
      </c>
      <c r="C52" s="79">
        <f>'SURA Venta Digital'!B39</f>
        <v>0</v>
      </c>
      <c r="D52" s="79">
        <f>'SURA Torre Control'!B39</f>
        <v>0</v>
      </c>
      <c r="E52" s="79">
        <f>'SURA Mesa 4'!B39</f>
        <v>0</v>
      </c>
      <c r="F52" s="79">
        <f>'BCO Gioti 1'!B39</f>
        <v>0</v>
      </c>
      <c r="G52" s="79">
        <f>'BCO Gioti 2'!B39</f>
        <v>0</v>
      </c>
      <c r="H52" s="79">
        <f>'BCO Gioti 3'!B39</f>
        <v>0</v>
      </c>
      <c r="I52" s="79">
        <f>'BCO Gioti 4'!B39</f>
        <v>0</v>
      </c>
      <c r="J52" s="80">
        <f>IFERROR(COUNTIF(B52:I52,"Sí")/8,"")</f>
        <v>0</v>
      </c>
      <c r="K52" s="81">
        <f>IFERROR((COUNTIF(B52:I52,"Sí") + 0.5*COUNTIF(B52:I52,"Parcial"))/8,"")</f>
        <v>0</v>
      </c>
    </row>
    <row r="53" spans="1:20" ht="24" customHeight="1" x14ac:dyDescent="0.35">
      <c r="A53" s="78" t="s">
        <v>242</v>
      </c>
      <c r="B53" s="79">
        <f>'SURA Cotizadores'!B40</f>
        <v>0</v>
      </c>
      <c r="C53" s="79">
        <f>'SURA Venta Digital'!B40</f>
        <v>0</v>
      </c>
      <c r="D53" s="79">
        <f>'SURA Torre Control'!B40</f>
        <v>0</v>
      </c>
      <c r="E53" s="79">
        <f>'SURA Mesa 4'!B40</f>
        <v>0</v>
      </c>
      <c r="F53" s="79">
        <f>'BCO Gioti 1'!B40</f>
        <v>0</v>
      </c>
      <c r="G53" s="79">
        <f>'BCO Gioti 2'!B40</f>
        <v>0</v>
      </c>
      <c r="H53" s="79">
        <f>'BCO Gioti 3'!B40</f>
        <v>0</v>
      </c>
      <c r="I53" s="79">
        <f>'BCO Gioti 4'!B40</f>
        <v>0</v>
      </c>
      <c r="J53" s="80">
        <f>IFERROR(COUNTIF(B53:I53,"Sí")/8,"")</f>
        <v>0</v>
      </c>
      <c r="K53" s="81">
        <f>IFERROR((COUNTIF(B53:I53,"Sí") + 0.5*COUNTIF(B53:I53,"Parcial"))/8,"")</f>
        <v>0</v>
      </c>
    </row>
    <row r="54" spans="1:20" ht="18" customHeight="1" x14ac:dyDescent="0.35">
      <c r="A54" s="229" t="s">
        <v>243</v>
      </c>
      <c r="B54" s="229"/>
      <c r="C54" s="229"/>
      <c r="D54" s="229"/>
      <c r="E54" s="229"/>
      <c r="F54" s="229"/>
      <c r="G54" s="229"/>
      <c r="H54" s="229"/>
      <c r="I54" s="229"/>
      <c r="J54" s="229"/>
    </row>
    <row r="55" spans="1:20" ht="24" customHeight="1" x14ac:dyDescent="0.35">
      <c r="A55" s="78" t="s">
        <v>244</v>
      </c>
      <c r="B55" s="79">
        <f>'SURA Cotizadores'!B42</f>
        <v>0</v>
      </c>
      <c r="C55" s="79">
        <f>'SURA Venta Digital'!B42</f>
        <v>0</v>
      </c>
      <c r="D55" s="79">
        <f>'SURA Torre Control'!B42</f>
        <v>0</v>
      </c>
      <c r="E55" s="79">
        <f>'SURA Mesa 4'!B42</f>
        <v>0</v>
      </c>
      <c r="F55" s="79">
        <f>'BCO Gioti 1'!B42</f>
        <v>0</v>
      </c>
      <c r="G55" s="79">
        <f>'BCO Gioti 2'!B42</f>
        <v>0</v>
      </c>
      <c r="H55" s="79">
        <f>'BCO Gioti 3'!B42</f>
        <v>0</v>
      </c>
      <c r="I55" s="79">
        <f>'BCO Gioti 4'!B42</f>
        <v>0</v>
      </c>
      <c r="J55" s="80">
        <f t="shared" ref="J55:J61" si="0">IFERROR(COUNTIF(B55:I55,"Sí")/8,"")</f>
        <v>0</v>
      </c>
      <c r="K55" s="81">
        <f t="shared" ref="K55:K61" si="1">IFERROR((COUNTIF(B55:I55,"Sí") + 0.5*COUNTIF(B55:I55,"Parcial"))/8,"")</f>
        <v>0</v>
      </c>
    </row>
    <row r="56" spans="1:20" ht="24" customHeight="1" x14ac:dyDescent="0.35">
      <c r="A56" s="78" t="s">
        <v>245</v>
      </c>
      <c r="B56" s="79">
        <f>'SURA Cotizadores'!B43</f>
        <v>0</v>
      </c>
      <c r="C56" s="79">
        <f>'SURA Venta Digital'!B43</f>
        <v>0</v>
      </c>
      <c r="D56" s="79">
        <f>'SURA Torre Control'!B43</f>
        <v>0</v>
      </c>
      <c r="E56" s="79">
        <f>'SURA Mesa 4'!B43</f>
        <v>0</v>
      </c>
      <c r="F56" s="79">
        <f>'BCO Gioti 1'!B43</f>
        <v>0</v>
      </c>
      <c r="G56" s="79">
        <f>'BCO Gioti 2'!B43</f>
        <v>0</v>
      </c>
      <c r="H56" s="79">
        <f>'BCO Gioti 3'!B43</f>
        <v>0</v>
      </c>
      <c r="I56" s="79">
        <f>'BCO Gioti 4'!B43</f>
        <v>0</v>
      </c>
      <c r="J56" s="80">
        <f t="shared" si="0"/>
        <v>0</v>
      </c>
      <c r="K56" s="81">
        <f t="shared" si="1"/>
        <v>0</v>
      </c>
    </row>
    <row r="57" spans="1:20" ht="24" customHeight="1" x14ac:dyDescent="0.35">
      <c r="A57" s="78" t="s">
        <v>246</v>
      </c>
      <c r="B57" s="79">
        <f>'SURA Cotizadores'!B44</f>
        <v>0</v>
      </c>
      <c r="C57" s="79">
        <f>'SURA Venta Digital'!B44</f>
        <v>0</v>
      </c>
      <c r="D57" s="79">
        <f>'SURA Torre Control'!B44</f>
        <v>0</v>
      </c>
      <c r="E57" s="79">
        <f>'SURA Mesa 4'!B44</f>
        <v>0</v>
      </c>
      <c r="F57" s="79">
        <f>'BCO Gioti 1'!B44</f>
        <v>0</v>
      </c>
      <c r="G57" s="79">
        <f>'BCO Gioti 2'!B44</f>
        <v>0</v>
      </c>
      <c r="H57" s="79">
        <f>'BCO Gioti 3'!B44</f>
        <v>0</v>
      </c>
      <c r="I57" s="79">
        <f>'BCO Gioti 4'!B44</f>
        <v>0</v>
      </c>
      <c r="J57" s="80">
        <f t="shared" si="0"/>
        <v>0</v>
      </c>
      <c r="K57" s="81">
        <f t="shared" si="1"/>
        <v>0</v>
      </c>
    </row>
    <row r="58" spans="1:20" ht="24" customHeight="1" x14ac:dyDescent="0.35">
      <c r="A58" s="78" t="s">
        <v>247</v>
      </c>
      <c r="B58" s="79">
        <f>'SURA Cotizadores'!B45</f>
        <v>0</v>
      </c>
      <c r="C58" s="79">
        <f>'SURA Venta Digital'!B45</f>
        <v>0</v>
      </c>
      <c r="D58" s="79">
        <f>'SURA Torre Control'!B45</f>
        <v>0</v>
      </c>
      <c r="E58" s="79">
        <f>'SURA Mesa 4'!B45</f>
        <v>0</v>
      </c>
      <c r="F58" s="79">
        <f>'BCO Gioti 1'!B45</f>
        <v>0</v>
      </c>
      <c r="G58" s="79">
        <f>'BCO Gioti 2'!B45</f>
        <v>0</v>
      </c>
      <c r="H58" s="79">
        <f>'BCO Gioti 3'!B45</f>
        <v>0</v>
      </c>
      <c r="I58" s="79">
        <f>'BCO Gioti 4'!B45</f>
        <v>0</v>
      </c>
      <c r="J58" s="80">
        <f t="shared" si="0"/>
        <v>0</v>
      </c>
      <c r="K58" s="81">
        <f t="shared" si="1"/>
        <v>0</v>
      </c>
    </row>
    <row r="59" spans="1:20" ht="24" customHeight="1" x14ac:dyDescent="0.35">
      <c r="A59" s="78" t="s">
        <v>248</v>
      </c>
      <c r="B59" s="79">
        <f>'SURA Cotizadores'!B46</f>
        <v>0</v>
      </c>
      <c r="C59" s="79">
        <f>'SURA Venta Digital'!B46</f>
        <v>0</v>
      </c>
      <c r="D59" s="79">
        <f>'SURA Torre Control'!B46</f>
        <v>0</v>
      </c>
      <c r="E59" s="79">
        <f>'SURA Mesa 4'!B46</f>
        <v>0</v>
      </c>
      <c r="F59" s="79">
        <f>'BCO Gioti 1'!B46</f>
        <v>0</v>
      </c>
      <c r="G59" s="79">
        <f>'BCO Gioti 2'!B46</f>
        <v>0</v>
      </c>
      <c r="H59" s="79">
        <f>'BCO Gioti 3'!B46</f>
        <v>0</v>
      </c>
      <c r="I59" s="79">
        <f>'BCO Gioti 4'!B46</f>
        <v>0</v>
      </c>
      <c r="J59" s="80">
        <f t="shared" si="0"/>
        <v>0</v>
      </c>
      <c r="K59" s="81">
        <f t="shared" si="1"/>
        <v>0</v>
      </c>
    </row>
    <row r="60" spans="1:20" ht="24" customHeight="1" x14ac:dyDescent="0.35">
      <c r="A60" s="78" t="s">
        <v>249</v>
      </c>
      <c r="B60" s="79">
        <f>'SURA Cotizadores'!B47</f>
        <v>0</v>
      </c>
      <c r="C60" s="79">
        <f>'SURA Venta Digital'!B47</f>
        <v>0</v>
      </c>
      <c r="D60" s="79">
        <f>'SURA Torre Control'!B47</f>
        <v>0</v>
      </c>
      <c r="E60" s="79">
        <f>'SURA Mesa 4'!B47</f>
        <v>0</v>
      </c>
      <c r="F60" s="79">
        <f>'BCO Gioti 1'!B47</f>
        <v>0</v>
      </c>
      <c r="G60" s="79">
        <f>'BCO Gioti 2'!B47</f>
        <v>0</v>
      </c>
      <c r="H60" s="79">
        <f>'BCO Gioti 3'!B47</f>
        <v>0</v>
      </c>
      <c r="I60" s="79">
        <f>'BCO Gioti 4'!B47</f>
        <v>0</v>
      </c>
      <c r="J60" s="80">
        <f t="shared" si="0"/>
        <v>0</v>
      </c>
      <c r="K60" s="81">
        <f t="shared" si="1"/>
        <v>0</v>
      </c>
    </row>
    <row r="61" spans="1:20" ht="24" customHeight="1" x14ac:dyDescent="0.35">
      <c r="A61" s="78" t="s">
        <v>250</v>
      </c>
      <c r="B61" s="79">
        <f>'SURA Cotizadores'!B48</f>
        <v>0</v>
      </c>
      <c r="C61" s="79">
        <f>'SURA Venta Digital'!B48</f>
        <v>0</v>
      </c>
      <c r="D61" s="79">
        <f>'SURA Torre Control'!B48</f>
        <v>0</v>
      </c>
      <c r="E61" s="79">
        <f>'SURA Mesa 4'!B48</f>
        <v>0</v>
      </c>
      <c r="F61" s="79">
        <f>'BCO Gioti 1'!B48</f>
        <v>0</v>
      </c>
      <c r="G61" s="79">
        <f>'BCO Gioti 2'!B48</f>
        <v>0</v>
      </c>
      <c r="H61" s="79">
        <f>'BCO Gioti 3'!B48</f>
        <v>0</v>
      </c>
      <c r="I61" s="79">
        <f>'BCO Gioti 4'!B48</f>
        <v>0</v>
      </c>
      <c r="J61" s="80">
        <f t="shared" si="0"/>
        <v>0</v>
      </c>
      <c r="K61" s="81">
        <f t="shared" si="1"/>
        <v>0</v>
      </c>
    </row>
    <row r="63" spans="1:20" ht="15" customHeight="1" x14ac:dyDescent="0.35">
      <c r="L63" t="s">
        <v>219</v>
      </c>
      <c r="M63" t="s">
        <v>220</v>
      </c>
      <c r="N63" t="s">
        <v>221</v>
      </c>
      <c r="O63" t="s">
        <v>222</v>
      </c>
      <c r="P63" t="s">
        <v>209</v>
      </c>
      <c r="Q63" t="s">
        <v>210</v>
      </c>
      <c r="R63" t="s">
        <v>211</v>
      </c>
      <c r="S63" t="s">
        <v>212</v>
      </c>
      <c r="T63" t="s">
        <v>213</v>
      </c>
    </row>
    <row r="64" spans="1:20" ht="15" customHeight="1" x14ac:dyDescent="0.35">
      <c r="L64" t="s">
        <v>251</v>
      </c>
      <c r="M64">
        <f t="shared" ref="M64:T64" si="2">IFERROR(COUNTIF(B41:B61,"Sí")/17,0)</f>
        <v>0</v>
      </c>
      <c r="N64">
        <f t="shared" si="2"/>
        <v>0</v>
      </c>
      <c r="O64">
        <f t="shared" si="2"/>
        <v>0</v>
      </c>
      <c r="P64">
        <f t="shared" si="2"/>
        <v>0</v>
      </c>
      <c r="Q64">
        <f t="shared" si="2"/>
        <v>0</v>
      </c>
      <c r="R64">
        <f t="shared" si="2"/>
        <v>0</v>
      </c>
      <c r="S64">
        <f t="shared" si="2"/>
        <v>0</v>
      </c>
      <c r="T64">
        <f t="shared" si="2"/>
        <v>0</v>
      </c>
    </row>
    <row r="65" spans="1:11" x14ac:dyDescent="0.35">
      <c r="A65" s="82" t="s">
        <v>252</v>
      </c>
      <c r="B65" s="83">
        <f t="shared" ref="B65:I65" si="3">IFERROR((COUNTIF(B41:B61,"Sí") + 0.5*COUNTIF(B41:B61,"Parcial"))/17,0)</f>
        <v>0</v>
      </c>
      <c r="C65" s="83">
        <f t="shared" si="3"/>
        <v>0</v>
      </c>
      <c r="D65" s="83">
        <f t="shared" si="3"/>
        <v>0</v>
      </c>
      <c r="E65" s="83">
        <f t="shared" si="3"/>
        <v>0</v>
      </c>
      <c r="F65" s="83">
        <f t="shared" si="3"/>
        <v>0</v>
      </c>
      <c r="G65" s="83">
        <f t="shared" si="3"/>
        <v>0</v>
      </c>
      <c r="H65" s="83">
        <f t="shared" si="3"/>
        <v>0</v>
      </c>
      <c r="I65" s="83">
        <f t="shared" si="3"/>
        <v>0</v>
      </c>
      <c r="K65" s="84" t="s">
        <v>253</v>
      </c>
    </row>
    <row r="88" spans="1:10" ht="24" customHeight="1" x14ac:dyDescent="0.35">
      <c r="A88" s="230" t="s">
        <v>254</v>
      </c>
      <c r="B88" s="230"/>
      <c r="C88" s="230"/>
      <c r="D88" s="230"/>
      <c r="E88" s="230"/>
      <c r="F88" s="230"/>
      <c r="G88" s="230"/>
      <c r="H88" s="230"/>
      <c r="I88" s="230"/>
      <c r="J88" s="230"/>
    </row>
    <row r="89" spans="1:10" ht="18" customHeight="1" x14ac:dyDescent="0.35">
      <c r="A89" s="231" t="s">
        <v>255</v>
      </c>
      <c r="B89" s="231"/>
      <c r="C89" s="231"/>
      <c r="D89" s="231"/>
      <c r="E89" s="231"/>
      <c r="F89" s="231"/>
      <c r="G89" s="231"/>
      <c r="H89" s="231"/>
      <c r="I89" s="231"/>
      <c r="J89" s="231"/>
    </row>
    <row r="90" spans="1:10" ht="33.75" customHeight="1" x14ac:dyDescent="0.35">
      <c r="A90" s="15"/>
      <c r="B90" s="67" t="s">
        <v>206</v>
      </c>
      <c r="C90" s="67" t="s">
        <v>207</v>
      </c>
      <c r="D90" s="67" t="s">
        <v>208</v>
      </c>
      <c r="E90" s="67" t="s">
        <v>209</v>
      </c>
      <c r="F90" s="67" t="s">
        <v>210</v>
      </c>
      <c r="G90" s="67" t="s">
        <v>211</v>
      </c>
      <c r="H90" s="67" t="s">
        <v>212</v>
      </c>
      <c r="I90" s="67" t="s">
        <v>213</v>
      </c>
      <c r="J90" s="68" t="s">
        <v>256</v>
      </c>
    </row>
    <row r="91" spans="1:10" ht="27.75" customHeight="1" x14ac:dyDescent="0.35">
      <c r="A91" s="85" t="s">
        <v>257</v>
      </c>
      <c r="B91" s="86">
        <f>'SURA Cotizadores'!B53</f>
        <v>0</v>
      </c>
      <c r="C91" s="86">
        <f>'SURA Venta Digital'!B53</f>
        <v>0</v>
      </c>
      <c r="D91" s="86">
        <f>'SURA Torre Control'!B53</f>
        <v>0</v>
      </c>
      <c r="E91" s="86">
        <f>'SURA Mesa 4'!B53</f>
        <v>0</v>
      </c>
      <c r="F91" s="86">
        <f>'BCO Gioti 1'!B53</f>
        <v>0</v>
      </c>
      <c r="G91" s="86">
        <f>'BCO Gioti 2'!B53</f>
        <v>0</v>
      </c>
      <c r="H91" s="86">
        <f>'BCO Gioti 3'!B53</f>
        <v>0</v>
      </c>
      <c r="I91" s="86">
        <f>'BCO Gioti 4'!B53</f>
        <v>0</v>
      </c>
      <c r="J91" s="87">
        <f t="shared" ref="J91:J97" si="4">COUNTIF(B91:I91,"Alto")</f>
        <v>0</v>
      </c>
    </row>
    <row r="92" spans="1:10" ht="27.75" customHeight="1" x14ac:dyDescent="0.35">
      <c r="A92" s="74" t="s">
        <v>258</v>
      </c>
      <c r="B92" s="86">
        <f>'SURA Cotizadores'!B54</f>
        <v>0</v>
      </c>
      <c r="C92" s="86">
        <f>'SURA Venta Digital'!B54</f>
        <v>0</v>
      </c>
      <c r="D92" s="86">
        <f>'SURA Torre Control'!B54</f>
        <v>0</v>
      </c>
      <c r="E92" s="86">
        <f>'SURA Mesa 4'!B54</f>
        <v>0</v>
      </c>
      <c r="F92" s="86">
        <f>'BCO Gioti 1'!B54</f>
        <v>0</v>
      </c>
      <c r="G92" s="86">
        <f>'BCO Gioti 2'!B54</f>
        <v>0</v>
      </c>
      <c r="H92" s="86">
        <f>'BCO Gioti 3'!B54</f>
        <v>0</v>
      </c>
      <c r="I92" s="86">
        <f>'BCO Gioti 4'!B54</f>
        <v>0</v>
      </c>
      <c r="J92" s="87">
        <f t="shared" si="4"/>
        <v>0</v>
      </c>
    </row>
    <row r="93" spans="1:10" ht="27.75" customHeight="1" x14ac:dyDescent="0.35">
      <c r="A93" s="85" t="s">
        <v>259</v>
      </c>
      <c r="B93" s="86">
        <f>'SURA Cotizadores'!B55</f>
        <v>0</v>
      </c>
      <c r="C93" s="86">
        <f>'SURA Venta Digital'!B55</f>
        <v>0</v>
      </c>
      <c r="D93" s="86">
        <f>'SURA Torre Control'!B55</f>
        <v>0</v>
      </c>
      <c r="E93" s="86">
        <f>'SURA Mesa 4'!B55</f>
        <v>0</v>
      </c>
      <c r="F93" s="86">
        <f>'BCO Gioti 1'!B55</f>
        <v>0</v>
      </c>
      <c r="G93" s="86">
        <f>'BCO Gioti 2'!B55</f>
        <v>0</v>
      </c>
      <c r="H93" s="86">
        <f>'BCO Gioti 3'!B55</f>
        <v>0</v>
      </c>
      <c r="I93" s="86">
        <f>'BCO Gioti 4'!B55</f>
        <v>0</v>
      </c>
      <c r="J93" s="87">
        <f t="shared" si="4"/>
        <v>0</v>
      </c>
    </row>
    <row r="94" spans="1:10" ht="27.75" customHeight="1" x14ac:dyDescent="0.35">
      <c r="A94" s="88" t="s">
        <v>260</v>
      </c>
      <c r="B94" s="86">
        <f>'SURA Cotizadores'!B56</f>
        <v>0</v>
      </c>
      <c r="C94" s="86">
        <f>'SURA Venta Digital'!B56</f>
        <v>0</v>
      </c>
      <c r="D94" s="86">
        <f>'SURA Torre Control'!B56</f>
        <v>0</v>
      </c>
      <c r="E94" s="86">
        <f>'SURA Mesa 4'!B56</f>
        <v>0</v>
      </c>
      <c r="F94" s="86">
        <f>'BCO Gioti 1'!B56</f>
        <v>0</v>
      </c>
      <c r="G94" s="86">
        <f>'BCO Gioti 2'!B56</f>
        <v>0</v>
      </c>
      <c r="H94" s="86">
        <f>'BCO Gioti 3'!B56</f>
        <v>0</v>
      </c>
      <c r="I94" s="86">
        <f>'BCO Gioti 4'!B56</f>
        <v>0</v>
      </c>
      <c r="J94" s="87">
        <f t="shared" si="4"/>
        <v>0</v>
      </c>
    </row>
    <row r="95" spans="1:10" ht="27.75" customHeight="1" x14ac:dyDescent="0.35">
      <c r="A95" s="89" t="s">
        <v>261</v>
      </c>
      <c r="B95" s="86">
        <f>'SURA Cotizadores'!B57</f>
        <v>0</v>
      </c>
      <c r="C95" s="86">
        <f>'SURA Venta Digital'!B57</f>
        <v>0</v>
      </c>
      <c r="D95" s="86">
        <f>'SURA Torre Control'!B57</f>
        <v>0</v>
      </c>
      <c r="E95" s="86">
        <f>'SURA Mesa 4'!B57</f>
        <v>0</v>
      </c>
      <c r="F95" s="86">
        <f>'BCO Gioti 1'!B57</f>
        <v>0</v>
      </c>
      <c r="G95" s="86">
        <f>'BCO Gioti 2'!B57</f>
        <v>0</v>
      </c>
      <c r="H95" s="86">
        <f>'BCO Gioti 3'!B57</f>
        <v>0</v>
      </c>
      <c r="I95" s="86">
        <f>'BCO Gioti 4'!B57</f>
        <v>0</v>
      </c>
      <c r="J95" s="87">
        <f t="shared" si="4"/>
        <v>0</v>
      </c>
    </row>
    <row r="96" spans="1:10" ht="27.75" customHeight="1" x14ac:dyDescent="0.35">
      <c r="A96" s="90" t="s">
        <v>262</v>
      </c>
      <c r="B96" s="86">
        <f>'SURA Cotizadores'!B58</f>
        <v>0</v>
      </c>
      <c r="C96" s="86">
        <f>'SURA Venta Digital'!B58</f>
        <v>0</v>
      </c>
      <c r="D96" s="86">
        <f>'SURA Torre Control'!B58</f>
        <v>0</v>
      </c>
      <c r="E96" s="86">
        <f>'SURA Mesa 4'!B58</f>
        <v>0</v>
      </c>
      <c r="F96" s="86">
        <f>'BCO Gioti 1'!B58</f>
        <v>0</v>
      </c>
      <c r="G96" s="86">
        <f>'BCO Gioti 2'!B58</f>
        <v>0</v>
      </c>
      <c r="H96" s="86">
        <f>'BCO Gioti 3'!B58</f>
        <v>0</v>
      </c>
      <c r="I96" s="86">
        <f>'BCO Gioti 4'!B58</f>
        <v>0</v>
      </c>
      <c r="J96" s="87">
        <f t="shared" si="4"/>
        <v>0</v>
      </c>
    </row>
    <row r="97" spans="1:20" ht="27.75" customHeight="1" x14ac:dyDescent="0.35">
      <c r="A97" s="91" t="s">
        <v>263</v>
      </c>
      <c r="B97" s="86">
        <f>'SURA Cotizadores'!B59</f>
        <v>0</v>
      </c>
      <c r="C97" s="86">
        <f>'SURA Venta Digital'!B59</f>
        <v>0</v>
      </c>
      <c r="D97" s="86">
        <f>'SURA Torre Control'!B59</f>
        <v>0</v>
      </c>
      <c r="E97" s="86">
        <f>'SURA Mesa 4'!B59</f>
        <v>0</v>
      </c>
      <c r="F97" s="86">
        <f>'BCO Gioti 1'!B59</f>
        <v>0</v>
      </c>
      <c r="G97" s="86">
        <f>'BCO Gioti 2'!B59</f>
        <v>0</v>
      </c>
      <c r="H97" s="86">
        <f>'BCO Gioti 3'!B59</f>
        <v>0</v>
      </c>
      <c r="I97" s="86">
        <f>'BCO Gioti 4'!B59</f>
        <v>0</v>
      </c>
      <c r="J97" s="87">
        <f t="shared" si="4"/>
        <v>0</v>
      </c>
    </row>
    <row r="99" spans="1:20" ht="15" customHeight="1" x14ac:dyDescent="0.35">
      <c r="L99" t="s">
        <v>264</v>
      </c>
      <c r="M99" t="s">
        <v>257</v>
      </c>
      <c r="N99" t="s">
        <v>258</v>
      </c>
      <c r="O99" t="s">
        <v>259</v>
      </c>
      <c r="P99" t="s">
        <v>260</v>
      </c>
      <c r="Q99" t="s">
        <v>261</v>
      </c>
      <c r="R99" t="s">
        <v>262</v>
      </c>
      <c r="S99" t="s">
        <v>263</v>
      </c>
    </row>
    <row r="100" spans="1:20" ht="15" customHeight="1" x14ac:dyDescent="0.35">
      <c r="L100" t="s">
        <v>265</v>
      </c>
      <c r="M100">
        <f t="shared" ref="M100:T100" si="5">COUNTIF(B91:B97,"Alto")</f>
        <v>0</v>
      </c>
      <c r="N100">
        <f t="shared" si="5"/>
        <v>0</v>
      </c>
      <c r="O100">
        <f t="shared" si="5"/>
        <v>0</v>
      </c>
      <c r="P100">
        <f t="shared" si="5"/>
        <v>0</v>
      </c>
      <c r="Q100">
        <f t="shared" si="5"/>
        <v>0</v>
      </c>
      <c r="R100">
        <f t="shared" si="5"/>
        <v>0</v>
      </c>
      <c r="S100">
        <f t="shared" si="5"/>
        <v>0</v>
      </c>
      <c r="T100">
        <f t="shared" si="5"/>
        <v>0</v>
      </c>
    </row>
    <row r="102" spans="1:20" ht="21.75" customHeight="1" x14ac:dyDescent="0.35">
      <c r="A102" s="232" t="s">
        <v>266</v>
      </c>
      <c r="B102" s="232"/>
      <c r="C102" s="232"/>
      <c r="D102" s="232"/>
      <c r="E102" s="232"/>
      <c r="F102" s="232"/>
      <c r="G102" s="232"/>
      <c r="H102" s="232"/>
      <c r="I102" s="232"/>
      <c r="J102" s="232"/>
    </row>
    <row r="103" spans="1:20" ht="15.75" customHeight="1" x14ac:dyDescent="0.35">
      <c r="A103" s="233" t="s">
        <v>267</v>
      </c>
      <c r="B103" s="233"/>
      <c r="C103" s="233"/>
      <c r="D103" s="233"/>
      <c r="E103" s="233"/>
      <c r="F103" s="233"/>
      <c r="G103" s="233"/>
      <c r="H103" s="233"/>
      <c r="I103" s="233"/>
      <c r="J103" s="233"/>
    </row>
    <row r="104" spans="1:20" ht="19.5" customHeight="1" x14ac:dyDescent="0.35">
      <c r="A104" s="92" t="s">
        <v>268</v>
      </c>
      <c r="B104" s="234" t="s">
        <v>269</v>
      </c>
      <c r="C104" s="234"/>
      <c r="D104" s="234"/>
      <c r="E104" s="234"/>
      <c r="F104" s="234"/>
      <c r="G104" s="234"/>
      <c r="H104" s="234"/>
      <c r="I104" s="234"/>
      <c r="J104" s="234"/>
    </row>
    <row r="105" spans="1:20" ht="18" customHeight="1" x14ac:dyDescent="0.35">
      <c r="A105" s="93" t="s">
        <v>133</v>
      </c>
      <c r="B105" s="235">
        <f>COUNTIF('SURA Cotizadores'!B68,"Salario insuficiente") + COUNTIF('SURA Venta Digital'!B68,"Salario insuficiente") + COUNTIF('SURA Torre Control'!B68,"Salario insuficiente") + COUNTIF('SURA Mesa 4'!B68,"Salario insuficiente") + COUNTIF('BCO Gioti 1'!B68,"Salario insuficiente") + COUNTIF('BCO Gioti 2'!B68,"Salario insuficiente") + COUNTIF('BCO Gioti 3'!B68,"Salario insuficiente") + COUNTIF('BCO Gioti 4'!B68,"Salario insuficiente")</f>
        <v>0</v>
      </c>
      <c r="C105" s="235"/>
      <c r="D105" s="235"/>
      <c r="E105" s="235"/>
      <c r="F105" s="235"/>
      <c r="G105" s="235"/>
      <c r="H105" s="235"/>
      <c r="I105" s="235"/>
      <c r="J105" s="235"/>
    </row>
    <row r="106" spans="1:20" ht="18" customHeight="1" x14ac:dyDescent="0.35">
      <c r="A106" s="94" t="s">
        <v>154</v>
      </c>
      <c r="B106" s="236">
        <f>COUNTIF('SURA Cotizadores'!B68,"Falta de crecimiento") + COUNTIF('SURA Venta Digital'!B68,"Falta de crecimiento") + COUNTIF('SURA Torre Control'!B68,"Falta de crecimiento") + COUNTIF('SURA Mesa 4'!B68,"Falta de crecimiento") + COUNTIF('BCO Gioti 1'!B68,"Falta de crecimiento") + COUNTIF('BCO Gioti 2'!B68,"Falta de crecimiento") + COUNTIF('BCO Gioti 3'!B68,"Falta de crecimiento") + COUNTIF('BCO Gioti 4'!B68,"Falta de crecimiento")</f>
        <v>0</v>
      </c>
      <c r="C106" s="236"/>
      <c r="D106" s="236"/>
      <c r="E106" s="236"/>
      <c r="F106" s="236"/>
      <c r="G106" s="236"/>
      <c r="H106" s="236"/>
      <c r="I106" s="236"/>
      <c r="J106" s="236"/>
    </row>
    <row r="107" spans="1:20" ht="18" customHeight="1" x14ac:dyDescent="0.35">
      <c r="A107" s="93" t="s">
        <v>170</v>
      </c>
      <c r="B107" s="235">
        <f>COUNTIF('SURA Cotizadores'!B68,"Carga alta / burnout") + COUNTIF('SURA Venta Digital'!B68,"Carga alta / burnout") + COUNTIF('SURA Torre Control'!B68,"Carga alta / burnout") + COUNTIF('SURA Mesa 4'!B68,"Carga alta / burnout") + COUNTIF('BCO Gioti 1'!B68,"Carga alta / burnout") + COUNTIF('BCO Gioti 2'!B68,"Carga alta / burnout") + COUNTIF('BCO Gioti 3'!B68,"Carga alta / burnout") + COUNTIF('BCO Gioti 4'!B68,"Carga alta / burnout")</f>
        <v>0</v>
      </c>
      <c r="C107" s="235"/>
      <c r="D107" s="235"/>
      <c r="E107" s="235"/>
      <c r="F107" s="235"/>
      <c r="G107" s="235"/>
      <c r="H107" s="235"/>
      <c r="I107" s="235"/>
      <c r="J107" s="235"/>
    </row>
    <row r="108" spans="1:20" ht="18" customHeight="1" x14ac:dyDescent="0.35">
      <c r="A108" s="94" t="s">
        <v>174</v>
      </c>
      <c r="B108" s="236">
        <f>COUNTIF('SURA Cotizadores'!B68,"Conflicto con cliente") + COUNTIF('SURA Venta Digital'!B68,"Conflicto con cliente") + COUNTIF('SURA Torre Control'!B68,"Conflicto con cliente") + COUNTIF('SURA Mesa 4'!B68,"Conflicto con cliente") + COUNTIF('BCO Gioti 1'!B68,"Conflicto con cliente") + COUNTIF('BCO Gioti 2'!B68,"Conflicto con cliente") + COUNTIF('BCO Gioti 3'!B68,"Conflicto con cliente") + COUNTIF('BCO Gioti 4'!B68,"Conflicto con cliente")</f>
        <v>0</v>
      </c>
      <c r="C108" s="236"/>
      <c r="D108" s="236"/>
      <c r="E108" s="236"/>
      <c r="F108" s="236"/>
      <c r="G108" s="236"/>
      <c r="H108" s="236"/>
      <c r="I108" s="236"/>
      <c r="J108" s="236"/>
    </row>
    <row r="109" spans="1:20" ht="18" customHeight="1" x14ac:dyDescent="0.35">
      <c r="A109" s="93" t="s">
        <v>189</v>
      </c>
      <c r="B109" s="235">
        <f>COUNTIF('SURA Cotizadores'!B68,"Oferta mejor empresa") + COUNTIF('SURA Venta Digital'!B68,"Oferta mejor empresa") + COUNTIF('SURA Torre Control'!B68,"Oferta mejor empresa") + COUNTIF('SURA Mesa 4'!B68,"Oferta mejor empresa") + COUNTIF('BCO Gioti 1'!B68,"Oferta mejor empresa") + COUNTIF('BCO Gioti 2'!B68,"Oferta mejor empresa") + COUNTIF('BCO Gioti 3'!B68,"Oferta mejor empresa") + COUNTIF('BCO Gioti 4'!B68,"Oferta mejor empresa")</f>
        <v>0</v>
      </c>
      <c r="C109" s="235"/>
      <c r="D109" s="235"/>
      <c r="E109" s="235"/>
      <c r="F109" s="235"/>
      <c r="G109" s="235"/>
      <c r="H109" s="235"/>
      <c r="I109" s="235"/>
      <c r="J109" s="235"/>
    </row>
    <row r="110" spans="1:20" ht="18" customHeight="1" x14ac:dyDescent="0.35">
      <c r="A110" s="94" t="s">
        <v>195</v>
      </c>
      <c r="B110" s="236">
        <f>COUNTIF('SURA Cotizadores'!B68,"Proyecto cerrado / reducción") + COUNTIF('SURA Venta Digital'!B68,"Proyecto cerrado / reducción") + COUNTIF('SURA Torre Control'!B68,"Proyecto cerrado / reducción") + COUNTIF('SURA Mesa 4'!B68,"Proyecto cerrado / reducción") + COUNTIF('BCO Gioti 1'!B68,"Proyecto cerrado / reducción") + COUNTIF('BCO Gioti 2'!B68,"Proyecto cerrado / reducción") + COUNTIF('BCO Gioti 3'!B68,"Proyecto cerrado / reducción") + COUNTIF('BCO Gioti 4'!B68,"Proyecto cerrado / reducción")</f>
        <v>0</v>
      </c>
      <c r="C110" s="236"/>
      <c r="D110" s="236"/>
      <c r="E110" s="236"/>
      <c r="F110" s="236"/>
      <c r="G110" s="236"/>
      <c r="H110" s="236"/>
      <c r="I110" s="236"/>
      <c r="J110" s="236"/>
    </row>
    <row r="111" spans="1:20" ht="18" customHeight="1" x14ac:dyDescent="0.35">
      <c r="A111" s="93" t="s">
        <v>183</v>
      </c>
      <c r="B111" s="235">
        <f>COUNTIF('SURA Cotizadores'!B68,"Otro") + COUNTIF('SURA Venta Digital'!B68,"Otro") + COUNTIF('SURA Torre Control'!B68,"Otro") + COUNTIF('SURA Mesa 4'!B68,"Otro") + COUNTIF('BCO Gioti 1'!B68,"Otro") + COUNTIF('BCO Gioti 2'!B68,"Otro") + COUNTIF('BCO Gioti 3'!B68,"Otro") + COUNTIF('BCO Gioti 4'!B68,"Otro")</f>
        <v>0</v>
      </c>
      <c r="C111" s="235"/>
      <c r="D111" s="235"/>
      <c r="E111" s="235"/>
      <c r="F111" s="235"/>
      <c r="G111" s="235"/>
      <c r="H111" s="235"/>
      <c r="I111" s="235"/>
      <c r="J111" s="235"/>
    </row>
    <row r="113" spans="1:10" ht="21.75" customHeight="1" x14ac:dyDescent="0.35">
      <c r="A113" s="237" t="s">
        <v>270</v>
      </c>
      <c r="B113" s="237"/>
      <c r="C113" s="237"/>
      <c r="D113" s="237"/>
      <c r="E113" s="237"/>
      <c r="F113" s="237"/>
      <c r="G113" s="237"/>
      <c r="H113" s="237"/>
      <c r="I113" s="237"/>
      <c r="J113" s="237"/>
    </row>
    <row r="114" spans="1:10" ht="19.5" customHeight="1" x14ac:dyDescent="0.35">
      <c r="A114" s="92"/>
      <c r="B114" s="92" t="s">
        <v>271</v>
      </c>
      <c r="C114" s="92" t="s">
        <v>272</v>
      </c>
      <c r="D114" s="92" t="s">
        <v>273</v>
      </c>
      <c r="E114" s="92" t="s">
        <v>209</v>
      </c>
      <c r="F114" s="92" t="s">
        <v>210</v>
      </c>
      <c r="G114" s="92" t="s">
        <v>211</v>
      </c>
      <c r="H114" s="92" t="s">
        <v>212</v>
      </c>
      <c r="I114" s="92" t="s">
        <v>213</v>
      </c>
    </row>
    <row r="115" spans="1:10" ht="24" customHeight="1" x14ac:dyDescent="0.35">
      <c r="A115" s="93" t="s">
        <v>274</v>
      </c>
      <c r="B115" s="93" t="str">
        <f>'SURA Cotizadores'!A60</f>
        <v>Dolor adicional #1 (si aplica):</v>
      </c>
      <c r="C115" s="93" t="str">
        <f>'SURA Venta Digital'!A60</f>
        <v>Dolor adicional #1 (si aplica):</v>
      </c>
      <c r="D115" s="93" t="str">
        <f>'SURA Torre Control'!A60</f>
        <v>Dolor adicional #1 (si aplica):</v>
      </c>
      <c r="E115" s="93" t="str">
        <f>'SURA Mesa 4'!A60</f>
        <v>Dolor adicional #1 (si aplica):</v>
      </c>
      <c r="F115" s="93" t="str">
        <f>'BCO Gioti 1'!A60</f>
        <v>Dolor adicional #1 (si aplica):</v>
      </c>
      <c r="G115" s="93" t="str">
        <f>'BCO Gioti 2'!A60</f>
        <v>Dolor adicional #1 (si aplica):</v>
      </c>
      <c r="H115" s="93" t="str">
        <f>'BCO Gioti 3'!A60</f>
        <v>Dolor adicional #1 (si aplica):</v>
      </c>
      <c r="I115" s="93" t="str">
        <f>'BCO Gioti 4'!A60</f>
        <v>Dolor adicional #1 (si aplica):</v>
      </c>
    </row>
    <row r="116" spans="1:10" ht="24" customHeight="1" x14ac:dyDescent="0.35">
      <c r="A116" s="94" t="s">
        <v>275</v>
      </c>
      <c r="B116" s="94" t="str">
        <f>'SURA Cotizadores'!A61</f>
        <v>Dolor adicional #2 (si aplica):</v>
      </c>
      <c r="C116" s="94" t="str">
        <f>'SURA Venta Digital'!A61</f>
        <v>Dolor adicional #2 (si aplica):</v>
      </c>
      <c r="D116" s="94" t="str">
        <f>'SURA Torre Control'!A61</f>
        <v>Dolor adicional #2 (si aplica):</v>
      </c>
      <c r="E116" s="94" t="str">
        <f>'SURA Mesa 4'!A61</f>
        <v>Dolor adicional #2 (si aplica):</v>
      </c>
      <c r="F116" s="94" t="str">
        <f>'BCO Gioti 1'!A61</f>
        <v>Dolor adicional #2 (si aplica):</v>
      </c>
      <c r="G116" s="94" t="str">
        <f>'BCO Gioti 2'!A61</f>
        <v>Dolor adicional #2 (si aplica):</v>
      </c>
      <c r="H116" s="94" t="str">
        <f>'BCO Gioti 3'!A61</f>
        <v>Dolor adicional #2 (si aplica):</v>
      </c>
      <c r="I116" s="94" t="str">
        <f>'BCO Gioti 4'!A61</f>
        <v>Dolor adicional #2 (si aplica):</v>
      </c>
    </row>
    <row r="117" spans="1:10" ht="24" customHeight="1" x14ac:dyDescent="0.35">
      <c r="A117" s="93" t="s">
        <v>276</v>
      </c>
      <c r="B117" s="93" t="str">
        <f>'SURA Cotizadores'!A62</f>
        <v>Dolor adicional #3 (si aplica):</v>
      </c>
      <c r="C117" s="93" t="str">
        <f>'SURA Venta Digital'!A62</f>
        <v>Dolor adicional #3 (si aplica):</v>
      </c>
      <c r="D117" s="93" t="str">
        <f>'SURA Torre Control'!A62</f>
        <v>Dolor adicional #3 (si aplica):</v>
      </c>
      <c r="E117" s="93" t="str">
        <f>'SURA Mesa 4'!A62</f>
        <v>Dolor adicional #3 (si aplica):</v>
      </c>
      <c r="F117" s="93" t="str">
        <f>'BCO Gioti 1'!A62</f>
        <v>Dolor adicional #3 (si aplica):</v>
      </c>
      <c r="G117" s="93" t="str">
        <f>'BCO Gioti 2'!A62</f>
        <v>Dolor adicional #3 (si aplica):</v>
      </c>
      <c r="H117" s="93" t="str">
        <f>'BCO Gioti 3'!A62</f>
        <v>Dolor adicional #3 (si aplica):</v>
      </c>
      <c r="I117" s="93" t="str">
        <f>'BCO Gioti 4'!A62</f>
        <v>Dolor adicional #3 (si aplica):</v>
      </c>
    </row>
    <row r="118" spans="1:10" ht="24" customHeight="1" x14ac:dyDescent="0.35">
      <c r="A118" s="94" t="s">
        <v>277</v>
      </c>
      <c r="B118" s="94" t="str">
        <f>'SURA Cotizadores'!A63</f>
        <v>Dolor adicional #4 (si aplica):</v>
      </c>
      <c r="C118" s="94" t="str">
        <f>'SURA Venta Digital'!A63</f>
        <v>Dolor adicional #4 (si aplica):</v>
      </c>
      <c r="D118" s="94" t="str">
        <f>'SURA Torre Control'!A63</f>
        <v>Dolor adicional #4 (si aplica):</v>
      </c>
      <c r="E118" s="94" t="str">
        <f>'SURA Mesa 4'!A63</f>
        <v>Dolor adicional #4 (si aplica):</v>
      </c>
      <c r="F118" s="94" t="str">
        <f>'BCO Gioti 1'!A63</f>
        <v>Dolor adicional #4 (si aplica):</v>
      </c>
      <c r="G118" s="94" t="str">
        <f>'BCO Gioti 2'!A63</f>
        <v>Dolor adicional #4 (si aplica):</v>
      </c>
      <c r="H118" s="94" t="str">
        <f>'BCO Gioti 3'!A63</f>
        <v>Dolor adicional #4 (si aplica):</v>
      </c>
      <c r="I118" s="94" t="str">
        <f>'BCO Gioti 4'!A63</f>
        <v>Dolor adicional #4 (si aplica):</v>
      </c>
    </row>
    <row r="119" spans="1:10" ht="24" customHeight="1" x14ac:dyDescent="0.35">
      <c r="A119" s="93" t="s">
        <v>278</v>
      </c>
      <c r="B119" s="93" t="str">
        <f>'SURA Cotizadores'!A64</f>
        <v>Dolor adicional #5 (si aplica):</v>
      </c>
      <c r="C119" s="93" t="str">
        <f>'SURA Venta Digital'!A64</f>
        <v>Dolor adicional #5 (si aplica):</v>
      </c>
      <c r="D119" s="93" t="str">
        <f>'SURA Torre Control'!A64</f>
        <v>Dolor adicional #5 (si aplica):</v>
      </c>
      <c r="E119" s="93" t="str">
        <f>'SURA Mesa 4'!A64</f>
        <v>Dolor adicional #5 (si aplica):</v>
      </c>
      <c r="F119" s="93" t="str">
        <f>'BCO Gioti 1'!A64</f>
        <v>Dolor adicional #5 (si aplica):</v>
      </c>
      <c r="G119" s="93" t="str">
        <f>'BCO Gioti 2'!A64</f>
        <v>Dolor adicional #5 (si aplica):</v>
      </c>
      <c r="H119" s="93" t="str">
        <f>'BCO Gioti 3'!A64</f>
        <v>Dolor adicional #5 (si aplica):</v>
      </c>
      <c r="I119" s="93" t="str">
        <f>'BCO Gioti 4'!A64</f>
        <v>Dolor adicional #5 (si aplica):</v>
      </c>
    </row>
    <row r="124" spans="1:10" ht="24" customHeight="1" x14ac:dyDescent="0.35">
      <c r="A124" s="238" t="s">
        <v>279</v>
      </c>
      <c r="B124" s="238"/>
      <c r="C124" s="238"/>
      <c r="D124" s="238"/>
      <c r="E124" s="238"/>
      <c r="F124" s="238"/>
      <c r="G124" s="238"/>
      <c r="H124" s="238"/>
      <c r="I124" s="238"/>
      <c r="J124" s="238"/>
    </row>
    <row r="125" spans="1:10" ht="33.75" customHeight="1" x14ac:dyDescent="0.35">
      <c r="A125" s="15"/>
      <c r="B125" s="67" t="s">
        <v>206</v>
      </c>
      <c r="C125" s="67" t="s">
        <v>207</v>
      </c>
      <c r="D125" s="67" t="s">
        <v>208</v>
      </c>
      <c r="E125" s="67" t="s">
        <v>209</v>
      </c>
      <c r="F125" s="67" t="s">
        <v>210</v>
      </c>
      <c r="G125" s="67" t="s">
        <v>211</v>
      </c>
      <c r="H125" s="67" t="s">
        <v>212</v>
      </c>
      <c r="I125" s="67" t="s">
        <v>213</v>
      </c>
    </row>
    <row r="126" spans="1:10" ht="25.5" customHeight="1" x14ac:dyDescent="0.35">
      <c r="A126" s="61" t="s">
        <v>280</v>
      </c>
      <c r="B126" s="95">
        <f>'SURA Cotizadores'!B67</f>
        <v>0</v>
      </c>
      <c r="C126" s="95">
        <f>'SURA Venta Digital'!B67</f>
        <v>0</v>
      </c>
      <c r="D126" s="95">
        <f>'SURA Torre Control'!B67</f>
        <v>0</v>
      </c>
      <c r="E126" s="95">
        <f>'SURA Mesa 4'!B67</f>
        <v>0</v>
      </c>
      <c r="F126" s="95">
        <f>'BCO Gioti 1'!B67</f>
        <v>0</v>
      </c>
      <c r="G126" s="95">
        <f>'BCO Gioti 2'!B67</f>
        <v>0</v>
      </c>
      <c r="H126" s="95">
        <f>'BCO Gioti 3'!B67</f>
        <v>0</v>
      </c>
      <c r="I126" s="95">
        <f>'BCO Gioti 4'!B67</f>
        <v>0</v>
      </c>
    </row>
    <row r="127" spans="1:10" ht="25.5" customHeight="1" x14ac:dyDescent="0.35">
      <c r="A127" s="61" t="s">
        <v>281</v>
      </c>
      <c r="B127" s="95">
        <f>'SURA Cotizadores'!B68</f>
        <v>0</v>
      </c>
      <c r="C127" s="95">
        <f>'SURA Venta Digital'!B68</f>
        <v>0</v>
      </c>
      <c r="D127" s="95">
        <f>'SURA Torre Control'!B68</f>
        <v>0</v>
      </c>
      <c r="E127" s="95">
        <f>'SURA Mesa 4'!B68</f>
        <v>0</v>
      </c>
      <c r="F127" s="95">
        <f>'BCO Gioti 1'!B68</f>
        <v>0</v>
      </c>
      <c r="G127" s="95">
        <f>'BCO Gioti 2'!B68</f>
        <v>0</v>
      </c>
      <c r="H127" s="95">
        <f>'BCO Gioti 3'!B68</f>
        <v>0</v>
      </c>
      <c r="I127" s="95">
        <f>'BCO Gioti 4'!B68</f>
        <v>0</v>
      </c>
    </row>
    <row r="128" spans="1:10" ht="25.5" customHeight="1" x14ac:dyDescent="0.35">
      <c r="A128" s="61" t="s">
        <v>282</v>
      </c>
      <c r="B128" s="95">
        <f>'SURA Cotizadores'!B69</f>
        <v>0</v>
      </c>
      <c r="C128" s="95">
        <f>'SURA Venta Digital'!B69</f>
        <v>0</v>
      </c>
      <c r="D128" s="95">
        <f>'SURA Torre Control'!B69</f>
        <v>0</v>
      </c>
      <c r="E128" s="95">
        <f>'SURA Mesa 4'!B69</f>
        <v>0</v>
      </c>
      <c r="F128" s="95">
        <f>'BCO Gioti 1'!B69</f>
        <v>0</v>
      </c>
      <c r="G128" s="95">
        <f>'BCO Gioti 2'!B69</f>
        <v>0</v>
      </c>
      <c r="H128" s="95">
        <f>'BCO Gioti 3'!B69</f>
        <v>0</v>
      </c>
      <c r="I128" s="95">
        <f>'BCO Gioti 4'!B69</f>
        <v>0</v>
      </c>
    </row>
    <row r="129" spans="1:10" ht="25.5" customHeight="1" x14ac:dyDescent="0.35">
      <c r="A129" s="61" t="s">
        <v>283</v>
      </c>
      <c r="B129" s="95">
        <f>'SURA Cotizadores'!B70</f>
        <v>0</v>
      </c>
      <c r="C129" s="95">
        <f>'SURA Venta Digital'!B70</f>
        <v>0</v>
      </c>
      <c r="D129" s="95">
        <f>'SURA Torre Control'!B70</f>
        <v>0</v>
      </c>
      <c r="E129" s="95">
        <f>'SURA Mesa 4'!B70</f>
        <v>0</v>
      </c>
      <c r="F129" s="95">
        <f>'BCO Gioti 1'!B70</f>
        <v>0</v>
      </c>
      <c r="G129" s="95">
        <f>'BCO Gioti 2'!B70</f>
        <v>0</v>
      </c>
      <c r="H129" s="95">
        <f>'BCO Gioti 3'!B70</f>
        <v>0</v>
      </c>
      <c r="I129" s="95">
        <f>'BCO Gioti 4'!B70</f>
        <v>0</v>
      </c>
    </row>
    <row r="130" spans="1:10" ht="25.5" customHeight="1" x14ac:dyDescent="0.35">
      <c r="A130" s="61" t="s">
        <v>284</v>
      </c>
      <c r="B130" s="95">
        <f>'SURA Cotizadores'!B71</f>
        <v>0</v>
      </c>
      <c r="C130" s="95">
        <f>'SURA Venta Digital'!B71</f>
        <v>0</v>
      </c>
      <c r="D130" s="95">
        <f>'SURA Torre Control'!B71</f>
        <v>0</v>
      </c>
      <c r="E130" s="95">
        <f>'SURA Mesa 4'!B71</f>
        <v>0</v>
      </c>
      <c r="F130" s="95">
        <f>'BCO Gioti 1'!B71</f>
        <v>0</v>
      </c>
      <c r="G130" s="95">
        <f>'BCO Gioti 2'!B71</f>
        <v>0</v>
      </c>
      <c r="H130" s="95">
        <f>'BCO Gioti 3'!B71</f>
        <v>0</v>
      </c>
      <c r="I130" s="95">
        <f>'BCO Gioti 4'!B71</f>
        <v>0</v>
      </c>
    </row>
    <row r="131" spans="1:10" ht="25.5" customHeight="1" x14ac:dyDescent="0.35">
      <c r="A131" s="61" t="s">
        <v>285</v>
      </c>
      <c r="B131" s="95">
        <f>'SURA Cotizadores'!B72</f>
        <v>0</v>
      </c>
      <c r="C131" s="95">
        <f>'SURA Venta Digital'!B72</f>
        <v>0</v>
      </c>
      <c r="D131" s="95">
        <f>'SURA Torre Control'!B72</f>
        <v>0</v>
      </c>
      <c r="E131" s="95">
        <f>'SURA Mesa 4'!B72</f>
        <v>0</v>
      </c>
      <c r="F131" s="95">
        <f>'BCO Gioti 1'!B72</f>
        <v>0</v>
      </c>
      <c r="G131" s="95">
        <f>'BCO Gioti 2'!B72</f>
        <v>0</v>
      </c>
      <c r="H131" s="95">
        <f>'BCO Gioti 3'!B72</f>
        <v>0</v>
      </c>
      <c r="I131" s="95">
        <f>'BCO Gioti 4'!B72</f>
        <v>0</v>
      </c>
    </row>
    <row r="133" spans="1:10" ht="24" customHeight="1" x14ac:dyDescent="0.35">
      <c r="A133" s="239" t="s">
        <v>286</v>
      </c>
      <c r="B133" s="239"/>
      <c r="C133" s="239"/>
      <c r="D133" s="239"/>
      <c r="E133" s="239"/>
      <c r="F133" s="239"/>
      <c r="G133" s="239"/>
      <c r="H133" s="239"/>
      <c r="I133" s="239"/>
      <c r="J133" s="239"/>
    </row>
    <row r="134" spans="1:10" ht="18" customHeight="1" x14ac:dyDescent="0.35">
      <c r="A134" s="240" t="s">
        <v>287</v>
      </c>
      <c r="B134" s="240"/>
      <c r="C134" s="240"/>
      <c r="D134" s="240"/>
      <c r="E134" s="240"/>
      <c r="F134" s="240"/>
      <c r="G134" s="240"/>
      <c r="H134" s="240"/>
      <c r="I134" s="240"/>
      <c r="J134" s="240"/>
    </row>
    <row r="135" spans="1:10" ht="36" customHeight="1" x14ac:dyDescent="0.35">
      <c r="A135" s="96" t="s">
        <v>288</v>
      </c>
      <c r="B135" s="241"/>
      <c r="C135" s="241"/>
      <c r="D135" s="241"/>
      <c r="E135" s="241"/>
      <c r="F135" s="241"/>
      <c r="G135" s="241"/>
      <c r="H135" s="241"/>
      <c r="I135" s="241"/>
      <c r="J135" s="241"/>
    </row>
    <row r="136" spans="1:10" ht="36" customHeight="1" x14ac:dyDescent="0.35">
      <c r="A136" s="96" t="s">
        <v>289</v>
      </c>
      <c r="B136" s="241"/>
      <c r="C136" s="241"/>
      <c r="D136" s="241"/>
      <c r="E136" s="241"/>
      <c r="F136" s="241"/>
      <c r="G136" s="241"/>
      <c r="H136" s="241"/>
      <c r="I136" s="241"/>
      <c r="J136" s="241"/>
    </row>
    <row r="137" spans="1:10" ht="36" customHeight="1" x14ac:dyDescent="0.35">
      <c r="A137" s="96" t="s">
        <v>290</v>
      </c>
      <c r="B137" s="241"/>
      <c r="C137" s="241"/>
      <c r="D137" s="241"/>
      <c r="E137" s="241"/>
      <c r="F137" s="241"/>
      <c r="G137" s="241"/>
      <c r="H137" s="241"/>
      <c r="I137" s="241"/>
      <c r="J137" s="241"/>
    </row>
    <row r="138" spans="1:10" ht="36" customHeight="1" x14ac:dyDescent="0.35">
      <c r="A138" s="96" t="s">
        <v>291</v>
      </c>
      <c r="B138" s="241"/>
      <c r="C138" s="241"/>
      <c r="D138" s="241"/>
      <c r="E138" s="241"/>
      <c r="F138" s="241"/>
      <c r="G138" s="241"/>
      <c r="H138" s="241"/>
      <c r="I138" s="241"/>
      <c r="J138" s="241"/>
    </row>
    <row r="139" spans="1:10" ht="36" customHeight="1" x14ac:dyDescent="0.35">
      <c r="A139" s="96" t="s">
        <v>292</v>
      </c>
      <c r="B139" s="241"/>
      <c r="C139" s="241"/>
      <c r="D139" s="241"/>
      <c r="E139" s="241"/>
      <c r="F139" s="241"/>
      <c r="G139" s="241"/>
      <c r="H139" s="241"/>
      <c r="I139" s="241"/>
      <c r="J139" s="241"/>
    </row>
    <row r="141" spans="1:10" ht="21.75" customHeight="1" x14ac:dyDescent="0.35">
      <c r="A141" s="242" t="s">
        <v>293</v>
      </c>
      <c r="B141" s="242"/>
      <c r="C141" s="242"/>
      <c r="D141" s="242"/>
      <c r="E141" s="242"/>
      <c r="F141" s="242"/>
      <c r="G141" s="242"/>
      <c r="H141" s="242"/>
      <c r="I141" s="242"/>
      <c r="J141" s="242"/>
    </row>
    <row r="142" spans="1:10" ht="21.75" customHeight="1" x14ac:dyDescent="0.35">
      <c r="A142" s="17" t="s">
        <v>92</v>
      </c>
      <c r="B142" s="243" t="s">
        <v>294</v>
      </c>
      <c r="C142" s="243"/>
      <c r="D142" s="243"/>
      <c r="E142" s="243"/>
      <c r="F142" s="243"/>
      <c r="G142" s="243"/>
      <c r="H142" s="243"/>
      <c r="I142" s="243"/>
      <c r="J142" s="243"/>
    </row>
    <row r="143" spans="1:10" ht="21.75" customHeight="1" x14ac:dyDescent="0.35">
      <c r="A143" s="20" t="s">
        <v>113</v>
      </c>
      <c r="B143" s="244" t="s">
        <v>295</v>
      </c>
      <c r="C143" s="244"/>
      <c r="D143" s="244"/>
      <c r="E143" s="244"/>
      <c r="F143" s="244"/>
      <c r="G143" s="244"/>
      <c r="H143" s="244"/>
      <c r="I143" s="244"/>
      <c r="J143" s="244"/>
    </row>
    <row r="144" spans="1:10" ht="21.75" customHeight="1" x14ac:dyDescent="0.35">
      <c r="A144" s="23" t="s">
        <v>134</v>
      </c>
      <c r="B144" s="245" t="s">
        <v>296</v>
      </c>
      <c r="C144" s="245"/>
      <c r="D144" s="245"/>
      <c r="E144" s="245"/>
      <c r="F144" s="245"/>
      <c r="G144" s="245"/>
      <c r="H144" s="245"/>
      <c r="I144" s="245"/>
      <c r="J144" s="245"/>
    </row>
    <row r="145" spans="1:10" ht="21.75" customHeight="1" x14ac:dyDescent="0.35">
      <c r="A145" s="26" t="s">
        <v>297</v>
      </c>
      <c r="B145" s="246" t="s">
        <v>298</v>
      </c>
      <c r="C145" s="246"/>
      <c r="D145" s="246"/>
      <c r="E145" s="246"/>
      <c r="F145" s="246"/>
      <c r="G145" s="246"/>
      <c r="H145" s="246"/>
      <c r="I145" s="246"/>
      <c r="J145" s="246"/>
    </row>
    <row r="146" spans="1:10" ht="21.75" customHeight="1" x14ac:dyDescent="0.35">
      <c r="A146" s="29" t="s">
        <v>21</v>
      </c>
      <c r="B146" s="247" t="s">
        <v>299</v>
      </c>
      <c r="C146" s="247"/>
      <c r="D146" s="247"/>
      <c r="E146" s="247"/>
      <c r="F146" s="247"/>
      <c r="G146" s="247"/>
      <c r="H146" s="247"/>
      <c r="I146" s="247"/>
      <c r="J146" s="247"/>
    </row>
    <row r="147" spans="1:10" ht="21.75" customHeight="1" x14ac:dyDescent="0.35">
      <c r="A147" s="32" t="s">
        <v>24</v>
      </c>
      <c r="B147" s="248" t="s">
        <v>300</v>
      </c>
      <c r="C147" s="248"/>
      <c r="D147" s="248"/>
      <c r="E147" s="248"/>
      <c r="F147" s="248"/>
      <c r="G147" s="248"/>
      <c r="H147" s="248"/>
      <c r="I147" s="248"/>
      <c r="J147" s="248"/>
    </row>
  </sheetData>
  <mergeCells count="38">
    <mergeCell ref="B145:J145"/>
    <mergeCell ref="B146:J146"/>
    <mergeCell ref="B147:J147"/>
    <mergeCell ref="B139:J139"/>
    <mergeCell ref="A141:J141"/>
    <mergeCell ref="B142:J142"/>
    <mergeCell ref="B143:J143"/>
    <mergeCell ref="B144:J144"/>
    <mergeCell ref="A134:J134"/>
    <mergeCell ref="B135:J135"/>
    <mergeCell ref="B136:J136"/>
    <mergeCell ref="B137:J137"/>
    <mergeCell ref="B138:J138"/>
    <mergeCell ref="B110:J110"/>
    <mergeCell ref="B111:J111"/>
    <mergeCell ref="A113:J113"/>
    <mergeCell ref="A124:J124"/>
    <mergeCell ref="A133:J133"/>
    <mergeCell ref="B105:J105"/>
    <mergeCell ref="B106:J106"/>
    <mergeCell ref="B107:J107"/>
    <mergeCell ref="B108:J108"/>
    <mergeCell ref="B109:J109"/>
    <mergeCell ref="A88:J88"/>
    <mergeCell ref="A89:J89"/>
    <mergeCell ref="A102:J102"/>
    <mergeCell ref="A103:J103"/>
    <mergeCell ref="B104:J104"/>
    <mergeCell ref="A39:J39"/>
    <mergeCell ref="A41:J41"/>
    <mergeCell ref="A44:J44"/>
    <mergeCell ref="A49:J49"/>
    <mergeCell ref="A54:J54"/>
    <mergeCell ref="A1:J1"/>
    <mergeCell ref="A2:J2"/>
    <mergeCell ref="A3:J3"/>
    <mergeCell ref="A5:J5"/>
    <mergeCell ref="A38:J38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1"/>
  <sheetViews>
    <sheetView tabSelected="1" view="pageBreakPreview" zoomScaleNormal="100" workbookViewId="0">
      <pane ySplit="3" topLeftCell="A25" activePane="bottomLeft" state="frozen"/>
      <selection pane="bottomLeft" activeCell="E8" sqref="E8"/>
    </sheetView>
  </sheetViews>
  <sheetFormatPr baseColWidth="10" defaultColWidth="8.6328125" defaultRowHeight="14.5" x14ac:dyDescent="0.35"/>
  <cols>
    <col min="1" max="1" width="37.453125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14" t="s">
        <v>301</v>
      </c>
      <c r="B1" s="14"/>
      <c r="C1" s="14"/>
      <c r="D1" s="14"/>
    </row>
    <row r="2" spans="1:4" ht="18" customHeight="1" x14ac:dyDescent="0.35">
      <c r="A2" s="13" t="s">
        <v>302</v>
      </c>
      <c r="B2" s="13"/>
      <c r="C2" s="13"/>
      <c r="D2" s="13"/>
    </row>
    <row r="3" spans="1:4" ht="19.5" customHeight="1" x14ac:dyDescent="0.35">
      <c r="A3" s="12" t="s">
        <v>303</v>
      </c>
      <c r="B3" s="12"/>
      <c r="C3" s="12"/>
      <c r="D3" s="12"/>
    </row>
    <row r="5" spans="1:4" ht="21.75" customHeight="1" x14ac:dyDescent="0.35">
      <c r="A5" s="11" t="s">
        <v>304</v>
      </c>
      <c r="B5" s="11"/>
      <c r="C5" s="11"/>
      <c r="D5" s="11"/>
    </row>
    <row r="6" spans="1:4" ht="24" customHeight="1" x14ac:dyDescent="0.35">
      <c r="A6" s="99" t="s">
        <v>305</v>
      </c>
      <c r="B6" s="100"/>
      <c r="C6" s="10" t="s">
        <v>306</v>
      </c>
      <c r="D6" s="10"/>
    </row>
    <row r="7" spans="1:4" ht="24" customHeight="1" x14ac:dyDescent="0.35">
      <c r="A7" s="99" t="s">
        <v>307</v>
      </c>
      <c r="B7" s="100"/>
      <c r="C7" s="10" t="s">
        <v>308</v>
      </c>
      <c r="D7" s="10"/>
    </row>
    <row r="8" spans="1:4" ht="24" customHeight="1" x14ac:dyDescent="0.35">
      <c r="A8" s="99" t="s">
        <v>309</v>
      </c>
      <c r="B8" s="100"/>
      <c r="C8" s="10" t="s">
        <v>310</v>
      </c>
      <c r="D8" s="10"/>
    </row>
    <row r="9" spans="1:4" ht="24" customHeight="1" x14ac:dyDescent="0.35">
      <c r="A9" s="99" t="s">
        <v>311</v>
      </c>
      <c r="B9" s="100"/>
      <c r="C9" s="10" t="s">
        <v>312</v>
      </c>
      <c r="D9" s="10"/>
    </row>
    <row r="10" spans="1:4" ht="24" customHeight="1" x14ac:dyDescent="0.35">
      <c r="A10" s="99" t="s">
        <v>313</v>
      </c>
      <c r="B10" s="100"/>
      <c r="C10" s="10" t="s">
        <v>314</v>
      </c>
      <c r="D10" s="10"/>
    </row>
    <row r="11" spans="1:4" ht="24" customHeight="1" x14ac:dyDescent="0.35">
      <c r="A11" s="99" t="s">
        <v>315</v>
      </c>
      <c r="B11" s="100"/>
      <c r="C11" s="10" t="s">
        <v>316</v>
      </c>
      <c r="D11" s="10"/>
    </row>
    <row r="13" spans="1:4" ht="21.75" customHeight="1" x14ac:dyDescent="0.35">
      <c r="A13" s="11" t="s">
        <v>317</v>
      </c>
      <c r="B13" s="11"/>
      <c r="C13" s="11"/>
      <c r="D13" s="11"/>
    </row>
    <row r="14" spans="1:4" ht="19.5" customHeight="1" x14ac:dyDescent="0.35">
      <c r="A14" s="97" t="s">
        <v>6</v>
      </c>
      <c r="B14" s="9" t="s">
        <v>318</v>
      </c>
      <c r="C14" s="9"/>
      <c r="D14" s="9"/>
    </row>
    <row r="15" spans="1:4" ht="21.75" customHeight="1" x14ac:dyDescent="0.35">
      <c r="A15" s="102" t="s">
        <v>9</v>
      </c>
      <c r="B15" s="8" t="s">
        <v>319</v>
      </c>
      <c r="C15" s="8"/>
      <c r="D15" s="8"/>
    </row>
    <row r="16" spans="1:4" ht="21.75" customHeight="1" x14ac:dyDescent="0.35">
      <c r="A16" s="103" t="s">
        <v>12</v>
      </c>
      <c r="B16" s="7" t="s">
        <v>320</v>
      </c>
      <c r="C16" s="7"/>
      <c r="D16" s="7"/>
    </row>
    <row r="17" spans="1:5" ht="21.75" customHeight="1" x14ac:dyDescent="0.35">
      <c r="A17" s="104" t="s">
        <v>15</v>
      </c>
      <c r="B17" s="6" t="s">
        <v>321</v>
      </c>
      <c r="C17" s="6"/>
      <c r="D17" s="6"/>
    </row>
    <row r="18" spans="1:5" ht="21.75" customHeight="1" x14ac:dyDescent="0.35">
      <c r="A18" s="105" t="s">
        <v>322</v>
      </c>
      <c r="B18" s="5" t="s">
        <v>323</v>
      </c>
      <c r="C18" s="5"/>
      <c r="D18" s="5"/>
    </row>
    <row r="19" spans="1:5" ht="21.75" customHeight="1" x14ac:dyDescent="0.35">
      <c r="A19" s="106" t="s">
        <v>21</v>
      </c>
      <c r="B19" s="4" t="s">
        <v>324</v>
      </c>
      <c r="C19" s="4"/>
      <c r="D19" s="4"/>
    </row>
    <row r="20" spans="1:5" ht="21.75" customHeight="1" x14ac:dyDescent="0.35">
      <c r="A20" s="107" t="s">
        <v>24</v>
      </c>
      <c r="B20" s="3" t="s">
        <v>325</v>
      </c>
      <c r="C20" s="3"/>
      <c r="D20" s="3"/>
    </row>
    <row r="22" spans="1:5" ht="30" customHeight="1" x14ac:dyDescent="0.35">
      <c r="A22" s="99" t="s">
        <v>326</v>
      </c>
      <c r="B22" s="108"/>
      <c r="C22" s="2" t="s">
        <v>327</v>
      </c>
      <c r="D22" s="2"/>
    </row>
    <row r="23" spans="1:5" ht="30" customHeight="1" x14ac:dyDescent="0.35">
      <c r="A23" s="109" t="s">
        <v>328</v>
      </c>
      <c r="B23" s="110" t="s">
        <v>322</v>
      </c>
      <c r="C23" s="1" t="s">
        <v>329</v>
      </c>
      <c r="D23" s="1"/>
    </row>
    <row r="24" spans="1:5" ht="39.75" customHeight="1" x14ac:dyDescent="0.35">
      <c r="A24" s="99" t="s">
        <v>330</v>
      </c>
      <c r="B24" s="175"/>
      <c r="C24" s="175"/>
      <c r="D24" s="175"/>
    </row>
    <row r="26" spans="1:5" ht="21.75" customHeight="1" x14ac:dyDescent="0.35">
      <c r="A26" s="11" t="s">
        <v>331</v>
      </c>
      <c r="B26" s="11"/>
      <c r="C26" s="11"/>
      <c r="D26" s="11"/>
    </row>
    <row r="27" spans="1:5" ht="21.75" customHeight="1" x14ac:dyDescent="0.35">
      <c r="A27" s="112" t="s">
        <v>332</v>
      </c>
      <c r="B27" s="112" t="s">
        <v>333</v>
      </c>
      <c r="C27" s="112" t="s">
        <v>334</v>
      </c>
      <c r="D27" s="112" t="s">
        <v>335</v>
      </c>
      <c r="E27" s="112" t="s">
        <v>336</v>
      </c>
    </row>
    <row r="28" spans="1:5" ht="18" customHeight="1" x14ac:dyDescent="0.35">
      <c r="A28" s="176" t="s">
        <v>230</v>
      </c>
      <c r="B28" s="176"/>
      <c r="C28" s="176"/>
      <c r="D28" s="176"/>
      <c r="E28" s="113"/>
    </row>
    <row r="29" spans="1:5" ht="30" customHeight="1" x14ac:dyDescent="0.35">
      <c r="A29" s="114" t="s">
        <v>337</v>
      </c>
      <c r="B29" s="115"/>
      <c r="C29" s="104" t="s">
        <v>15</v>
      </c>
      <c r="D29" s="116" t="s">
        <v>338</v>
      </c>
      <c r="E29" s="117"/>
    </row>
    <row r="30" spans="1:5" ht="30" customHeight="1" x14ac:dyDescent="0.35">
      <c r="A30" s="114" t="s">
        <v>339</v>
      </c>
      <c r="B30" s="115"/>
      <c r="C30" s="105" t="s">
        <v>322</v>
      </c>
      <c r="D30" s="116" t="s">
        <v>340</v>
      </c>
      <c r="E30" s="117"/>
    </row>
    <row r="31" spans="1:5" ht="18" customHeight="1" x14ac:dyDescent="0.35">
      <c r="A31" s="176" t="s">
        <v>233</v>
      </c>
      <c r="B31" s="176"/>
      <c r="C31" s="176"/>
      <c r="D31" s="176"/>
      <c r="E31" s="113"/>
    </row>
    <row r="32" spans="1:5" ht="30" customHeight="1" x14ac:dyDescent="0.35">
      <c r="A32" s="114" t="s">
        <v>341</v>
      </c>
      <c r="B32" s="115"/>
      <c r="C32" s="104" t="s">
        <v>15</v>
      </c>
      <c r="D32" s="116" t="s">
        <v>342</v>
      </c>
      <c r="E32" s="117"/>
    </row>
    <row r="33" spans="1:5" ht="30" customHeight="1" x14ac:dyDescent="0.35">
      <c r="A33" s="114" t="s">
        <v>343</v>
      </c>
      <c r="B33" s="115"/>
      <c r="C33" s="105" t="s">
        <v>322</v>
      </c>
      <c r="D33" s="116" t="s">
        <v>344</v>
      </c>
      <c r="E33" s="117"/>
    </row>
    <row r="34" spans="1:5" ht="30" customHeight="1" x14ac:dyDescent="0.35">
      <c r="A34" s="114" t="s">
        <v>345</v>
      </c>
      <c r="B34" s="115"/>
      <c r="C34" s="104" t="s">
        <v>15</v>
      </c>
      <c r="D34" s="116" t="s">
        <v>346</v>
      </c>
      <c r="E34" s="117"/>
    </row>
    <row r="35" spans="1:5" ht="30" customHeight="1" x14ac:dyDescent="0.35">
      <c r="A35" s="114" t="s">
        <v>347</v>
      </c>
      <c r="B35" s="115"/>
      <c r="C35" s="105" t="s">
        <v>322</v>
      </c>
      <c r="D35" s="116" t="s">
        <v>348</v>
      </c>
      <c r="E35" s="117"/>
    </row>
    <row r="36" spans="1:5" ht="18" customHeight="1" x14ac:dyDescent="0.35">
      <c r="A36" s="176" t="s">
        <v>238</v>
      </c>
      <c r="B36" s="176"/>
      <c r="C36" s="176"/>
      <c r="D36" s="176"/>
      <c r="E36" s="113"/>
    </row>
    <row r="37" spans="1:5" ht="30" customHeight="1" x14ac:dyDescent="0.35">
      <c r="A37" s="114" t="s">
        <v>349</v>
      </c>
      <c r="B37" s="115"/>
      <c r="C37" s="104" t="s">
        <v>15</v>
      </c>
      <c r="D37" s="116" t="s">
        <v>350</v>
      </c>
      <c r="E37" s="117"/>
    </row>
    <row r="38" spans="1:5" ht="30" customHeight="1" x14ac:dyDescent="0.35">
      <c r="A38" s="114" t="s">
        <v>351</v>
      </c>
      <c r="B38" s="115"/>
      <c r="C38" s="105" t="s">
        <v>322</v>
      </c>
      <c r="D38" s="116" t="s">
        <v>352</v>
      </c>
      <c r="E38" s="117"/>
    </row>
    <row r="39" spans="1:5" ht="30" customHeight="1" x14ac:dyDescent="0.35">
      <c r="A39" s="114" t="s">
        <v>353</v>
      </c>
      <c r="B39" s="115"/>
      <c r="C39" s="105" t="s">
        <v>322</v>
      </c>
      <c r="D39" s="116" t="s">
        <v>354</v>
      </c>
      <c r="E39" s="117"/>
    </row>
    <row r="40" spans="1:5" ht="30" customHeight="1" x14ac:dyDescent="0.35">
      <c r="A40" s="114" t="s">
        <v>355</v>
      </c>
      <c r="B40" s="115"/>
      <c r="C40" s="104" t="s">
        <v>15</v>
      </c>
      <c r="D40" s="116" t="s">
        <v>356</v>
      </c>
      <c r="E40" s="117"/>
    </row>
    <row r="41" spans="1:5" ht="18" customHeight="1" x14ac:dyDescent="0.35">
      <c r="A41" s="176" t="s">
        <v>243</v>
      </c>
      <c r="B41" s="176"/>
      <c r="C41" s="176"/>
      <c r="D41" s="176"/>
      <c r="E41" s="113"/>
    </row>
    <row r="42" spans="1:5" ht="30" customHeight="1" x14ac:dyDescent="0.35">
      <c r="A42" s="114" t="s">
        <v>357</v>
      </c>
      <c r="B42" s="115"/>
      <c r="C42" s="104" t="s">
        <v>15</v>
      </c>
      <c r="D42" s="116" t="s">
        <v>358</v>
      </c>
      <c r="E42" s="117"/>
    </row>
    <row r="43" spans="1:5" ht="30" customHeight="1" x14ac:dyDescent="0.35">
      <c r="A43" s="114" t="s">
        <v>359</v>
      </c>
      <c r="B43" s="115"/>
      <c r="C43" s="104" t="s">
        <v>15</v>
      </c>
      <c r="D43" s="116" t="s">
        <v>360</v>
      </c>
      <c r="E43" s="117"/>
    </row>
    <row r="44" spans="1:5" ht="30" customHeight="1" x14ac:dyDescent="0.35">
      <c r="A44" s="114" t="s">
        <v>361</v>
      </c>
      <c r="B44" s="115"/>
      <c r="C44" s="105" t="s">
        <v>322</v>
      </c>
      <c r="D44" s="116" t="s">
        <v>362</v>
      </c>
      <c r="E44" s="117"/>
    </row>
    <row r="45" spans="1:5" ht="30" customHeight="1" x14ac:dyDescent="0.35">
      <c r="A45" s="114" t="s">
        <v>363</v>
      </c>
      <c r="B45" s="115"/>
      <c r="C45" s="105" t="s">
        <v>322</v>
      </c>
      <c r="D45" s="116" t="s">
        <v>364</v>
      </c>
      <c r="E45" s="117"/>
    </row>
    <row r="46" spans="1:5" ht="30" customHeight="1" x14ac:dyDescent="0.35">
      <c r="A46" s="114" t="s">
        <v>365</v>
      </c>
      <c r="B46" s="115"/>
      <c r="C46" s="104" t="s">
        <v>15</v>
      </c>
      <c r="D46" s="116" t="s">
        <v>366</v>
      </c>
      <c r="E46" s="117"/>
    </row>
    <row r="47" spans="1:5" ht="30" customHeight="1" x14ac:dyDescent="0.35">
      <c r="A47" s="114" t="s">
        <v>367</v>
      </c>
      <c r="B47" s="115"/>
      <c r="C47" s="106" t="s">
        <v>21</v>
      </c>
      <c r="D47" s="116" t="s">
        <v>368</v>
      </c>
      <c r="E47" s="117"/>
    </row>
    <row r="48" spans="1:5" ht="30" customHeight="1" x14ac:dyDescent="0.35">
      <c r="A48" s="114" t="s">
        <v>369</v>
      </c>
      <c r="B48" s="115"/>
      <c r="C48" s="105" t="s">
        <v>322</v>
      </c>
      <c r="D48" s="116" t="s">
        <v>370</v>
      </c>
      <c r="E48" s="117"/>
    </row>
    <row r="50" spans="1:5" ht="21.75" customHeight="1" x14ac:dyDescent="0.35">
      <c r="A50" s="11" t="s">
        <v>371</v>
      </c>
      <c r="B50" s="11"/>
      <c r="C50" s="11"/>
      <c r="D50" s="11"/>
    </row>
    <row r="51" spans="1:5" ht="19.5" customHeight="1" x14ac:dyDescent="0.35">
      <c r="A51" s="177" t="s">
        <v>372</v>
      </c>
      <c r="B51" s="177"/>
      <c r="C51" s="177"/>
      <c r="D51" s="177"/>
    </row>
    <row r="52" spans="1:5" ht="21.75" customHeight="1" x14ac:dyDescent="0.35">
      <c r="A52" s="112" t="s">
        <v>373</v>
      </c>
      <c r="B52" s="112" t="s">
        <v>374</v>
      </c>
      <c r="C52" s="118" t="s">
        <v>375</v>
      </c>
      <c r="D52" s="118" t="s">
        <v>376</v>
      </c>
    </row>
    <row r="53" spans="1:5" ht="39.75" customHeight="1" x14ac:dyDescent="0.35">
      <c r="A53" s="119" t="s">
        <v>377</v>
      </c>
      <c r="B53" s="120"/>
      <c r="C53" s="121" t="s">
        <v>378</v>
      </c>
      <c r="D53" s="100"/>
    </row>
    <row r="54" spans="1:5" ht="39.75" customHeight="1" x14ac:dyDescent="0.35">
      <c r="A54" s="122" t="s">
        <v>379</v>
      </c>
      <c r="B54" s="120"/>
      <c r="C54" s="121" t="s">
        <v>380</v>
      </c>
      <c r="D54" s="100"/>
    </row>
    <row r="55" spans="1:5" ht="39.75" customHeight="1" x14ac:dyDescent="0.35">
      <c r="A55" s="119" t="s">
        <v>381</v>
      </c>
      <c r="B55" s="120"/>
      <c r="C55" s="121" t="s">
        <v>382</v>
      </c>
      <c r="D55" s="100"/>
    </row>
    <row r="56" spans="1:5" ht="39.75" customHeight="1" x14ac:dyDescent="0.35">
      <c r="A56" s="123" t="s">
        <v>383</v>
      </c>
      <c r="B56" s="120"/>
      <c r="C56" s="121" t="s">
        <v>384</v>
      </c>
      <c r="D56" s="100"/>
    </row>
    <row r="57" spans="1:5" ht="39.75" customHeight="1" x14ac:dyDescent="0.35">
      <c r="A57" s="124" t="s">
        <v>385</v>
      </c>
      <c r="B57" s="120"/>
      <c r="C57" s="121" t="s">
        <v>386</v>
      </c>
      <c r="D57" s="100"/>
    </row>
    <row r="58" spans="1:5" ht="39.75" customHeight="1" x14ac:dyDescent="0.35">
      <c r="A58" s="125" t="s">
        <v>387</v>
      </c>
      <c r="B58" s="120"/>
      <c r="C58" s="121" t="s">
        <v>388</v>
      </c>
      <c r="D58" s="100"/>
    </row>
    <row r="59" spans="1:5" ht="39.75" customHeight="1" x14ac:dyDescent="0.35">
      <c r="A59" s="126" t="s">
        <v>389</v>
      </c>
      <c r="B59" s="120"/>
      <c r="C59" s="121" t="s">
        <v>390</v>
      </c>
      <c r="D59" s="100"/>
    </row>
    <row r="60" spans="1:5" ht="36" customHeight="1" x14ac:dyDescent="0.35">
      <c r="A60" s="127" t="s">
        <v>391</v>
      </c>
      <c r="B60" s="128"/>
      <c r="C60" s="100"/>
      <c r="D60" s="100"/>
      <c r="E60" s="129"/>
    </row>
    <row r="61" spans="1:5" ht="36" customHeight="1" x14ac:dyDescent="0.35">
      <c r="A61" s="178" t="s">
        <v>392</v>
      </c>
      <c r="B61" s="178"/>
      <c r="C61" s="178"/>
      <c r="D61" s="178"/>
      <c r="E61" s="129"/>
    </row>
    <row r="62" spans="1:5" ht="36" customHeight="1" x14ac:dyDescent="0.35">
      <c r="A62" s="127" t="s">
        <v>393</v>
      </c>
      <c r="B62" s="128"/>
      <c r="C62" s="179"/>
      <c r="D62" s="179"/>
      <c r="E62" s="129"/>
    </row>
    <row r="63" spans="1:5" ht="36" customHeight="1" x14ac:dyDescent="0.35">
      <c r="A63" s="127" t="s">
        <v>394</v>
      </c>
      <c r="B63" s="128"/>
      <c r="C63" s="179"/>
      <c r="D63" s="179"/>
      <c r="E63" s="129"/>
    </row>
    <row r="64" spans="1:5" ht="36" customHeight="1" x14ac:dyDescent="0.35">
      <c r="A64" s="127" t="s">
        <v>395</v>
      </c>
      <c r="B64" s="128"/>
      <c r="C64" s="179"/>
      <c r="D64" s="179"/>
      <c r="E64" s="129"/>
    </row>
    <row r="65" spans="1:4" ht="27.75" customHeight="1" x14ac:dyDescent="0.35">
      <c r="C65" s="180"/>
      <c r="D65" s="180"/>
    </row>
    <row r="66" spans="1:4" ht="27.75" customHeight="1" x14ac:dyDescent="0.35">
      <c r="A66" s="98" t="s">
        <v>396</v>
      </c>
      <c r="C66" s="180"/>
      <c r="D66" s="180"/>
    </row>
    <row r="67" spans="1:4" ht="27.75" customHeight="1" x14ac:dyDescent="0.35">
      <c r="A67" s="99" t="s">
        <v>397</v>
      </c>
      <c r="B67" s="100"/>
      <c r="C67" s="10" t="s">
        <v>398</v>
      </c>
      <c r="D67" s="10"/>
    </row>
    <row r="68" spans="1:4" ht="27.75" customHeight="1" x14ac:dyDescent="0.35">
      <c r="A68" s="99" t="s">
        <v>399</v>
      </c>
      <c r="B68" s="100"/>
      <c r="C68" s="10" t="s">
        <v>400</v>
      </c>
      <c r="D68" s="10"/>
    </row>
    <row r="69" spans="1:4" ht="27.75" customHeight="1" x14ac:dyDescent="0.35">
      <c r="A69" s="99" t="s">
        <v>401</v>
      </c>
      <c r="B69" s="100"/>
      <c r="C69" s="10" t="s">
        <v>402</v>
      </c>
      <c r="D69" s="10"/>
    </row>
    <row r="70" spans="1:4" ht="27.75" customHeight="1" x14ac:dyDescent="0.35">
      <c r="A70" s="99" t="s">
        <v>403</v>
      </c>
      <c r="B70" s="100"/>
      <c r="C70" s="10" t="s">
        <v>404</v>
      </c>
      <c r="D70" s="10"/>
    </row>
    <row r="71" spans="1:4" ht="21.75" customHeight="1" x14ac:dyDescent="0.35">
      <c r="A71" s="99" t="s">
        <v>405</v>
      </c>
      <c r="B71" s="100"/>
      <c r="C71" s="101" t="s">
        <v>406</v>
      </c>
    </row>
    <row r="72" spans="1:4" ht="21.75" customHeight="1" x14ac:dyDescent="0.35">
      <c r="A72" s="181" t="s">
        <v>285</v>
      </c>
      <c r="B72" s="181"/>
      <c r="C72" s="181"/>
      <c r="D72" s="181"/>
    </row>
    <row r="73" spans="1:4" ht="25.5" customHeight="1" x14ac:dyDescent="0.35">
      <c r="A73" s="99" t="s">
        <v>407</v>
      </c>
      <c r="B73" s="100"/>
      <c r="C73" s="10" t="s">
        <v>408</v>
      </c>
      <c r="D73" s="10"/>
    </row>
    <row r="74" spans="1:4" ht="25.5" customHeight="1" x14ac:dyDescent="0.35">
      <c r="A74" s="99" t="s">
        <v>409</v>
      </c>
      <c r="B74" s="100"/>
      <c r="C74" s="10" t="s">
        <v>410</v>
      </c>
      <c r="D74" s="10"/>
    </row>
    <row r="75" spans="1:4" ht="25.5" customHeight="1" x14ac:dyDescent="0.35">
      <c r="A75" s="99" t="s">
        <v>411</v>
      </c>
      <c r="B75" s="100"/>
      <c r="C75" s="10" t="s">
        <v>412</v>
      </c>
      <c r="D75" s="10"/>
    </row>
    <row r="76" spans="1:4" ht="25.5" customHeight="1" x14ac:dyDescent="0.35">
      <c r="C76" s="180"/>
      <c r="D76" s="180"/>
    </row>
    <row r="77" spans="1:4" ht="25.5" customHeight="1" x14ac:dyDescent="0.35">
      <c r="A77" s="98" t="s">
        <v>413</v>
      </c>
      <c r="C77" s="180"/>
      <c r="D77" s="180"/>
    </row>
    <row r="78" spans="1:4" ht="25.5" customHeight="1" x14ac:dyDescent="0.35">
      <c r="A78" s="99" t="s">
        <v>414</v>
      </c>
      <c r="B78" s="100"/>
      <c r="C78" s="10" t="s">
        <v>415</v>
      </c>
      <c r="D78" s="10"/>
    </row>
    <row r="79" spans="1:4" ht="25.5" customHeight="1" x14ac:dyDescent="0.35">
      <c r="A79" s="99" t="s">
        <v>416</v>
      </c>
      <c r="B79" s="100"/>
      <c r="C79" s="10" t="s">
        <v>417</v>
      </c>
      <c r="D79" s="10"/>
    </row>
    <row r="80" spans="1:4" ht="25.5" customHeight="1" x14ac:dyDescent="0.35">
      <c r="A80" s="99" t="s">
        <v>418</v>
      </c>
      <c r="B80" s="100"/>
      <c r="C80" s="10" t="s">
        <v>419</v>
      </c>
      <c r="D80" s="10"/>
    </row>
    <row r="81" spans="1:4" ht="25.5" customHeight="1" x14ac:dyDescent="0.35">
      <c r="A81" s="99" t="s">
        <v>420</v>
      </c>
      <c r="B81" s="100"/>
      <c r="C81" s="10" t="s">
        <v>421</v>
      </c>
      <c r="D81" s="10"/>
    </row>
    <row r="82" spans="1:4" ht="34.5" customHeight="1" x14ac:dyDescent="0.35">
      <c r="A82" s="99" t="s">
        <v>422</v>
      </c>
      <c r="B82" s="100"/>
      <c r="C82" s="101" t="s">
        <v>423</v>
      </c>
    </row>
    <row r="83" spans="1:4" ht="24" customHeight="1" x14ac:dyDescent="0.35">
      <c r="A83" s="181" t="s">
        <v>424</v>
      </c>
      <c r="B83" s="181"/>
      <c r="C83" s="181"/>
      <c r="D83" s="181"/>
    </row>
    <row r="84" spans="1:4" ht="24" customHeight="1" x14ac:dyDescent="0.35">
      <c r="A84" s="99" t="s">
        <v>425</v>
      </c>
      <c r="B84" s="182"/>
      <c r="C84" s="182"/>
      <c r="D84" s="182"/>
    </row>
    <row r="85" spans="1:4" ht="43.5" customHeight="1" x14ac:dyDescent="0.35">
      <c r="A85" s="181" t="s">
        <v>426</v>
      </c>
      <c r="B85" s="181"/>
      <c r="C85" s="181"/>
      <c r="D85" s="181"/>
    </row>
    <row r="86" spans="1:4" ht="24" customHeight="1" x14ac:dyDescent="0.35">
      <c r="A86" s="99" t="s">
        <v>427</v>
      </c>
      <c r="B86" s="182"/>
      <c r="C86" s="182"/>
      <c r="D86" s="182"/>
    </row>
    <row r="87" spans="1:4" ht="43.5" customHeight="1" x14ac:dyDescent="0.35">
      <c r="A87" s="180"/>
      <c r="B87" s="180"/>
      <c r="C87" s="180"/>
      <c r="D87" s="180"/>
    </row>
    <row r="88" spans="1:4" ht="24" customHeight="1" x14ac:dyDescent="0.35">
      <c r="A88" s="130" t="s">
        <v>428</v>
      </c>
      <c r="B88" s="180"/>
      <c r="C88" s="180"/>
      <c r="D88" s="180"/>
    </row>
    <row r="89" spans="1:4" ht="43.5" customHeight="1" x14ac:dyDescent="0.35">
      <c r="A89" s="183" t="s">
        <v>429</v>
      </c>
      <c r="B89" s="183"/>
      <c r="C89" s="183"/>
      <c r="D89" s="183"/>
    </row>
    <row r="90" spans="1:4" ht="24" customHeight="1" x14ac:dyDescent="0.35">
      <c r="A90" s="111"/>
      <c r="B90" s="180"/>
      <c r="C90" s="180"/>
      <c r="D90" s="180"/>
    </row>
    <row r="91" spans="1:4" ht="43.5" customHeight="1" x14ac:dyDescent="0.35">
      <c r="A91" s="183" t="s">
        <v>430</v>
      </c>
      <c r="B91" s="183"/>
      <c r="C91" s="183"/>
      <c r="D91" s="183"/>
    </row>
    <row r="92" spans="1:4" ht="15" customHeight="1" x14ac:dyDescent="0.35">
      <c r="A92" s="111"/>
    </row>
    <row r="93" spans="1:4" ht="23.25" customHeight="1" x14ac:dyDescent="0.35">
      <c r="A93" s="131" t="s">
        <v>431</v>
      </c>
      <c r="B93" s="132" t="s">
        <v>432</v>
      </c>
    </row>
    <row r="94" spans="1:4" ht="15" customHeight="1" x14ac:dyDescent="0.35">
      <c r="A94" s="111"/>
    </row>
    <row r="95" spans="1:4" ht="23.25" customHeight="1" x14ac:dyDescent="0.35">
      <c r="A95" s="131" t="s">
        <v>433</v>
      </c>
      <c r="B95" s="132" t="s">
        <v>434</v>
      </c>
    </row>
    <row r="96" spans="1:4" ht="15" customHeight="1" x14ac:dyDescent="0.35">
      <c r="A96" s="111"/>
    </row>
    <row r="99" spans="1:5" ht="33.75" customHeight="1" x14ac:dyDescent="0.35">
      <c r="A99" s="184" t="s">
        <v>435</v>
      </c>
      <c r="B99" s="184"/>
      <c r="C99" s="184"/>
      <c r="D99" s="184"/>
      <c r="E99" s="184"/>
    </row>
    <row r="100" spans="1:5" ht="24" customHeight="1" x14ac:dyDescent="0.35">
      <c r="A100" s="185" t="s">
        <v>436</v>
      </c>
      <c r="B100" s="185"/>
      <c r="C100" s="185"/>
      <c r="D100" s="185"/>
      <c r="E100" s="185"/>
    </row>
    <row r="101" spans="1:5" ht="25.5" customHeight="1" x14ac:dyDescent="0.35">
      <c r="A101" s="186" t="s">
        <v>437</v>
      </c>
      <c r="B101" s="186"/>
      <c r="C101" s="186"/>
      <c r="D101" s="186"/>
      <c r="E101" s="186"/>
    </row>
    <row r="102" spans="1:5" ht="27.75" customHeight="1" x14ac:dyDescent="0.35">
      <c r="A102" s="99" t="s">
        <v>438</v>
      </c>
      <c r="B102" s="133"/>
      <c r="C102" s="10" t="s">
        <v>439</v>
      </c>
      <c r="D102" s="10"/>
      <c r="E102" s="10"/>
    </row>
    <row r="103" spans="1:5" ht="27.75" customHeight="1" x14ac:dyDescent="0.35">
      <c r="A103" s="99" t="s">
        <v>440</v>
      </c>
      <c r="B103" s="133"/>
      <c r="C103" s="10" t="s">
        <v>441</v>
      </c>
      <c r="D103" s="10"/>
      <c r="E103" s="10"/>
    </row>
    <row r="104" spans="1:5" ht="27.75" customHeight="1" x14ac:dyDescent="0.35">
      <c r="A104" s="99" t="s">
        <v>442</v>
      </c>
      <c r="B104" s="134"/>
      <c r="C104" s="10" t="s">
        <v>443</v>
      </c>
      <c r="D104" s="10"/>
      <c r="E104" s="10"/>
    </row>
    <row r="105" spans="1:5" ht="27.75" customHeight="1" x14ac:dyDescent="0.35">
      <c r="A105" s="99" t="s">
        <v>444</v>
      </c>
      <c r="B105" s="133"/>
      <c r="C105" s="10" t="s">
        <v>445</v>
      </c>
      <c r="D105" s="10"/>
      <c r="E105" s="10"/>
    </row>
    <row r="106" spans="1:5" ht="27.75" customHeight="1" x14ac:dyDescent="0.35">
      <c r="A106" s="99" t="s">
        <v>446</v>
      </c>
      <c r="B106" s="134"/>
      <c r="C106" s="10" t="s">
        <v>447</v>
      </c>
      <c r="D106" s="10"/>
      <c r="E106" s="10"/>
    </row>
    <row r="107" spans="1:5" ht="27.75" customHeight="1" x14ac:dyDescent="0.35">
      <c r="A107" s="99" t="s">
        <v>448</v>
      </c>
      <c r="B107" s="133"/>
      <c r="C107" s="10" t="s">
        <v>449</v>
      </c>
      <c r="D107" s="10"/>
      <c r="E107" s="10"/>
    </row>
    <row r="108" spans="1:5" ht="27.75" customHeight="1" x14ac:dyDescent="0.35">
      <c r="A108" s="99" t="s">
        <v>450</v>
      </c>
      <c r="B108" s="134"/>
      <c r="C108" s="10" t="s">
        <v>451</v>
      </c>
      <c r="D108" s="10"/>
      <c r="E108" s="10"/>
    </row>
    <row r="109" spans="1:5" ht="27.75" customHeight="1" x14ac:dyDescent="0.35">
      <c r="A109" s="99" t="s">
        <v>452</v>
      </c>
      <c r="B109" s="133"/>
      <c r="C109" s="10" t="s">
        <v>453</v>
      </c>
      <c r="D109" s="10"/>
      <c r="E109" s="10"/>
    </row>
    <row r="110" spans="1:5" ht="27.75" customHeight="1" x14ac:dyDescent="0.35">
      <c r="A110" s="99" t="s">
        <v>454</v>
      </c>
      <c r="B110" s="134"/>
      <c r="C110" s="10" t="s">
        <v>455</v>
      </c>
      <c r="D110" s="10"/>
      <c r="E110" s="10"/>
    </row>
    <row r="111" spans="1:5" ht="27.75" customHeight="1" x14ac:dyDescent="0.35">
      <c r="A111" s="99" t="s">
        <v>456</v>
      </c>
      <c r="B111" s="134"/>
      <c r="C111" s="10" t="s">
        <v>457</v>
      </c>
      <c r="D111" s="10"/>
      <c r="E111" s="10"/>
    </row>
    <row r="113" spans="1:5" ht="25.5" customHeight="1" x14ac:dyDescent="0.35">
      <c r="A113" s="187" t="s">
        <v>458</v>
      </c>
      <c r="B113" s="187"/>
      <c r="C113" s="187"/>
      <c r="D113" s="187"/>
      <c r="E113" s="187"/>
    </row>
    <row r="114" spans="1:5" ht="21.75" customHeight="1" x14ac:dyDescent="0.35">
      <c r="A114" s="188" t="s">
        <v>459</v>
      </c>
      <c r="B114" s="188"/>
      <c r="C114" s="188"/>
      <c r="D114" s="188"/>
      <c r="E114" s="188"/>
    </row>
    <row r="115" spans="1:5" ht="25.5" customHeight="1" x14ac:dyDescent="0.35">
      <c r="A115" s="131" t="s">
        <v>460</v>
      </c>
      <c r="B115" s="189" t="s">
        <v>461</v>
      </c>
      <c r="C115" s="189"/>
      <c r="D115" s="189"/>
      <c r="E115" s="189"/>
    </row>
    <row r="116" spans="1:5" ht="43.5" customHeight="1" x14ac:dyDescent="0.35">
      <c r="A116" s="190"/>
      <c r="B116" s="190"/>
      <c r="C116" s="190"/>
      <c r="D116" s="190"/>
      <c r="E116" s="190"/>
    </row>
    <row r="117" spans="1:5" ht="25.5" customHeight="1" x14ac:dyDescent="0.35">
      <c r="A117" s="131" t="s">
        <v>462</v>
      </c>
      <c r="B117" s="189" t="s">
        <v>463</v>
      </c>
      <c r="C117" s="189"/>
      <c r="D117" s="189"/>
      <c r="E117" s="189"/>
    </row>
    <row r="118" spans="1:5" ht="43.5" customHeight="1" x14ac:dyDescent="0.35">
      <c r="A118" s="190"/>
      <c r="B118" s="190"/>
      <c r="C118" s="190"/>
      <c r="D118" s="190"/>
      <c r="E118" s="190"/>
    </row>
    <row r="119" spans="1:5" ht="25.5" customHeight="1" x14ac:dyDescent="0.35">
      <c r="A119" s="131" t="s">
        <v>464</v>
      </c>
      <c r="B119" s="189" t="s">
        <v>465</v>
      </c>
      <c r="C119" s="189"/>
      <c r="D119" s="189"/>
      <c r="E119" s="189"/>
    </row>
    <row r="120" spans="1:5" ht="43.5" customHeight="1" x14ac:dyDescent="0.35">
      <c r="A120" s="190"/>
      <c r="B120" s="190"/>
      <c r="C120" s="190"/>
      <c r="D120" s="190"/>
      <c r="E120" s="190"/>
    </row>
    <row r="121" spans="1:5" ht="25.5" customHeight="1" x14ac:dyDescent="0.35">
      <c r="A121" s="131" t="s">
        <v>466</v>
      </c>
      <c r="B121" s="189" t="s">
        <v>467</v>
      </c>
      <c r="C121" s="189"/>
      <c r="D121" s="189"/>
      <c r="E121" s="189"/>
    </row>
    <row r="122" spans="1:5" ht="43.5" customHeight="1" x14ac:dyDescent="0.35">
      <c r="A122" s="190"/>
      <c r="B122" s="190"/>
      <c r="C122" s="190"/>
      <c r="D122" s="190"/>
      <c r="E122" s="190"/>
    </row>
    <row r="123" spans="1:5" ht="25.5" customHeight="1" x14ac:dyDescent="0.35">
      <c r="A123" s="131" t="s">
        <v>468</v>
      </c>
      <c r="B123" s="189" t="s">
        <v>469</v>
      </c>
      <c r="C123" s="189"/>
      <c r="D123" s="189"/>
      <c r="E123" s="189"/>
    </row>
    <row r="124" spans="1:5" ht="43.5" customHeight="1" x14ac:dyDescent="0.35">
      <c r="A124" s="190"/>
      <c r="B124" s="190"/>
      <c r="C124" s="190"/>
      <c r="D124" s="190"/>
      <c r="E124" s="190"/>
    </row>
    <row r="125" spans="1:5" ht="25.5" customHeight="1" x14ac:dyDescent="0.35">
      <c r="A125" s="131" t="s">
        <v>470</v>
      </c>
      <c r="B125" s="189" t="s">
        <v>471</v>
      </c>
      <c r="C125" s="189"/>
      <c r="D125" s="189"/>
      <c r="E125" s="189"/>
    </row>
    <row r="126" spans="1:5" ht="43.5" customHeight="1" x14ac:dyDescent="0.35">
      <c r="A126" s="190"/>
      <c r="B126" s="190"/>
      <c r="C126" s="190"/>
      <c r="D126" s="190"/>
      <c r="E126" s="190"/>
    </row>
    <row r="128" spans="1:5" ht="25.5" customHeight="1" x14ac:dyDescent="0.35">
      <c r="A128" s="191" t="s">
        <v>472</v>
      </c>
      <c r="B128" s="191"/>
      <c r="C128" s="191"/>
      <c r="D128" s="191"/>
      <c r="E128" s="191"/>
    </row>
    <row r="129" spans="1:5" ht="21.75" customHeight="1" x14ac:dyDescent="0.35">
      <c r="A129" s="192" t="s">
        <v>473</v>
      </c>
      <c r="B129" s="192"/>
      <c r="C129" s="192"/>
      <c r="D129" s="192"/>
      <c r="E129" s="192"/>
    </row>
    <row r="130" spans="1:5" ht="27.75" customHeight="1" x14ac:dyDescent="0.35">
      <c r="A130" s="122" t="s">
        <v>474</v>
      </c>
      <c r="B130" s="134"/>
      <c r="C130" s="10" t="s">
        <v>475</v>
      </c>
      <c r="D130" s="10"/>
      <c r="E130" s="10"/>
    </row>
    <row r="131" spans="1:5" ht="27.75" customHeight="1" x14ac:dyDescent="0.35">
      <c r="A131" s="122" t="s">
        <v>476</v>
      </c>
      <c r="B131" s="134"/>
      <c r="C131" s="10" t="s">
        <v>477</v>
      </c>
      <c r="D131" s="10"/>
      <c r="E131" s="10"/>
    </row>
    <row r="132" spans="1:5" ht="27.75" customHeight="1" x14ac:dyDescent="0.35">
      <c r="A132" s="122" t="s">
        <v>478</v>
      </c>
      <c r="B132" s="133"/>
      <c r="C132" s="10" t="s">
        <v>479</v>
      </c>
      <c r="D132" s="10"/>
      <c r="E132" s="10"/>
    </row>
    <row r="133" spans="1:5" ht="27.75" customHeight="1" x14ac:dyDescent="0.35">
      <c r="A133" s="122" t="s">
        <v>480</v>
      </c>
      <c r="B133" s="133"/>
      <c r="C133" s="10" t="s">
        <v>481</v>
      </c>
      <c r="D133" s="10"/>
      <c r="E133" s="10"/>
    </row>
    <row r="134" spans="1:5" ht="27.75" customHeight="1" x14ac:dyDescent="0.35">
      <c r="A134" s="122" t="s">
        <v>482</v>
      </c>
      <c r="B134" s="133"/>
      <c r="C134" s="10" t="s">
        <v>483</v>
      </c>
      <c r="D134" s="10"/>
      <c r="E134" s="10"/>
    </row>
    <row r="135" spans="1:5" ht="27.75" customHeight="1" x14ac:dyDescent="0.35">
      <c r="A135" s="122" t="s">
        <v>484</v>
      </c>
      <c r="B135" s="133"/>
      <c r="C135" s="10" t="s">
        <v>485</v>
      </c>
      <c r="D135" s="10"/>
      <c r="E135" s="10"/>
    </row>
    <row r="136" spans="1:5" ht="27.75" customHeight="1" x14ac:dyDescent="0.35">
      <c r="A136" s="122" t="s">
        <v>486</v>
      </c>
      <c r="B136" s="133"/>
      <c r="C136" s="10" t="s">
        <v>487</v>
      </c>
      <c r="D136" s="10"/>
      <c r="E136" s="10"/>
    </row>
    <row r="137" spans="1:5" ht="27.75" customHeight="1" x14ac:dyDescent="0.35">
      <c r="A137" s="122" t="s">
        <v>488</v>
      </c>
      <c r="B137" s="134"/>
      <c r="C137" s="10" t="s">
        <v>489</v>
      </c>
      <c r="D137" s="10"/>
      <c r="E137" s="10"/>
    </row>
    <row r="139" spans="1:5" ht="25.5" customHeight="1" x14ac:dyDescent="0.35">
      <c r="A139" s="193" t="s">
        <v>490</v>
      </c>
      <c r="B139" s="193"/>
      <c r="C139" s="193"/>
      <c r="D139" s="193"/>
      <c r="E139" s="193"/>
    </row>
    <row r="140" spans="1:5" ht="27.75" customHeight="1" x14ac:dyDescent="0.35">
      <c r="A140" s="135" t="s">
        <v>491</v>
      </c>
      <c r="B140" s="133"/>
      <c r="C140" s="10" t="s">
        <v>492</v>
      </c>
      <c r="D140" s="10"/>
      <c r="E140" s="10"/>
    </row>
    <row r="141" spans="1:5" ht="27.75" customHeight="1" x14ac:dyDescent="0.35">
      <c r="A141" s="135" t="s">
        <v>493</v>
      </c>
      <c r="B141" s="133"/>
      <c r="C141" s="10" t="s">
        <v>494</v>
      </c>
      <c r="D141" s="10"/>
      <c r="E141" s="10"/>
    </row>
    <row r="142" spans="1:5" ht="27.75" customHeight="1" x14ac:dyDescent="0.35">
      <c r="A142" s="135" t="s">
        <v>495</v>
      </c>
      <c r="B142" s="133"/>
      <c r="C142" s="10" t="s">
        <v>496</v>
      </c>
      <c r="D142" s="10"/>
      <c r="E142" s="10"/>
    </row>
    <row r="143" spans="1:5" ht="27.75" customHeight="1" x14ac:dyDescent="0.35">
      <c r="A143" s="135" t="s">
        <v>497</v>
      </c>
      <c r="B143" s="134"/>
      <c r="C143" s="10" t="s">
        <v>498</v>
      </c>
      <c r="D143" s="10"/>
      <c r="E143" s="10"/>
    </row>
    <row r="144" spans="1:5" ht="27.75" customHeight="1" x14ac:dyDescent="0.35">
      <c r="A144" s="135" t="s">
        <v>499</v>
      </c>
      <c r="B144" s="133"/>
      <c r="C144" s="10" t="s">
        <v>500</v>
      </c>
      <c r="D144" s="10"/>
      <c r="E144" s="10"/>
    </row>
    <row r="145" spans="1:5" ht="27.75" customHeight="1" x14ac:dyDescent="0.35">
      <c r="A145" s="135" t="s">
        <v>501</v>
      </c>
      <c r="B145" s="133"/>
      <c r="C145" s="10" t="s">
        <v>502</v>
      </c>
      <c r="D145" s="10"/>
      <c r="E145" s="10"/>
    </row>
    <row r="146" spans="1:5" ht="27.75" customHeight="1" x14ac:dyDescent="0.35">
      <c r="A146" s="135" t="s">
        <v>503</v>
      </c>
      <c r="B146" s="134"/>
      <c r="C146" s="10" t="s">
        <v>504</v>
      </c>
      <c r="D146" s="10"/>
      <c r="E146" s="10"/>
    </row>
    <row r="148" spans="1:5" ht="25.5" customHeight="1" x14ac:dyDescent="0.35">
      <c r="A148" s="9" t="s">
        <v>505</v>
      </c>
      <c r="B148" s="9"/>
      <c r="C148" s="9"/>
      <c r="D148" s="9"/>
      <c r="E148" s="9"/>
    </row>
    <row r="149" spans="1:5" ht="21.75" customHeight="1" x14ac:dyDescent="0.35">
      <c r="A149" s="185" t="s">
        <v>506</v>
      </c>
      <c r="B149" s="185"/>
      <c r="C149" s="185"/>
      <c r="D149" s="185"/>
      <c r="E149" s="185"/>
    </row>
    <row r="150" spans="1:5" ht="25.5" customHeight="1" x14ac:dyDescent="0.35">
      <c r="A150" s="136" t="s">
        <v>507</v>
      </c>
      <c r="B150" s="194" t="s">
        <v>508</v>
      </c>
      <c r="C150" s="194"/>
      <c r="D150" s="194"/>
      <c r="E150" s="194"/>
    </row>
    <row r="151" spans="1:5" ht="43.5" customHeight="1" x14ac:dyDescent="0.35">
      <c r="A151" s="195"/>
      <c r="B151" s="195"/>
      <c r="C151" s="195"/>
      <c r="D151" s="195"/>
      <c r="E151" s="195"/>
    </row>
    <row r="152" spans="1:5" ht="25.5" customHeight="1" x14ac:dyDescent="0.35">
      <c r="A152" s="136" t="s">
        <v>509</v>
      </c>
      <c r="B152" s="194" t="s">
        <v>510</v>
      </c>
      <c r="C152" s="194"/>
      <c r="D152" s="194"/>
      <c r="E152" s="194"/>
    </row>
    <row r="153" spans="1:5" ht="43.5" customHeight="1" x14ac:dyDescent="0.35">
      <c r="A153" s="195"/>
      <c r="B153" s="195"/>
      <c r="C153" s="195"/>
      <c r="D153" s="195"/>
      <c r="E153" s="195"/>
    </row>
    <row r="154" spans="1:5" ht="25.5" customHeight="1" x14ac:dyDescent="0.35">
      <c r="A154" s="136" t="s">
        <v>511</v>
      </c>
      <c r="B154" s="194" t="s">
        <v>512</v>
      </c>
      <c r="C154" s="194"/>
      <c r="D154" s="194"/>
      <c r="E154" s="194"/>
    </row>
    <row r="155" spans="1:5" ht="43.5" customHeight="1" x14ac:dyDescent="0.35">
      <c r="A155" s="195"/>
      <c r="B155" s="195"/>
      <c r="C155" s="195"/>
      <c r="D155" s="195"/>
      <c r="E155" s="195"/>
    </row>
    <row r="156" spans="1:5" ht="25.5" customHeight="1" x14ac:dyDescent="0.35">
      <c r="A156" s="136" t="s">
        <v>513</v>
      </c>
      <c r="B156" s="194" t="s">
        <v>514</v>
      </c>
      <c r="C156" s="194"/>
      <c r="D156" s="194"/>
      <c r="E156" s="194"/>
    </row>
    <row r="157" spans="1:5" ht="43.5" customHeight="1" x14ac:dyDescent="0.35">
      <c r="A157" s="195"/>
      <c r="B157" s="195"/>
      <c r="C157" s="195"/>
      <c r="D157" s="195"/>
      <c r="E157" s="195"/>
    </row>
    <row r="158" spans="1:5" ht="25.5" customHeight="1" x14ac:dyDescent="0.35">
      <c r="A158" s="136" t="s">
        <v>515</v>
      </c>
      <c r="B158" s="194" t="s">
        <v>516</v>
      </c>
      <c r="C158" s="194"/>
      <c r="D158" s="194"/>
      <c r="E158" s="194"/>
    </row>
    <row r="159" spans="1:5" ht="43.5" customHeight="1" x14ac:dyDescent="0.35">
      <c r="A159" s="195"/>
      <c r="B159" s="195"/>
      <c r="C159" s="195"/>
      <c r="D159" s="195"/>
      <c r="E159" s="195"/>
    </row>
    <row r="160" spans="1:5" ht="25.5" customHeight="1" x14ac:dyDescent="0.35">
      <c r="A160" s="136" t="s">
        <v>517</v>
      </c>
      <c r="B160" s="194" t="s">
        <v>518</v>
      </c>
      <c r="C160" s="194"/>
      <c r="D160" s="194"/>
      <c r="E160" s="194"/>
    </row>
    <row r="161" spans="1:5" ht="43.5" customHeight="1" x14ac:dyDescent="0.35">
      <c r="A161" s="195"/>
      <c r="B161" s="195"/>
      <c r="C161" s="195"/>
      <c r="D161" s="195"/>
      <c r="E161" s="195"/>
    </row>
    <row r="164" spans="1:5" ht="33.75" customHeight="1" x14ac:dyDescent="0.35">
      <c r="A164" s="196" t="s">
        <v>519</v>
      </c>
      <c r="B164" s="196"/>
      <c r="C164" s="196"/>
      <c r="D164" s="196"/>
      <c r="E164" s="196"/>
    </row>
    <row r="165" spans="1:5" ht="24" customHeight="1" x14ac:dyDescent="0.35">
      <c r="A165" s="197" t="s">
        <v>520</v>
      </c>
      <c r="B165" s="197"/>
      <c r="C165" s="197"/>
      <c r="D165" s="197"/>
      <c r="E165" s="197"/>
    </row>
    <row r="166" spans="1:5" ht="25.5" customHeight="1" x14ac:dyDescent="0.35">
      <c r="A166" s="9" t="s">
        <v>521</v>
      </c>
      <c r="B166" s="9"/>
      <c r="C166" s="9"/>
      <c r="D166" s="9"/>
      <c r="E166" s="9"/>
    </row>
    <row r="167" spans="1:5" ht="21.75" customHeight="1" x14ac:dyDescent="0.35">
      <c r="A167" s="97" t="s">
        <v>522</v>
      </c>
      <c r="B167" s="14" t="s">
        <v>523</v>
      </c>
      <c r="C167" s="14"/>
      <c r="D167" s="14"/>
      <c r="E167" s="14"/>
    </row>
    <row r="168" spans="1:5" ht="27.75" customHeight="1" x14ac:dyDescent="0.35">
      <c r="A168" s="103" t="s">
        <v>524</v>
      </c>
      <c r="B168" s="7" t="s">
        <v>525</v>
      </c>
      <c r="C168" s="7"/>
      <c r="D168" s="7"/>
      <c r="E168" s="7"/>
    </row>
    <row r="169" spans="1:5" ht="27.75" customHeight="1" x14ac:dyDescent="0.35">
      <c r="A169" s="104" t="s">
        <v>526</v>
      </c>
      <c r="B169" s="6" t="s">
        <v>527</v>
      </c>
      <c r="C169" s="6"/>
      <c r="D169" s="6"/>
      <c r="E169" s="6"/>
    </row>
    <row r="170" spans="1:5" ht="27.75" customHeight="1" x14ac:dyDescent="0.35">
      <c r="A170" s="105" t="s">
        <v>528</v>
      </c>
      <c r="B170" s="5" t="s">
        <v>529</v>
      </c>
      <c r="C170" s="5"/>
      <c r="D170" s="5"/>
      <c r="E170" s="5"/>
    </row>
    <row r="171" spans="1:5" ht="27.75" customHeight="1" x14ac:dyDescent="0.35">
      <c r="A171" s="106" t="s">
        <v>530</v>
      </c>
      <c r="B171" s="4" t="s">
        <v>531</v>
      </c>
      <c r="C171" s="4"/>
      <c r="D171" s="4"/>
      <c r="E171" s="4"/>
    </row>
    <row r="172" spans="1:5" ht="27.75" customHeight="1" x14ac:dyDescent="0.35">
      <c r="A172" s="107" t="s">
        <v>532</v>
      </c>
      <c r="B172" s="3" t="s">
        <v>533</v>
      </c>
      <c r="C172" s="3"/>
      <c r="D172" s="3"/>
      <c r="E172" s="3"/>
    </row>
    <row r="174" spans="1:5" ht="30" customHeight="1" x14ac:dyDescent="0.35">
      <c r="A174" s="99" t="s">
        <v>534</v>
      </c>
      <c r="B174" s="133"/>
      <c r="C174" s="10" t="s">
        <v>535</v>
      </c>
      <c r="D174" s="10"/>
      <c r="E174" s="10"/>
    </row>
    <row r="175" spans="1:5" ht="30" customHeight="1" x14ac:dyDescent="0.35">
      <c r="A175" s="99" t="s">
        <v>536</v>
      </c>
      <c r="B175" s="133"/>
      <c r="C175" s="10" t="s">
        <v>537</v>
      </c>
      <c r="D175" s="10"/>
      <c r="E175" s="10"/>
    </row>
    <row r="176" spans="1:5" ht="30" customHeight="1" x14ac:dyDescent="0.35">
      <c r="A176" s="99" t="s">
        <v>538</v>
      </c>
      <c r="B176" s="133"/>
      <c r="C176" s="10" t="s">
        <v>539</v>
      </c>
      <c r="D176" s="10"/>
      <c r="E176" s="10"/>
    </row>
    <row r="177" spans="1:5" ht="30" customHeight="1" x14ac:dyDescent="0.35">
      <c r="A177" s="99" t="s">
        <v>540</v>
      </c>
      <c r="B177" s="133"/>
      <c r="C177" s="10" t="s">
        <v>541</v>
      </c>
      <c r="D177" s="10"/>
      <c r="E177" s="10"/>
    </row>
    <row r="179" spans="1:5" ht="25.5" customHeight="1" x14ac:dyDescent="0.35">
      <c r="A179" s="198" t="s">
        <v>542</v>
      </c>
      <c r="B179" s="198"/>
      <c r="C179" s="198"/>
      <c r="D179" s="198"/>
      <c r="E179" s="198"/>
    </row>
    <row r="180" spans="1:5" ht="19.5" customHeight="1" x14ac:dyDescent="0.35">
      <c r="A180" s="199" t="s">
        <v>543</v>
      </c>
      <c r="B180" s="199"/>
      <c r="C180" s="199"/>
      <c r="D180" s="199"/>
      <c r="E180" s="199"/>
    </row>
    <row r="181" spans="1:5" ht="30" customHeight="1" x14ac:dyDescent="0.35">
      <c r="A181" s="122" t="s">
        <v>544</v>
      </c>
      <c r="B181" s="137"/>
      <c r="C181" s="10" t="s">
        <v>545</v>
      </c>
      <c r="D181" s="10"/>
      <c r="E181" s="10"/>
    </row>
    <row r="182" spans="1:5" ht="30" customHeight="1" x14ac:dyDescent="0.35">
      <c r="A182" s="122" t="s">
        <v>546</v>
      </c>
      <c r="B182" s="137"/>
      <c r="C182" s="10" t="s">
        <v>547</v>
      </c>
      <c r="D182" s="10"/>
      <c r="E182" s="10"/>
    </row>
    <row r="183" spans="1:5" ht="30" customHeight="1" x14ac:dyDescent="0.35">
      <c r="A183" s="122" t="s">
        <v>548</v>
      </c>
      <c r="B183" s="137"/>
      <c r="C183" s="10" t="s">
        <v>549</v>
      </c>
      <c r="D183" s="10"/>
      <c r="E183" s="10"/>
    </row>
    <row r="184" spans="1:5" ht="30" customHeight="1" x14ac:dyDescent="0.35">
      <c r="A184" s="122" t="s">
        <v>550</v>
      </c>
      <c r="B184" s="137"/>
      <c r="C184" s="10" t="s">
        <v>551</v>
      </c>
      <c r="D184" s="10"/>
      <c r="E184" s="10"/>
    </row>
    <row r="185" spans="1:5" ht="30" customHeight="1" x14ac:dyDescent="0.35">
      <c r="A185" s="122" t="s">
        <v>552</v>
      </c>
      <c r="B185" s="137"/>
      <c r="C185" s="10" t="s">
        <v>553</v>
      </c>
      <c r="D185" s="10"/>
      <c r="E185" s="10"/>
    </row>
    <row r="186" spans="1:5" ht="30" customHeight="1" x14ac:dyDescent="0.35">
      <c r="A186" s="122" t="s">
        <v>554</v>
      </c>
      <c r="B186" s="137"/>
      <c r="C186" s="10" t="s">
        <v>555</v>
      </c>
      <c r="D186" s="10"/>
      <c r="E186" s="10"/>
    </row>
    <row r="187" spans="1:5" ht="30" customHeight="1" x14ac:dyDescent="0.35">
      <c r="A187" s="122" t="s">
        <v>556</v>
      </c>
      <c r="B187" s="137"/>
      <c r="C187" s="10" t="s">
        <v>557</v>
      </c>
      <c r="D187" s="10"/>
      <c r="E187" s="10"/>
    </row>
    <row r="188" spans="1:5" ht="30" customHeight="1" x14ac:dyDescent="0.35">
      <c r="A188" s="122" t="s">
        <v>558</v>
      </c>
      <c r="B188" s="137"/>
      <c r="C188" s="10" t="s">
        <v>559</v>
      </c>
      <c r="D188" s="10"/>
      <c r="E188" s="10"/>
    </row>
    <row r="189" spans="1:5" ht="30" customHeight="1" x14ac:dyDescent="0.35">
      <c r="A189" s="122" t="s">
        <v>560</v>
      </c>
      <c r="B189" s="137"/>
      <c r="C189" s="10" t="s">
        <v>561</v>
      </c>
      <c r="D189" s="10"/>
      <c r="E189" s="10"/>
    </row>
    <row r="190" spans="1:5" ht="30" customHeight="1" x14ac:dyDescent="0.35">
      <c r="A190" s="122" t="s">
        <v>562</v>
      </c>
      <c r="B190" s="137"/>
      <c r="C190" s="10" t="s">
        <v>563</v>
      </c>
      <c r="D190" s="10"/>
      <c r="E190" s="10"/>
    </row>
    <row r="191" spans="1:5" ht="30" customHeight="1" x14ac:dyDescent="0.35">
      <c r="A191" s="122" t="s">
        <v>564</v>
      </c>
      <c r="B191" s="137"/>
      <c r="C191" s="10" t="s">
        <v>565</v>
      </c>
      <c r="D191" s="10"/>
      <c r="E191" s="10"/>
    </row>
    <row r="192" spans="1:5" ht="30" customHeight="1" x14ac:dyDescent="0.35">
      <c r="A192" s="122" t="s">
        <v>566</v>
      </c>
      <c r="B192" s="137"/>
      <c r="C192" s="10" t="s">
        <v>567</v>
      </c>
      <c r="D192" s="10"/>
      <c r="E192" s="10"/>
    </row>
    <row r="194" spans="1:5" ht="25.5" customHeight="1" x14ac:dyDescent="0.35">
      <c r="A194" s="200" t="s">
        <v>568</v>
      </c>
      <c r="B194" s="200"/>
      <c r="C194" s="200"/>
      <c r="D194" s="200"/>
      <c r="E194" s="200"/>
    </row>
    <row r="195" spans="1:5" ht="27.75" customHeight="1" x14ac:dyDescent="0.35">
      <c r="A195" s="99" t="s">
        <v>569</v>
      </c>
      <c r="B195" s="134"/>
      <c r="C195" s="10" t="s">
        <v>570</v>
      </c>
      <c r="D195" s="10"/>
      <c r="E195" s="10"/>
    </row>
    <row r="196" spans="1:5" ht="27.75" customHeight="1" x14ac:dyDescent="0.35">
      <c r="A196" s="99" t="s">
        <v>571</v>
      </c>
      <c r="B196" s="134"/>
      <c r="C196" s="10" t="s">
        <v>572</v>
      </c>
      <c r="D196" s="10"/>
      <c r="E196" s="10"/>
    </row>
    <row r="197" spans="1:5" ht="27.75" customHeight="1" x14ac:dyDescent="0.35">
      <c r="A197" s="99" t="s">
        <v>573</v>
      </c>
      <c r="B197" s="134"/>
      <c r="C197" s="10" t="s">
        <v>574</v>
      </c>
      <c r="D197" s="10"/>
      <c r="E197" s="10"/>
    </row>
    <row r="198" spans="1:5" ht="27.75" customHeight="1" x14ac:dyDescent="0.35">
      <c r="A198" s="99" t="s">
        <v>575</v>
      </c>
      <c r="B198" s="134"/>
      <c r="C198" s="10" t="s">
        <v>576</v>
      </c>
      <c r="D198" s="10"/>
      <c r="E198" s="10"/>
    </row>
    <row r="199" spans="1:5" ht="27.75" customHeight="1" x14ac:dyDescent="0.35">
      <c r="A199" s="99" t="s">
        <v>577</v>
      </c>
      <c r="B199" s="134"/>
      <c r="C199" s="10" t="s">
        <v>578</v>
      </c>
      <c r="D199" s="10"/>
      <c r="E199" s="10"/>
    </row>
    <row r="200" spans="1:5" ht="27.75" customHeight="1" x14ac:dyDescent="0.35">
      <c r="A200" s="99" t="s">
        <v>579</v>
      </c>
      <c r="B200" s="134"/>
      <c r="C200" s="10" t="s">
        <v>580</v>
      </c>
      <c r="D200" s="10"/>
      <c r="E200" s="10"/>
    </row>
    <row r="201" spans="1:5" ht="27.75" customHeight="1" x14ac:dyDescent="0.35">
      <c r="A201" s="99" t="s">
        <v>581</v>
      </c>
      <c r="B201" s="134"/>
      <c r="C201" s="10" t="s">
        <v>582</v>
      </c>
      <c r="D201" s="10"/>
      <c r="E201" s="10"/>
    </row>
    <row r="203" spans="1:5" ht="25.5" customHeight="1" x14ac:dyDescent="0.35">
      <c r="A203" s="187" t="s">
        <v>583</v>
      </c>
      <c r="B203" s="187"/>
      <c r="C203" s="187"/>
      <c r="D203" s="187"/>
      <c r="E203" s="187"/>
    </row>
    <row r="204" spans="1:5" ht="25.5" customHeight="1" x14ac:dyDescent="0.35">
      <c r="A204" s="131" t="s">
        <v>584</v>
      </c>
      <c r="B204" s="201" t="s">
        <v>585</v>
      </c>
      <c r="C204" s="201"/>
      <c r="D204" s="201"/>
      <c r="E204" s="201"/>
    </row>
    <row r="205" spans="1:5" ht="43.5" customHeight="1" x14ac:dyDescent="0.35">
      <c r="A205" s="202"/>
      <c r="B205" s="202"/>
      <c r="C205" s="202"/>
      <c r="D205" s="202"/>
      <c r="E205" s="202"/>
    </row>
    <row r="206" spans="1:5" ht="25.5" customHeight="1" x14ac:dyDescent="0.35">
      <c r="A206" s="131" t="s">
        <v>586</v>
      </c>
      <c r="B206" s="201" t="s">
        <v>587</v>
      </c>
      <c r="C206" s="201"/>
      <c r="D206" s="201"/>
      <c r="E206" s="201"/>
    </row>
    <row r="207" spans="1:5" ht="43.5" customHeight="1" x14ac:dyDescent="0.35">
      <c r="A207" s="202"/>
      <c r="B207" s="202"/>
      <c r="C207" s="202"/>
      <c r="D207" s="202"/>
      <c r="E207" s="202"/>
    </row>
    <row r="208" spans="1:5" ht="25.5" customHeight="1" x14ac:dyDescent="0.35">
      <c r="A208" s="131" t="s">
        <v>588</v>
      </c>
      <c r="B208" s="201" t="s">
        <v>589</v>
      </c>
      <c r="C208" s="201"/>
      <c r="D208" s="201"/>
      <c r="E208" s="201"/>
    </row>
    <row r="209" spans="1:5" ht="43.5" customHeight="1" x14ac:dyDescent="0.35">
      <c r="A209" s="202"/>
      <c r="B209" s="202"/>
      <c r="C209" s="202"/>
      <c r="D209" s="202"/>
      <c r="E209" s="202"/>
    </row>
    <row r="210" spans="1:5" ht="25.5" customHeight="1" x14ac:dyDescent="0.35">
      <c r="A210" s="131" t="s">
        <v>590</v>
      </c>
      <c r="B210" s="201" t="s">
        <v>591</v>
      </c>
      <c r="C210" s="201"/>
      <c r="D210" s="201"/>
      <c r="E210" s="201"/>
    </row>
    <row r="211" spans="1:5" ht="43.5" customHeight="1" x14ac:dyDescent="0.35">
      <c r="A211" s="202"/>
      <c r="B211" s="202"/>
      <c r="C211" s="202"/>
      <c r="D211" s="202"/>
      <c r="E211" s="202"/>
    </row>
  </sheetData>
  <mergeCells count="160">
    <mergeCell ref="A205:E205"/>
    <mergeCell ref="B206:E206"/>
    <mergeCell ref="A207:E207"/>
    <mergeCell ref="B208:E208"/>
    <mergeCell ref="A209:E209"/>
    <mergeCell ref="B210:E210"/>
    <mergeCell ref="A211:E211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A1:D1"/>
    <mergeCell ref="A2:D2"/>
    <mergeCell ref="A3:D3"/>
    <mergeCell ref="A5:D5"/>
    <mergeCell ref="C6:D6"/>
    <mergeCell ref="C7:D7"/>
    <mergeCell ref="C8:D8"/>
    <mergeCell ref="C9:D9"/>
    <mergeCell ref="C10:D10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Listas!$U$2:$U$8</xm:f>
          </x14:formula1>
          <x14:formula2>
            <xm:f>0</xm:f>
          </x14:formula2>
          <xm:sqref>B68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1"/>
  <sheetViews>
    <sheetView view="pageBreakPreview"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249" t="s">
        <v>592</v>
      </c>
      <c r="B1" s="249"/>
      <c r="C1" s="249"/>
      <c r="D1" s="249"/>
    </row>
    <row r="2" spans="1:4" ht="18" customHeight="1" x14ac:dyDescent="0.35">
      <c r="A2" s="250" t="s">
        <v>302</v>
      </c>
      <c r="B2" s="250"/>
      <c r="C2" s="250"/>
      <c r="D2" s="250"/>
    </row>
    <row r="3" spans="1:4" ht="19.5" customHeight="1" x14ac:dyDescent="0.35">
      <c r="A3" s="251" t="s">
        <v>303</v>
      </c>
      <c r="B3" s="251"/>
      <c r="C3" s="251"/>
      <c r="D3" s="251"/>
    </row>
    <row r="5" spans="1:4" ht="21.75" customHeight="1" x14ac:dyDescent="0.35">
      <c r="A5" s="252" t="s">
        <v>304</v>
      </c>
      <c r="B5" s="252"/>
      <c r="C5" s="252"/>
      <c r="D5" s="252"/>
    </row>
    <row r="6" spans="1:4" ht="24" customHeight="1" x14ac:dyDescent="0.35">
      <c r="A6" s="61" t="s">
        <v>305</v>
      </c>
      <c r="B6" s="140"/>
      <c r="C6" s="253" t="s">
        <v>306</v>
      </c>
      <c r="D6" s="253"/>
    </row>
    <row r="7" spans="1:4" ht="24" customHeight="1" x14ac:dyDescent="0.35">
      <c r="A7" s="61" t="s">
        <v>307</v>
      </c>
      <c r="B7" s="140"/>
      <c r="C7" s="253" t="s">
        <v>308</v>
      </c>
      <c r="D7" s="253"/>
    </row>
    <row r="8" spans="1:4" ht="24" customHeight="1" x14ac:dyDescent="0.35">
      <c r="A8" s="61" t="s">
        <v>309</v>
      </c>
      <c r="B8" s="140"/>
      <c r="C8" s="253" t="s">
        <v>310</v>
      </c>
      <c r="D8" s="253"/>
    </row>
    <row r="9" spans="1:4" ht="24" customHeight="1" x14ac:dyDescent="0.35">
      <c r="A9" s="61" t="s">
        <v>311</v>
      </c>
      <c r="B9" s="140"/>
      <c r="C9" s="253" t="s">
        <v>312</v>
      </c>
      <c r="D9" s="253"/>
    </row>
    <row r="10" spans="1:4" ht="24" customHeight="1" x14ac:dyDescent="0.35">
      <c r="A10" s="61" t="s">
        <v>313</v>
      </c>
      <c r="B10" s="140"/>
      <c r="C10" s="253" t="s">
        <v>314</v>
      </c>
      <c r="D10" s="253"/>
    </row>
    <row r="11" spans="1:4" ht="24" customHeight="1" x14ac:dyDescent="0.35">
      <c r="A11" s="61" t="s">
        <v>315</v>
      </c>
      <c r="B11" s="140"/>
      <c r="C11" s="253" t="s">
        <v>316</v>
      </c>
      <c r="D11" s="253"/>
    </row>
    <row r="13" spans="1:4" ht="21.75" customHeight="1" x14ac:dyDescent="0.35">
      <c r="A13" s="252" t="s">
        <v>317</v>
      </c>
      <c r="B13" s="252"/>
      <c r="C13" s="252"/>
      <c r="D13" s="252"/>
    </row>
    <row r="14" spans="1:4" ht="19.5" customHeight="1" x14ac:dyDescent="0.35">
      <c r="A14" s="138" t="s">
        <v>6</v>
      </c>
      <c r="B14" s="254" t="s">
        <v>318</v>
      </c>
      <c r="C14" s="254"/>
      <c r="D14" s="254"/>
    </row>
    <row r="15" spans="1:4" ht="21.75" customHeight="1" x14ac:dyDescent="0.35">
      <c r="A15" s="142" t="s">
        <v>9</v>
      </c>
      <c r="B15" s="255" t="s">
        <v>319</v>
      </c>
      <c r="C15" s="255"/>
      <c r="D15" s="255"/>
    </row>
    <row r="16" spans="1:4" ht="21.75" customHeight="1" x14ac:dyDescent="0.35">
      <c r="A16" s="143" t="s">
        <v>12</v>
      </c>
      <c r="B16" s="256" t="s">
        <v>320</v>
      </c>
      <c r="C16" s="256"/>
      <c r="D16" s="256"/>
    </row>
    <row r="17" spans="1:5" ht="21.75" customHeight="1" x14ac:dyDescent="0.35">
      <c r="A17" s="144" t="s">
        <v>15</v>
      </c>
      <c r="B17" s="257" t="s">
        <v>321</v>
      </c>
      <c r="C17" s="257"/>
      <c r="D17" s="257"/>
    </row>
    <row r="18" spans="1:5" ht="21.75" customHeight="1" x14ac:dyDescent="0.35">
      <c r="A18" s="145" t="s">
        <v>322</v>
      </c>
      <c r="B18" s="258" t="s">
        <v>323</v>
      </c>
      <c r="C18" s="258"/>
      <c r="D18" s="258"/>
    </row>
    <row r="19" spans="1:5" ht="21.75" customHeight="1" x14ac:dyDescent="0.35">
      <c r="A19" s="146" t="s">
        <v>21</v>
      </c>
      <c r="B19" s="259" t="s">
        <v>324</v>
      </c>
      <c r="C19" s="259"/>
      <c r="D19" s="259"/>
    </row>
    <row r="20" spans="1:5" ht="21.75" customHeight="1" x14ac:dyDescent="0.35">
      <c r="A20" s="147" t="s">
        <v>24</v>
      </c>
      <c r="B20" s="260" t="s">
        <v>325</v>
      </c>
      <c r="C20" s="260"/>
      <c r="D20" s="260"/>
    </row>
    <row r="22" spans="1:5" ht="30" customHeight="1" x14ac:dyDescent="0.35">
      <c r="A22" s="61" t="s">
        <v>326</v>
      </c>
      <c r="B22" s="148"/>
      <c r="C22" s="261" t="s">
        <v>327</v>
      </c>
      <c r="D22" s="261"/>
    </row>
    <row r="23" spans="1:5" ht="30" customHeight="1" x14ac:dyDescent="0.35">
      <c r="A23" s="149" t="s">
        <v>328</v>
      </c>
      <c r="B23" s="150" t="s">
        <v>322</v>
      </c>
      <c r="C23" s="262" t="s">
        <v>329</v>
      </c>
      <c r="D23" s="262"/>
    </row>
    <row r="24" spans="1:5" ht="39.75" customHeight="1" x14ac:dyDescent="0.35">
      <c r="A24" s="61" t="s">
        <v>330</v>
      </c>
      <c r="B24" s="263"/>
      <c r="C24" s="263"/>
      <c r="D24" s="263"/>
    </row>
    <row r="26" spans="1:5" ht="21.75" customHeight="1" x14ac:dyDescent="0.35">
      <c r="A26" s="252" t="s">
        <v>331</v>
      </c>
      <c r="B26" s="252"/>
      <c r="C26" s="252"/>
      <c r="D26" s="252"/>
    </row>
    <row r="27" spans="1:5" ht="21.75" customHeight="1" x14ac:dyDescent="0.35">
      <c r="A27" s="152" t="s">
        <v>332</v>
      </c>
      <c r="B27" s="152" t="s">
        <v>333</v>
      </c>
      <c r="C27" s="152" t="s">
        <v>334</v>
      </c>
      <c r="D27" s="152" t="s">
        <v>335</v>
      </c>
      <c r="E27" s="15" t="s">
        <v>336</v>
      </c>
    </row>
    <row r="28" spans="1:5" ht="18" customHeight="1" x14ac:dyDescent="0.35">
      <c r="A28" s="229" t="s">
        <v>230</v>
      </c>
      <c r="B28" s="229"/>
      <c r="C28" s="229"/>
      <c r="D28" s="229"/>
      <c r="E28" s="113"/>
    </row>
    <row r="29" spans="1:5" ht="30" customHeight="1" x14ac:dyDescent="0.35">
      <c r="A29" s="153" t="s">
        <v>337</v>
      </c>
      <c r="B29" s="154"/>
      <c r="C29" s="23" t="s">
        <v>15</v>
      </c>
      <c r="D29" s="155" t="s">
        <v>338</v>
      </c>
      <c r="E29" s="156"/>
    </row>
    <row r="30" spans="1:5" ht="30" customHeight="1" x14ac:dyDescent="0.35">
      <c r="A30" s="153" t="s">
        <v>339</v>
      </c>
      <c r="B30" s="154"/>
      <c r="C30" s="26" t="s">
        <v>322</v>
      </c>
      <c r="D30" s="155" t="s">
        <v>340</v>
      </c>
      <c r="E30" s="156"/>
    </row>
    <row r="31" spans="1:5" ht="18" customHeight="1" x14ac:dyDescent="0.35">
      <c r="A31" s="229" t="s">
        <v>233</v>
      </c>
      <c r="B31" s="229"/>
      <c r="C31" s="229"/>
      <c r="D31" s="229"/>
      <c r="E31" s="113"/>
    </row>
    <row r="32" spans="1:5" ht="30" customHeight="1" x14ac:dyDescent="0.35">
      <c r="A32" s="153" t="s">
        <v>341</v>
      </c>
      <c r="B32" s="154"/>
      <c r="C32" s="23" t="s">
        <v>15</v>
      </c>
      <c r="D32" s="155" t="s">
        <v>342</v>
      </c>
      <c r="E32" s="156"/>
    </row>
    <row r="33" spans="1:5" ht="30" customHeight="1" x14ac:dyDescent="0.35">
      <c r="A33" s="153" t="s">
        <v>343</v>
      </c>
      <c r="B33" s="154"/>
      <c r="C33" s="26" t="s">
        <v>322</v>
      </c>
      <c r="D33" s="155" t="s">
        <v>344</v>
      </c>
      <c r="E33" s="156"/>
    </row>
    <row r="34" spans="1:5" ht="30" customHeight="1" x14ac:dyDescent="0.35">
      <c r="A34" s="153" t="s">
        <v>345</v>
      </c>
      <c r="B34" s="154"/>
      <c r="C34" s="23" t="s">
        <v>15</v>
      </c>
      <c r="D34" s="155" t="s">
        <v>346</v>
      </c>
      <c r="E34" s="156"/>
    </row>
    <row r="35" spans="1:5" ht="30" customHeight="1" x14ac:dyDescent="0.35">
      <c r="A35" s="153" t="s">
        <v>347</v>
      </c>
      <c r="B35" s="154"/>
      <c r="C35" s="26" t="s">
        <v>322</v>
      </c>
      <c r="D35" s="155" t="s">
        <v>348</v>
      </c>
      <c r="E35" s="156"/>
    </row>
    <row r="36" spans="1:5" ht="18" customHeight="1" x14ac:dyDescent="0.35">
      <c r="A36" s="229" t="s">
        <v>238</v>
      </c>
      <c r="B36" s="229"/>
      <c r="C36" s="229"/>
      <c r="D36" s="229"/>
      <c r="E36" s="113"/>
    </row>
    <row r="37" spans="1:5" ht="30" customHeight="1" x14ac:dyDescent="0.35">
      <c r="A37" s="153" t="s">
        <v>349</v>
      </c>
      <c r="B37" s="154"/>
      <c r="C37" s="23" t="s">
        <v>15</v>
      </c>
      <c r="D37" s="155" t="s">
        <v>350</v>
      </c>
      <c r="E37" s="156"/>
    </row>
    <row r="38" spans="1:5" ht="30" customHeight="1" x14ac:dyDescent="0.35">
      <c r="A38" s="153" t="s">
        <v>351</v>
      </c>
      <c r="B38" s="154"/>
      <c r="C38" s="26" t="s">
        <v>322</v>
      </c>
      <c r="D38" s="155" t="s">
        <v>352</v>
      </c>
      <c r="E38" s="156"/>
    </row>
    <row r="39" spans="1:5" ht="30" customHeight="1" x14ac:dyDescent="0.35">
      <c r="A39" s="153" t="s">
        <v>353</v>
      </c>
      <c r="B39" s="154"/>
      <c r="C39" s="26" t="s">
        <v>322</v>
      </c>
      <c r="D39" s="155" t="s">
        <v>354</v>
      </c>
      <c r="E39" s="156"/>
    </row>
    <row r="40" spans="1:5" ht="30" customHeight="1" x14ac:dyDescent="0.35">
      <c r="A40" s="153" t="s">
        <v>355</v>
      </c>
      <c r="B40" s="154"/>
      <c r="C40" s="23" t="s">
        <v>15</v>
      </c>
      <c r="D40" s="155" t="s">
        <v>356</v>
      </c>
      <c r="E40" s="156"/>
    </row>
    <row r="41" spans="1:5" ht="18" customHeight="1" x14ac:dyDescent="0.35">
      <c r="A41" s="229" t="s">
        <v>243</v>
      </c>
      <c r="B41" s="229"/>
      <c r="C41" s="229"/>
      <c r="D41" s="229"/>
      <c r="E41" s="113"/>
    </row>
    <row r="42" spans="1:5" ht="30" customHeight="1" x14ac:dyDescent="0.35">
      <c r="A42" s="153" t="s">
        <v>357</v>
      </c>
      <c r="B42" s="154"/>
      <c r="C42" s="23" t="s">
        <v>15</v>
      </c>
      <c r="D42" s="155" t="s">
        <v>358</v>
      </c>
      <c r="E42" s="156"/>
    </row>
    <row r="43" spans="1:5" ht="30" customHeight="1" x14ac:dyDescent="0.35">
      <c r="A43" s="153" t="s">
        <v>359</v>
      </c>
      <c r="B43" s="154"/>
      <c r="C43" s="23" t="s">
        <v>15</v>
      </c>
      <c r="D43" s="155" t="s">
        <v>360</v>
      </c>
      <c r="E43" s="156"/>
    </row>
    <row r="44" spans="1:5" ht="30" customHeight="1" x14ac:dyDescent="0.35">
      <c r="A44" s="153" t="s">
        <v>361</v>
      </c>
      <c r="B44" s="154"/>
      <c r="C44" s="26" t="s">
        <v>322</v>
      </c>
      <c r="D44" s="155" t="s">
        <v>362</v>
      </c>
      <c r="E44" s="156"/>
    </row>
    <row r="45" spans="1:5" ht="30" customHeight="1" x14ac:dyDescent="0.35">
      <c r="A45" s="153" t="s">
        <v>363</v>
      </c>
      <c r="B45" s="154"/>
      <c r="C45" s="26" t="s">
        <v>322</v>
      </c>
      <c r="D45" s="155" t="s">
        <v>364</v>
      </c>
      <c r="E45" s="156"/>
    </row>
    <row r="46" spans="1:5" ht="30" customHeight="1" x14ac:dyDescent="0.35">
      <c r="A46" s="153" t="s">
        <v>365</v>
      </c>
      <c r="B46" s="154"/>
      <c r="C46" s="23" t="s">
        <v>15</v>
      </c>
      <c r="D46" s="155" t="s">
        <v>366</v>
      </c>
      <c r="E46" s="156"/>
    </row>
    <row r="47" spans="1:5" ht="30" customHeight="1" x14ac:dyDescent="0.35">
      <c r="A47" s="153" t="s">
        <v>367</v>
      </c>
      <c r="B47" s="154"/>
      <c r="C47" s="29" t="s">
        <v>21</v>
      </c>
      <c r="D47" s="155" t="s">
        <v>368</v>
      </c>
      <c r="E47" s="156"/>
    </row>
    <row r="48" spans="1:5" ht="30" customHeight="1" x14ac:dyDescent="0.35">
      <c r="A48" s="153" t="s">
        <v>369</v>
      </c>
      <c r="B48" s="154"/>
      <c r="C48" s="26" t="s">
        <v>322</v>
      </c>
      <c r="D48" s="155" t="s">
        <v>370</v>
      </c>
      <c r="E48" s="156"/>
    </row>
    <row r="50" spans="1:5" ht="21.75" customHeight="1" x14ac:dyDescent="0.35">
      <c r="A50" s="252" t="s">
        <v>371</v>
      </c>
      <c r="B50" s="252"/>
      <c r="C50" s="252"/>
      <c r="D50" s="252"/>
    </row>
    <row r="51" spans="1:5" ht="19.5" customHeight="1" x14ac:dyDescent="0.35">
      <c r="A51" s="226" t="s">
        <v>372</v>
      </c>
      <c r="B51" s="226"/>
      <c r="C51" s="226"/>
      <c r="D51" s="226"/>
    </row>
    <row r="52" spans="1:5" ht="21.75" customHeight="1" x14ac:dyDescent="0.35">
      <c r="A52" s="152" t="s">
        <v>373</v>
      </c>
      <c r="B52" s="152" t="s">
        <v>374</v>
      </c>
      <c r="C52" s="118" t="s">
        <v>375</v>
      </c>
      <c r="D52" s="118" t="s">
        <v>376</v>
      </c>
    </row>
    <row r="53" spans="1:5" ht="39.75" customHeight="1" x14ac:dyDescent="0.35">
      <c r="A53" s="85" t="s">
        <v>377</v>
      </c>
      <c r="B53" s="157"/>
      <c r="C53" s="158" t="s">
        <v>378</v>
      </c>
      <c r="D53" s="140"/>
    </row>
    <row r="54" spans="1:5" ht="39.75" customHeight="1" x14ac:dyDescent="0.35">
      <c r="A54" s="74" t="s">
        <v>379</v>
      </c>
      <c r="B54" s="157"/>
      <c r="C54" s="158" t="s">
        <v>380</v>
      </c>
      <c r="D54" s="140"/>
    </row>
    <row r="55" spans="1:5" ht="39.75" customHeight="1" x14ac:dyDescent="0.35">
      <c r="A55" s="85" t="s">
        <v>381</v>
      </c>
      <c r="B55" s="157"/>
      <c r="C55" s="158" t="s">
        <v>382</v>
      </c>
      <c r="D55" s="140"/>
    </row>
    <row r="56" spans="1:5" ht="39.75" customHeight="1" x14ac:dyDescent="0.35">
      <c r="A56" s="88" t="s">
        <v>383</v>
      </c>
      <c r="B56" s="157"/>
      <c r="C56" s="158" t="s">
        <v>384</v>
      </c>
      <c r="D56" s="140"/>
    </row>
    <row r="57" spans="1:5" ht="39.75" customHeight="1" x14ac:dyDescent="0.35">
      <c r="A57" s="89" t="s">
        <v>385</v>
      </c>
      <c r="B57" s="157"/>
      <c r="C57" s="158" t="s">
        <v>386</v>
      </c>
      <c r="D57" s="140"/>
    </row>
    <row r="58" spans="1:5" ht="39.75" customHeight="1" x14ac:dyDescent="0.35">
      <c r="A58" s="90" t="s">
        <v>387</v>
      </c>
      <c r="B58" s="157"/>
      <c r="C58" s="158" t="s">
        <v>388</v>
      </c>
      <c r="D58" s="140"/>
    </row>
    <row r="59" spans="1:5" ht="39.75" customHeight="1" x14ac:dyDescent="0.35">
      <c r="A59" s="91" t="s">
        <v>389</v>
      </c>
      <c r="B59" s="157"/>
      <c r="C59" s="158" t="s">
        <v>390</v>
      </c>
      <c r="D59" s="140"/>
    </row>
    <row r="60" spans="1:5" ht="36" customHeight="1" x14ac:dyDescent="0.35">
      <c r="A60" s="159" t="s">
        <v>391</v>
      </c>
      <c r="B60" s="160"/>
      <c r="C60" s="140"/>
      <c r="D60" s="140"/>
      <c r="E60" s="161"/>
    </row>
    <row r="61" spans="1:5" ht="36" customHeight="1" x14ac:dyDescent="0.35">
      <c r="A61" s="264" t="s">
        <v>392</v>
      </c>
      <c r="B61" s="264"/>
      <c r="C61" s="264"/>
      <c r="D61" s="264"/>
      <c r="E61" s="161"/>
    </row>
    <row r="62" spans="1:5" ht="36" customHeight="1" x14ac:dyDescent="0.35">
      <c r="A62" s="159" t="s">
        <v>393</v>
      </c>
      <c r="B62" s="160"/>
      <c r="C62" s="265"/>
      <c r="D62" s="265"/>
      <c r="E62" s="161"/>
    </row>
    <row r="63" spans="1:5" ht="36" customHeight="1" x14ac:dyDescent="0.35">
      <c r="A63" s="159" t="s">
        <v>394</v>
      </c>
      <c r="B63" s="160"/>
      <c r="C63" s="265"/>
      <c r="D63" s="265"/>
      <c r="E63" s="161"/>
    </row>
    <row r="64" spans="1:5" ht="36" customHeight="1" x14ac:dyDescent="0.35">
      <c r="A64" s="159" t="s">
        <v>395</v>
      </c>
      <c r="B64" s="160"/>
      <c r="C64" s="265"/>
      <c r="D64" s="265"/>
      <c r="E64" s="161"/>
    </row>
    <row r="65" spans="1:4" ht="27.75" customHeight="1" x14ac:dyDescent="0.35">
      <c r="C65" s="180"/>
      <c r="D65" s="180"/>
    </row>
    <row r="66" spans="1:4" ht="27.75" customHeight="1" x14ac:dyDescent="0.35">
      <c r="A66" s="139" t="s">
        <v>396</v>
      </c>
      <c r="C66" s="180"/>
      <c r="D66" s="180"/>
    </row>
    <row r="67" spans="1:4" ht="27.75" customHeight="1" x14ac:dyDescent="0.35">
      <c r="A67" s="61" t="s">
        <v>397</v>
      </c>
      <c r="B67" s="140"/>
      <c r="C67" s="253" t="s">
        <v>398</v>
      </c>
      <c r="D67" s="253"/>
    </row>
    <row r="68" spans="1:4" ht="27.75" customHeight="1" x14ac:dyDescent="0.35">
      <c r="A68" s="61" t="s">
        <v>399</v>
      </c>
      <c r="B68" s="140"/>
      <c r="C68" s="253" t="s">
        <v>400</v>
      </c>
      <c r="D68" s="253"/>
    </row>
    <row r="69" spans="1:4" ht="27.75" customHeight="1" x14ac:dyDescent="0.35">
      <c r="A69" s="61" t="s">
        <v>401</v>
      </c>
      <c r="B69" s="140"/>
      <c r="C69" s="253" t="s">
        <v>402</v>
      </c>
      <c r="D69" s="253"/>
    </row>
    <row r="70" spans="1:4" ht="27.75" customHeight="1" x14ac:dyDescent="0.35">
      <c r="A70" s="61" t="s">
        <v>403</v>
      </c>
      <c r="B70" s="140"/>
      <c r="C70" s="253" t="s">
        <v>404</v>
      </c>
      <c r="D70" s="253"/>
    </row>
    <row r="71" spans="1:4" ht="21.75" customHeight="1" x14ac:dyDescent="0.35">
      <c r="A71" s="61" t="s">
        <v>405</v>
      </c>
      <c r="B71" s="140"/>
      <c r="C71" s="141" t="s">
        <v>406</v>
      </c>
    </row>
    <row r="72" spans="1:4" ht="21.75" customHeight="1" x14ac:dyDescent="0.35">
      <c r="A72" s="266" t="s">
        <v>285</v>
      </c>
      <c r="B72" s="266"/>
      <c r="C72" s="266"/>
      <c r="D72" s="266"/>
    </row>
    <row r="73" spans="1:4" ht="25.5" customHeight="1" x14ac:dyDescent="0.35">
      <c r="A73" s="61" t="s">
        <v>407</v>
      </c>
      <c r="B73" s="140"/>
      <c r="C73" s="253" t="s">
        <v>408</v>
      </c>
      <c r="D73" s="253"/>
    </row>
    <row r="74" spans="1:4" ht="25.5" customHeight="1" x14ac:dyDescent="0.35">
      <c r="A74" s="61" t="s">
        <v>409</v>
      </c>
      <c r="B74" s="140"/>
      <c r="C74" s="253" t="s">
        <v>410</v>
      </c>
      <c r="D74" s="253"/>
    </row>
    <row r="75" spans="1:4" ht="25.5" customHeight="1" x14ac:dyDescent="0.35">
      <c r="A75" s="61" t="s">
        <v>411</v>
      </c>
      <c r="B75" s="140"/>
      <c r="C75" s="253" t="s">
        <v>412</v>
      </c>
      <c r="D75" s="253"/>
    </row>
    <row r="76" spans="1:4" ht="25.5" customHeight="1" x14ac:dyDescent="0.35">
      <c r="C76" s="180"/>
      <c r="D76" s="180"/>
    </row>
    <row r="77" spans="1:4" ht="25.5" customHeight="1" x14ac:dyDescent="0.35">
      <c r="A77" s="139" t="s">
        <v>413</v>
      </c>
      <c r="C77" s="180"/>
      <c r="D77" s="180"/>
    </row>
    <row r="78" spans="1:4" ht="25.5" customHeight="1" x14ac:dyDescent="0.35">
      <c r="A78" s="61" t="s">
        <v>414</v>
      </c>
      <c r="B78" s="140"/>
      <c r="C78" s="253" t="s">
        <v>415</v>
      </c>
      <c r="D78" s="253"/>
    </row>
    <row r="79" spans="1:4" ht="25.5" customHeight="1" x14ac:dyDescent="0.35">
      <c r="A79" s="61" t="s">
        <v>416</v>
      </c>
      <c r="B79" s="140"/>
      <c r="C79" s="253" t="s">
        <v>417</v>
      </c>
      <c r="D79" s="253"/>
    </row>
    <row r="80" spans="1:4" ht="25.5" customHeight="1" x14ac:dyDescent="0.35">
      <c r="A80" s="61" t="s">
        <v>418</v>
      </c>
      <c r="B80" s="140"/>
      <c r="C80" s="253" t="s">
        <v>419</v>
      </c>
      <c r="D80" s="253"/>
    </row>
    <row r="81" spans="1:4" ht="25.5" customHeight="1" x14ac:dyDescent="0.35">
      <c r="A81" s="61" t="s">
        <v>420</v>
      </c>
      <c r="B81" s="140"/>
      <c r="C81" s="253" t="s">
        <v>421</v>
      </c>
      <c r="D81" s="253"/>
    </row>
    <row r="82" spans="1:4" ht="34.5" customHeight="1" x14ac:dyDescent="0.35">
      <c r="A82" s="61" t="s">
        <v>422</v>
      </c>
      <c r="B82" s="140"/>
      <c r="C82" s="141" t="s">
        <v>423</v>
      </c>
    </row>
    <row r="83" spans="1:4" ht="24" customHeight="1" x14ac:dyDescent="0.35">
      <c r="A83" s="266" t="s">
        <v>424</v>
      </c>
      <c r="B83" s="266"/>
      <c r="C83" s="266"/>
      <c r="D83" s="266"/>
    </row>
    <row r="84" spans="1:4" ht="24" customHeight="1" x14ac:dyDescent="0.35">
      <c r="A84" s="61" t="s">
        <v>425</v>
      </c>
      <c r="B84" s="267"/>
      <c r="C84" s="267"/>
      <c r="D84" s="267"/>
    </row>
    <row r="85" spans="1:4" ht="43.5" customHeight="1" x14ac:dyDescent="0.35">
      <c r="A85" s="266" t="s">
        <v>426</v>
      </c>
      <c r="B85" s="266"/>
      <c r="C85" s="266"/>
      <c r="D85" s="266"/>
    </row>
    <row r="86" spans="1:4" ht="24" customHeight="1" x14ac:dyDescent="0.35">
      <c r="A86" s="61" t="s">
        <v>427</v>
      </c>
      <c r="B86" s="267"/>
      <c r="C86" s="267"/>
      <c r="D86" s="267"/>
    </row>
    <row r="87" spans="1:4" ht="43.5" customHeight="1" x14ac:dyDescent="0.35">
      <c r="A87" s="180"/>
      <c r="B87" s="180"/>
      <c r="C87" s="180"/>
      <c r="D87" s="180"/>
    </row>
    <row r="88" spans="1:4" ht="24" customHeight="1" x14ac:dyDescent="0.35">
      <c r="A88" s="162" t="s">
        <v>428</v>
      </c>
      <c r="B88" s="180"/>
      <c r="C88" s="180"/>
      <c r="D88" s="180"/>
    </row>
    <row r="89" spans="1:4" ht="43.5" customHeight="1" x14ac:dyDescent="0.35">
      <c r="A89" s="268" t="s">
        <v>429</v>
      </c>
      <c r="B89" s="268"/>
      <c r="C89" s="268"/>
      <c r="D89" s="268"/>
    </row>
    <row r="90" spans="1:4" ht="24" customHeight="1" x14ac:dyDescent="0.35">
      <c r="A90" s="151"/>
      <c r="B90" s="180"/>
      <c r="C90" s="180"/>
      <c r="D90" s="180"/>
    </row>
    <row r="91" spans="1:4" ht="43.5" customHeight="1" x14ac:dyDescent="0.35">
      <c r="A91" s="268" t="s">
        <v>430</v>
      </c>
      <c r="B91" s="268"/>
      <c r="C91" s="268"/>
      <c r="D91" s="268"/>
    </row>
    <row r="92" spans="1:4" ht="15" customHeight="1" x14ac:dyDescent="0.35">
      <c r="A92" s="151"/>
    </row>
    <row r="93" spans="1:4" ht="23.25" customHeight="1" x14ac:dyDescent="0.35">
      <c r="A93" s="96" t="s">
        <v>431</v>
      </c>
      <c r="B93" s="163" t="s">
        <v>432</v>
      </c>
    </row>
    <row r="94" spans="1:4" ht="15" customHeight="1" x14ac:dyDescent="0.35">
      <c r="A94" s="151"/>
    </row>
    <row r="95" spans="1:4" ht="23.25" customHeight="1" x14ac:dyDescent="0.35">
      <c r="A95" s="96" t="s">
        <v>433</v>
      </c>
      <c r="B95" s="163" t="s">
        <v>434</v>
      </c>
    </row>
    <row r="96" spans="1:4" ht="15" customHeight="1" x14ac:dyDescent="0.35">
      <c r="A96" s="151"/>
    </row>
    <row r="99" spans="1:5" ht="33.75" customHeight="1" x14ac:dyDescent="0.35">
      <c r="A99" s="269" t="s">
        <v>593</v>
      </c>
      <c r="B99" s="269"/>
      <c r="C99" s="269"/>
      <c r="D99" s="269"/>
      <c r="E99" s="269"/>
    </row>
    <row r="100" spans="1:5" ht="24" customHeight="1" x14ac:dyDescent="0.35">
      <c r="A100" s="270" t="s">
        <v>436</v>
      </c>
      <c r="B100" s="270"/>
      <c r="C100" s="270"/>
      <c r="D100" s="270"/>
      <c r="E100" s="270"/>
    </row>
    <row r="101" spans="1:5" ht="25.5" customHeight="1" x14ac:dyDescent="0.35">
      <c r="A101" s="271" t="s">
        <v>437</v>
      </c>
      <c r="B101" s="271"/>
      <c r="C101" s="271"/>
      <c r="D101" s="271"/>
      <c r="E101" s="271"/>
    </row>
    <row r="102" spans="1:5" ht="27.75" customHeight="1" x14ac:dyDescent="0.35">
      <c r="A102" s="61" t="s">
        <v>438</v>
      </c>
      <c r="B102" s="164"/>
      <c r="C102" s="253" t="s">
        <v>439</v>
      </c>
      <c r="D102" s="253"/>
      <c r="E102" s="253"/>
    </row>
    <row r="103" spans="1:5" ht="27.75" customHeight="1" x14ac:dyDescent="0.35">
      <c r="A103" s="61" t="s">
        <v>440</v>
      </c>
      <c r="B103" s="164"/>
      <c r="C103" s="253" t="s">
        <v>441</v>
      </c>
      <c r="D103" s="253"/>
      <c r="E103" s="253"/>
    </row>
    <row r="104" spans="1:5" ht="27.75" customHeight="1" x14ac:dyDescent="0.35">
      <c r="A104" s="61" t="s">
        <v>442</v>
      </c>
      <c r="B104" s="165"/>
      <c r="C104" s="253" t="s">
        <v>443</v>
      </c>
      <c r="D104" s="253"/>
      <c r="E104" s="253"/>
    </row>
    <row r="105" spans="1:5" ht="27.75" customHeight="1" x14ac:dyDescent="0.35">
      <c r="A105" s="61" t="s">
        <v>444</v>
      </c>
      <c r="B105" s="164"/>
      <c r="C105" s="253" t="s">
        <v>445</v>
      </c>
      <c r="D105" s="253"/>
      <c r="E105" s="253"/>
    </row>
    <row r="106" spans="1:5" ht="27.75" customHeight="1" x14ac:dyDescent="0.35">
      <c r="A106" s="61" t="s">
        <v>446</v>
      </c>
      <c r="B106" s="165"/>
      <c r="C106" s="253" t="s">
        <v>447</v>
      </c>
      <c r="D106" s="253"/>
      <c r="E106" s="253"/>
    </row>
    <row r="107" spans="1:5" ht="27.75" customHeight="1" x14ac:dyDescent="0.35">
      <c r="A107" s="61" t="s">
        <v>448</v>
      </c>
      <c r="B107" s="164"/>
      <c r="C107" s="253" t="s">
        <v>449</v>
      </c>
      <c r="D107" s="253"/>
      <c r="E107" s="253"/>
    </row>
    <row r="108" spans="1:5" ht="27.75" customHeight="1" x14ac:dyDescent="0.35">
      <c r="A108" s="61" t="s">
        <v>450</v>
      </c>
      <c r="B108" s="165"/>
      <c r="C108" s="253" t="s">
        <v>451</v>
      </c>
      <c r="D108" s="253"/>
      <c r="E108" s="253"/>
    </row>
    <row r="109" spans="1:5" ht="27.75" customHeight="1" x14ac:dyDescent="0.35">
      <c r="A109" s="61" t="s">
        <v>452</v>
      </c>
      <c r="B109" s="164"/>
      <c r="C109" s="253" t="s">
        <v>453</v>
      </c>
      <c r="D109" s="253"/>
      <c r="E109" s="253"/>
    </row>
    <row r="110" spans="1:5" ht="27.75" customHeight="1" x14ac:dyDescent="0.35">
      <c r="A110" s="61" t="s">
        <v>454</v>
      </c>
      <c r="B110" s="165"/>
      <c r="C110" s="253" t="s">
        <v>455</v>
      </c>
      <c r="D110" s="253"/>
      <c r="E110" s="253"/>
    </row>
    <row r="111" spans="1:5" ht="27.75" customHeight="1" x14ac:dyDescent="0.35">
      <c r="A111" s="61" t="s">
        <v>456</v>
      </c>
      <c r="B111" s="165"/>
      <c r="C111" s="253" t="s">
        <v>457</v>
      </c>
      <c r="D111" s="253"/>
      <c r="E111" s="253"/>
    </row>
    <row r="113" spans="1:5" ht="25.5" customHeight="1" x14ac:dyDescent="0.35">
      <c r="A113" s="272" t="s">
        <v>458</v>
      </c>
      <c r="B113" s="272"/>
      <c r="C113" s="272"/>
      <c r="D113" s="272"/>
      <c r="E113" s="272"/>
    </row>
    <row r="114" spans="1:5" ht="21.75" customHeight="1" x14ac:dyDescent="0.35">
      <c r="A114" s="273" t="s">
        <v>459</v>
      </c>
      <c r="B114" s="273"/>
      <c r="C114" s="273"/>
      <c r="D114" s="273"/>
      <c r="E114" s="273"/>
    </row>
    <row r="115" spans="1:5" ht="25.5" customHeight="1" x14ac:dyDescent="0.35">
      <c r="A115" s="96" t="s">
        <v>460</v>
      </c>
      <c r="B115" s="274" t="s">
        <v>461</v>
      </c>
      <c r="C115" s="274"/>
      <c r="D115" s="274"/>
      <c r="E115" s="274"/>
    </row>
    <row r="116" spans="1:5" ht="43.5" customHeight="1" x14ac:dyDescent="0.35">
      <c r="A116" s="275"/>
      <c r="B116" s="275"/>
      <c r="C116" s="275"/>
      <c r="D116" s="275"/>
      <c r="E116" s="275"/>
    </row>
    <row r="117" spans="1:5" ht="25.5" customHeight="1" x14ac:dyDescent="0.35">
      <c r="A117" s="96" t="s">
        <v>462</v>
      </c>
      <c r="B117" s="274" t="s">
        <v>463</v>
      </c>
      <c r="C117" s="274"/>
      <c r="D117" s="274"/>
      <c r="E117" s="274"/>
    </row>
    <row r="118" spans="1:5" ht="43.5" customHeight="1" x14ac:dyDescent="0.35">
      <c r="A118" s="275"/>
      <c r="B118" s="275"/>
      <c r="C118" s="275"/>
      <c r="D118" s="275"/>
      <c r="E118" s="275"/>
    </row>
    <row r="119" spans="1:5" ht="25.5" customHeight="1" x14ac:dyDescent="0.35">
      <c r="A119" s="96" t="s">
        <v>464</v>
      </c>
      <c r="B119" s="274" t="s">
        <v>465</v>
      </c>
      <c r="C119" s="274"/>
      <c r="D119" s="274"/>
      <c r="E119" s="274"/>
    </row>
    <row r="120" spans="1:5" ht="43.5" customHeight="1" x14ac:dyDescent="0.35">
      <c r="A120" s="275"/>
      <c r="B120" s="275"/>
      <c r="C120" s="275"/>
      <c r="D120" s="275"/>
      <c r="E120" s="275"/>
    </row>
    <row r="121" spans="1:5" ht="25.5" customHeight="1" x14ac:dyDescent="0.35">
      <c r="A121" s="96" t="s">
        <v>466</v>
      </c>
      <c r="B121" s="274" t="s">
        <v>467</v>
      </c>
      <c r="C121" s="274"/>
      <c r="D121" s="274"/>
      <c r="E121" s="274"/>
    </row>
    <row r="122" spans="1:5" ht="43.5" customHeight="1" x14ac:dyDescent="0.35">
      <c r="A122" s="275"/>
      <c r="B122" s="275"/>
      <c r="C122" s="275"/>
      <c r="D122" s="275"/>
      <c r="E122" s="275"/>
    </row>
    <row r="123" spans="1:5" ht="25.5" customHeight="1" x14ac:dyDescent="0.35">
      <c r="A123" s="96" t="s">
        <v>468</v>
      </c>
      <c r="B123" s="274" t="s">
        <v>469</v>
      </c>
      <c r="C123" s="274"/>
      <c r="D123" s="274"/>
      <c r="E123" s="274"/>
    </row>
    <row r="124" spans="1:5" ht="43.5" customHeight="1" x14ac:dyDescent="0.35">
      <c r="A124" s="275"/>
      <c r="B124" s="275"/>
      <c r="C124" s="275"/>
      <c r="D124" s="275"/>
      <c r="E124" s="275"/>
    </row>
    <row r="125" spans="1:5" ht="25.5" customHeight="1" x14ac:dyDescent="0.35">
      <c r="A125" s="96" t="s">
        <v>470</v>
      </c>
      <c r="B125" s="274" t="s">
        <v>471</v>
      </c>
      <c r="C125" s="274"/>
      <c r="D125" s="274"/>
      <c r="E125" s="274"/>
    </row>
    <row r="126" spans="1:5" ht="43.5" customHeight="1" x14ac:dyDescent="0.35">
      <c r="A126" s="275"/>
      <c r="B126" s="275"/>
      <c r="C126" s="275"/>
      <c r="D126" s="275"/>
      <c r="E126" s="275"/>
    </row>
    <row r="128" spans="1:5" ht="25.5" customHeight="1" x14ac:dyDescent="0.35">
      <c r="A128" s="276" t="s">
        <v>472</v>
      </c>
      <c r="B128" s="276"/>
      <c r="C128" s="276"/>
      <c r="D128" s="276"/>
      <c r="E128" s="276"/>
    </row>
    <row r="129" spans="1:5" ht="21.75" customHeight="1" x14ac:dyDescent="0.35">
      <c r="A129" s="277" t="s">
        <v>473</v>
      </c>
      <c r="B129" s="277"/>
      <c r="C129" s="277"/>
      <c r="D129" s="277"/>
      <c r="E129" s="277"/>
    </row>
    <row r="130" spans="1:5" ht="27.75" customHeight="1" x14ac:dyDescent="0.35">
      <c r="A130" s="74" t="s">
        <v>474</v>
      </c>
      <c r="B130" s="165"/>
      <c r="C130" s="253" t="s">
        <v>475</v>
      </c>
      <c r="D130" s="253"/>
      <c r="E130" s="253"/>
    </row>
    <row r="131" spans="1:5" ht="27.75" customHeight="1" x14ac:dyDescent="0.35">
      <c r="A131" s="74" t="s">
        <v>476</v>
      </c>
      <c r="B131" s="165"/>
      <c r="C131" s="253" t="s">
        <v>477</v>
      </c>
      <c r="D131" s="253"/>
      <c r="E131" s="253"/>
    </row>
    <row r="132" spans="1:5" ht="27.75" customHeight="1" x14ac:dyDescent="0.35">
      <c r="A132" s="74" t="s">
        <v>478</v>
      </c>
      <c r="B132" s="164"/>
      <c r="C132" s="253" t="s">
        <v>479</v>
      </c>
      <c r="D132" s="253"/>
      <c r="E132" s="253"/>
    </row>
    <row r="133" spans="1:5" ht="27.75" customHeight="1" x14ac:dyDescent="0.35">
      <c r="A133" s="74" t="s">
        <v>480</v>
      </c>
      <c r="B133" s="164"/>
      <c r="C133" s="253" t="s">
        <v>481</v>
      </c>
      <c r="D133" s="253"/>
      <c r="E133" s="253"/>
    </row>
    <row r="134" spans="1:5" ht="27.75" customHeight="1" x14ac:dyDescent="0.35">
      <c r="A134" s="74" t="s">
        <v>482</v>
      </c>
      <c r="B134" s="164"/>
      <c r="C134" s="253" t="s">
        <v>483</v>
      </c>
      <c r="D134" s="253"/>
      <c r="E134" s="253"/>
    </row>
    <row r="135" spans="1:5" ht="27.75" customHeight="1" x14ac:dyDescent="0.35">
      <c r="A135" s="74" t="s">
        <v>484</v>
      </c>
      <c r="B135" s="164"/>
      <c r="C135" s="253" t="s">
        <v>485</v>
      </c>
      <c r="D135" s="253"/>
      <c r="E135" s="253"/>
    </row>
    <row r="136" spans="1:5" ht="27.75" customHeight="1" x14ac:dyDescent="0.35">
      <c r="A136" s="74" t="s">
        <v>486</v>
      </c>
      <c r="B136" s="164"/>
      <c r="C136" s="253" t="s">
        <v>487</v>
      </c>
      <c r="D136" s="253"/>
      <c r="E136" s="253"/>
    </row>
    <row r="137" spans="1:5" ht="27.75" customHeight="1" x14ac:dyDescent="0.35">
      <c r="A137" s="74" t="s">
        <v>488</v>
      </c>
      <c r="B137" s="165"/>
      <c r="C137" s="253" t="s">
        <v>489</v>
      </c>
      <c r="D137" s="253"/>
      <c r="E137" s="253"/>
    </row>
    <row r="139" spans="1:5" ht="25.5" customHeight="1" x14ac:dyDescent="0.35">
      <c r="A139" s="278" t="s">
        <v>490</v>
      </c>
      <c r="B139" s="278"/>
      <c r="C139" s="278"/>
      <c r="D139" s="278"/>
      <c r="E139" s="278"/>
    </row>
    <row r="140" spans="1:5" ht="27.75" customHeight="1" x14ac:dyDescent="0.35">
      <c r="A140" s="166" t="s">
        <v>491</v>
      </c>
      <c r="B140" s="164"/>
      <c r="C140" s="253" t="s">
        <v>492</v>
      </c>
      <c r="D140" s="253"/>
      <c r="E140" s="253"/>
    </row>
    <row r="141" spans="1:5" ht="27.75" customHeight="1" x14ac:dyDescent="0.35">
      <c r="A141" s="166" t="s">
        <v>493</v>
      </c>
      <c r="B141" s="164"/>
      <c r="C141" s="253" t="s">
        <v>494</v>
      </c>
      <c r="D141" s="253"/>
      <c r="E141" s="253"/>
    </row>
    <row r="142" spans="1:5" ht="27.75" customHeight="1" x14ac:dyDescent="0.35">
      <c r="A142" s="166" t="s">
        <v>495</v>
      </c>
      <c r="B142" s="164"/>
      <c r="C142" s="253" t="s">
        <v>496</v>
      </c>
      <c r="D142" s="253"/>
      <c r="E142" s="253"/>
    </row>
    <row r="143" spans="1:5" ht="27.75" customHeight="1" x14ac:dyDescent="0.35">
      <c r="A143" s="166" t="s">
        <v>497</v>
      </c>
      <c r="B143" s="165"/>
      <c r="C143" s="253" t="s">
        <v>498</v>
      </c>
      <c r="D143" s="253"/>
      <c r="E143" s="253"/>
    </row>
    <row r="144" spans="1:5" ht="27.75" customHeight="1" x14ac:dyDescent="0.35">
      <c r="A144" s="166" t="s">
        <v>499</v>
      </c>
      <c r="B144" s="164"/>
      <c r="C144" s="253" t="s">
        <v>500</v>
      </c>
      <c r="D144" s="253"/>
      <c r="E144" s="253"/>
    </row>
    <row r="145" spans="1:5" ht="27.75" customHeight="1" x14ac:dyDescent="0.35">
      <c r="A145" s="166" t="s">
        <v>501</v>
      </c>
      <c r="B145" s="164"/>
      <c r="C145" s="253" t="s">
        <v>502</v>
      </c>
      <c r="D145" s="253"/>
      <c r="E145" s="253"/>
    </row>
    <row r="146" spans="1:5" ht="27.75" customHeight="1" x14ac:dyDescent="0.35">
      <c r="A146" s="166" t="s">
        <v>503</v>
      </c>
      <c r="B146" s="165"/>
      <c r="C146" s="253" t="s">
        <v>504</v>
      </c>
      <c r="D146" s="253"/>
      <c r="E146" s="253"/>
    </row>
    <row r="148" spans="1:5" ht="25.5" customHeight="1" x14ac:dyDescent="0.35">
      <c r="A148" s="279" t="s">
        <v>505</v>
      </c>
      <c r="B148" s="279"/>
      <c r="C148" s="279"/>
      <c r="D148" s="279"/>
      <c r="E148" s="279"/>
    </row>
    <row r="149" spans="1:5" ht="21.75" customHeight="1" x14ac:dyDescent="0.35">
      <c r="A149" s="280" t="s">
        <v>506</v>
      </c>
      <c r="B149" s="280"/>
      <c r="C149" s="280"/>
      <c r="D149" s="280"/>
      <c r="E149" s="280"/>
    </row>
    <row r="150" spans="1:5" ht="25.5" customHeight="1" x14ac:dyDescent="0.35">
      <c r="A150" s="167" t="s">
        <v>507</v>
      </c>
      <c r="B150" s="281" t="s">
        <v>508</v>
      </c>
      <c r="C150" s="281"/>
      <c r="D150" s="281"/>
      <c r="E150" s="281"/>
    </row>
    <row r="151" spans="1:5" ht="43.5" customHeight="1" x14ac:dyDescent="0.35">
      <c r="A151" s="282"/>
      <c r="B151" s="282"/>
      <c r="C151" s="282"/>
      <c r="D151" s="282"/>
      <c r="E151" s="282"/>
    </row>
    <row r="152" spans="1:5" ht="25.5" customHeight="1" x14ac:dyDescent="0.35">
      <c r="A152" s="167" t="s">
        <v>509</v>
      </c>
      <c r="B152" s="281" t="s">
        <v>510</v>
      </c>
      <c r="C152" s="281"/>
      <c r="D152" s="281"/>
      <c r="E152" s="281"/>
    </row>
    <row r="153" spans="1:5" ht="43.5" customHeight="1" x14ac:dyDescent="0.35">
      <c r="A153" s="282"/>
      <c r="B153" s="282"/>
      <c r="C153" s="282"/>
      <c r="D153" s="282"/>
      <c r="E153" s="282"/>
    </row>
    <row r="154" spans="1:5" ht="25.5" customHeight="1" x14ac:dyDescent="0.35">
      <c r="A154" s="167" t="s">
        <v>511</v>
      </c>
      <c r="B154" s="281" t="s">
        <v>512</v>
      </c>
      <c r="C154" s="281"/>
      <c r="D154" s="281"/>
      <c r="E154" s="281"/>
    </row>
    <row r="155" spans="1:5" ht="43.5" customHeight="1" x14ac:dyDescent="0.35">
      <c r="A155" s="282"/>
      <c r="B155" s="282"/>
      <c r="C155" s="282"/>
      <c r="D155" s="282"/>
      <c r="E155" s="282"/>
    </row>
    <row r="156" spans="1:5" ht="25.5" customHeight="1" x14ac:dyDescent="0.35">
      <c r="A156" s="167" t="s">
        <v>513</v>
      </c>
      <c r="B156" s="281" t="s">
        <v>514</v>
      </c>
      <c r="C156" s="281"/>
      <c r="D156" s="281"/>
      <c r="E156" s="281"/>
    </row>
    <row r="157" spans="1:5" ht="43.5" customHeight="1" x14ac:dyDescent="0.35">
      <c r="A157" s="282"/>
      <c r="B157" s="282"/>
      <c r="C157" s="282"/>
      <c r="D157" s="282"/>
      <c r="E157" s="282"/>
    </row>
    <row r="158" spans="1:5" ht="25.5" customHeight="1" x14ac:dyDescent="0.35">
      <c r="A158" s="167" t="s">
        <v>515</v>
      </c>
      <c r="B158" s="281" t="s">
        <v>516</v>
      </c>
      <c r="C158" s="281"/>
      <c r="D158" s="281"/>
      <c r="E158" s="281"/>
    </row>
    <row r="159" spans="1:5" ht="43.5" customHeight="1" x14ac:dyDescent="0.35">
      <c r="A159" s="282"/>
      <c r="B159" s="282"/>
      <c r="C159" s="282"/>
      <c r="D159" s="282"/>
      <c r="E159" s="282"/>
    </row>
    <row r="160" spans="1:5" ht="25.5" customHeight="1" x14ac:dyDescent="0.35">
      <c r="A160" s="167" t="s">
        <v>517</v>
      </c>
      <c r="B160" s="281" t="s">
        <v>518</v>
      </c>
      <c r="C160" s="281"/>
      <c r="D160" s="281"/>
      <c r="E160" s="281"/>
    </row>
    <row r="161" spans="1:5" ht="43.5" customHeight="1" x14ac:dyDescent="0.35">
      <c r="A161" s="282"/>
      <c r="B161" s="282"/>
      <c r="C161" s="282"/>
      <c r="D161" s="282"/>
      <c r="E161" s="282"/>
    </row>
    <row r="164" spans="1:5" ht="33.75" customHeight="1" x14ac:dyDescent="0.35">
      <c r="A164" s="283" t="s">
        <v>594</v>
      </c>
      <c r="B164" s="283"/>
      <c r="C164" s="283"/>
      <c r="D164" s="283"/>
      <c r="E164" s="283"/>
    </row>
    <row r="165" spans="1:5" ht="24" customHeight="1" x14ac:dyDescent="0.35">
      <c r="A165" s="284" t="s">
        <v>520</v>
      </c>
      <c r="B165" s="284"/>
      <c r="C165" s="284"/>
      <c r="D165" s="284"/>
      <c r="E165" s="284"/>
    </row>
    <row r="166" spans="1:5" ht="25.5" customHeight="1" x14ac:dyDescent="0.35">
      <c r="A166" s="279" t="s">
        <v>521</v>
      </c>
      <c r="B166" s="279"/>
      <c r="C166" s="279"/>
      <c r="D166" s="279"/>
      <c r="E166" s="279"/>
    </row>
    <row r="167" spans="1:5" ht="21.75" customHeight="1" x14ac:dyDescent="0.35">
      <c r="A167" s="168" t="s">
        <v>522</v>
      </c>
      <c r="B167" s="285" t="s">
        <v>523</v>
      </c>
      <c r="C167" s="285"/>
      <c r="D167" s="285"/>
      <c r="E167" s="285"/>
    </row>
    <row r="168" spans="1:5" ht="27.75" customHeight="1" x14ac:dyDescent="0.35">
      <c r="A168" s="169" t="s">
        <v>524</v>
      </c>
      <c r="B168" s="286" t="s">
        <v>525</v>
      </c>
      <c r="C168" s="286"/>
      <c r="D168" s="286"/>
      <c r="E168" s="286"/>
    </row>
    <row r="169" spans="1:5" ht="27.75" customHeight="1" x14ac:dyDescent="0.35">
      <c r="A169" s="170" t="s">
        <v>526</v>
      </c>
      <c r="B169" s="287" t="s">
        <v>527</v>
      </c>
      <c r="C169" s="287"/>
      <c r="D169" s="287"/>
      <c r="E169" s="287"/>
    </row>
    <row r="170" spans="1:5" ht="27.75" customHeight="1" x14ac:dyDescent="0.35">
      <c r="A170" s="171" t="s">
        <v>528</v>
      </c>
      <c r="B170" s="288" t="s">
        <v>529</v>
      </c>
      <c r="C170" s="288"/>
      <c r="D170" s="288"/>
      <c r="E170" s="288"/>
    </row>
    <row r="171" spans="1:5" ht="27.75" customHeight="1" x14ac:dyDescent="0.35">
      <c r="A171" s="172" t="s">
        <v>530</v>
      </c>
      <c r="B171" s="289" t="s">
        <v>531</v>
      </c>
      <c r="C171" s="289"/>
      <c r="D171" s="289"/>
      <c r="E171" s="289"/>
    </row>
    <row r="172" spans="1:5" ht="27.75" customHeight="1" x14ac:dyDescent="0.35">
      <c r="A172" s="173" t="s">
        <v>532</v>
      </c>
      <c r="B172" s="290" t="s">
        <v>533</v>
      </c>
      <c r="C172" s="290"/>
      <c r="D172" s="290"/>
      <c r="E172" s="290"/>
    </row>
    <row r="174" spans="1:5" ht="30" customHeight="1" x14ac:dyDescent="0.35">
      <c r="A174" s="61" t="s">
        <v>534</v>
      </c>
      <c r="B174" s="164"/>
      <c r="C174" s="253" t="s">
        <v>535</v>
      </c>
      <c r="D174" s="253"/>
      <c r="E174" s="253"/>
    </row>
    <row r="175" spans="1:5" ht="30" customHeight="1" x14ac:dyDescent="0.35">
      <c r="A175" s="61" t="s">
        <v>536</v>
      </c>
      <c r="B175" s="164"/>
      <c r="C175" s="253" t="s">
        <v>537</v>
      </c>
      <c r="D175" s="253"/>
      <c r="E175" s="253"/>
    </row>
    <row r="176" spans="1:5" ht="30" customHeight="1" x14ac:dyDescent="0.35">
      <c r="A176" s="61" t="s">
        <v>538</v>
      </c>
      <c r="B176" s="164"/>
      <c r="C176" s="253" t="s">
        <v>539</v>
      </c>
      <c r="D176" s="253"/>
      <c r="E176" s="253"/>
    </row>
    <row r="177" spans="1:5" ht="30" customHeight="1" x14ac:dyDescent="0.35">
      <c r="A177" s="61" t="s">
        <v>540</v>
      </c>
      <c r="B177" s="164"/>
      <c r="C177" s="253" t="s">
        <v>541</v>
      </c>
      <c r="D177" s="253"/>
      <c r="E177" s="253"/>
    </row>
    <row r="179" spans="1:5" ht="25.5" customHeight="1" x14ac:dyDescent="0.35">
      <c r="A179" s="291" t="s">
        <v>542</v>
      </c>
      <c r="B179" s="291"/>
      <c r="C179" s="291"/>
      <c r="D179" s="291"/>
      <c r="E179" s="291"/>
    </row>
    <row r="180" spans="1:5" ht="19.5" customHeight="1" x14ac:dyDescent="0.35">
      <c r="A180" s="292" t="s">
        <v>543</v>
      </c>
      <c r="B180" s="292"/>
      <c r="C180" s="292"/>
      <c r="D180" s="292"/>
      <c r="E180" s="292"/>
    </row>
    <row r="181" spans="1:5" ht="30" customHeight="1" x14ac:dyDescent="0.35">
      <c r="A181" s="74" t="s">
        <v>544</v>
      </c>
      <c r="B181" s="174"/>
      <c r="C181" s="253" t="s">
        <v>545</v>
      </c>
      <c r="D181" s="253"/>
      <c r="E181" s="253"/>
    </row>
    <row r="182" spans="1:5" ht="30" customHeight="1" x14ac:dyDescent="0.35">
      <c r="A182" s="74" t="s">
        <v>546</v>
      </c>
      <c r="B182" s="174"/>
      <c r="C182" s="253" t="s">
        <v>547</v>
      </c>
      <c r="D182" s="253"/>
      <c r="E182" s="253"/>
    </row>
    <row r="183" spans="1:5" ht="30" customHeight="1" x14ac:dyDescent="0.35">
      <c r="A183" s="74" t="s">
        <v>548</v>
      </c>
      <c r="B183" s="174"/>
      <c r="C183" s="253" t="s">
        <v>549</v>
      </c>
      <c r="D183" s="253"/>
      <c r="E183" s="253"/>
    </row>
    <row r="184" spans="1:5" ht="30" customHeight="1" x14ac:dyDescent="0.35">
      <c r="A184" s="74" t="s">
        <v>550</v>
      </c>
      <c r="B184" s="174"/>
      <c r="C184" s="253" t="s">
        <v>551</v>
      </c>
      <c r="D184" s="253"/>
      <c r="E184" s="253"/>
    </row>
    <row r="185" spans="1:5" ht="30" customHeight="1" x14ac:dyDescent="0.35">
      <c r="A185" s="74" t="s">
        <v>552</v>
      </c>
      <c r="B185" s="174"/>
      <c r="C185" s="253" t="s">
        <v>553</v>
      </c>
      <c r="D185" s="253"/>
      <c r="E185" s="253"/>
    </row>
    <row r="186" spans="1:5" ht="30" customHeight="1" x14ac:dyDescent="0.35">
      <c r="A186" s="74" t="s">
        <v>554</v>
      </c>
      <c r="B186" s="174"/>
      <c r="C186" s="253" t="s">
        <v>555</v>
      </c>
      <c r="D186" s="253"/>
      <c r="E186" s="253"/>
    </row>
    <row r="187" spans="1:5" ht="30" customHeight="1" x14ac:dyDescent="0.35">
      <c r="A187" s="74" t="s">
        <v>556</v>
      </c>
      <c r="B187" s="174"/>
      <c r="C187" s="253" t="s">
        <v>557</v>
      </c>
      <c r="D187" s="253"/>
      <c r="E187" s="253"/>
    </row>
    <row r="188" spans="1:5" ht="30" customHeight="1" x14ac:dyDescent="0.35">
      <c r="A188" s="74" t="s">
        <v>558</v>
      </c>
      <c r="B188" s="174"/>
      <c r="C188" s="253" t="s">
        <v>559</v>
      </c>
      <c r="D188" s="253"/>
      <c r="E188" s="253"/>
    </row>
    <row r="189" spans="1:5" ht="30" customHeight="1" x14ac:dyDescent="0.35">
      <c r="A189" s="74" t="s">
        <v>560</v>
      </c>
      <c r="B189" s="174"/>
      <c r="C189" s="253" t="s">
        <v>561</v>
      </c>
      <c r="D189" s="253"/>
      <c r="E189" s="253"/>
    </row>
    <row r="190" spans="1:5" ht="30" customHeight="1" x14ac:dyDescent="0.35">
      <c r="A190" s="74" t="s">
        <v>562</v>
      </c>
      <c r="B190" s="174"/>
      <c r="C190" s="253" t="s">
        <v>563</v>
      </c>
      <c r="D190" s="253"/>
      <c r="E190" s="253"/>
    </row>
    <row r="191" spans="1:5" ht="30" customHeight="1" x14ac:dyDescent="0.35">
      <c r="A191" s="74" t="s">
        <v>564</v>
      </c>
      <c r="B191" s="174"/>
      <c r="C191" s="253" t="s">
        <v>565</v>
      </c>
      <c r="D191" s="253"/>
      <c r="E191" s="253"/>
    </row>
    <row r="192" spans="1:5" ht="30" customHeight="1" x14ac:dyDescent="0.35">
      <c r="A192" s="74" t="s">
        <v>566</v>
      </c>
      <c r="B192" s="174"/>
      <c r="C192" s="253" t="s">
        <v>567</v>
      </c>
      <c r="D192" s="253"/>
      <c r="E192" s="253"/>
    </row>
    <row r="194" spans="1:5" ht="25.5" customHeight="1" x14ac:dyDescent="0.35">
      <c r="A194" s="293" t="s">
        <v>568</v>
      </c>
      <c r="B194" s="293"/>
      <c r="C194" s="293"/>
      <c r="D194" s="293"/>
      <c r="E194" s="293"/>
    </row>
    <row r="195" spans="1:5" ht="27.75" customHeight="1" x14ac:dyDescent="0.35">
      <c r="A195" s="61" t="s">
        <v>569</v>
      </c>
      <c r="B195" s="165"/>
      <c r="C195" s="253" t="s">
        <v>570</v>
      </c>
      <c r="D195" s="253"/>
      <c r="E195" s="253"/>
    </row>
    <row r="196" spans="1:5" ht="27.75" customHeight="1" x14ac:dyDescent="0.35">
      <c r="A196" s="61" t="s">
        <v>571</v>
      </c>
      <c r="B196" s="165"/>
      <c r="C196" s="253" t="s">
        <v>572</v>
      </c>
      <c r="D196" s="253"/>
      <c r="E196" s="253"/>
    </row>
    <row r="197" spans="1:5" ht="27.75" customHeight="1" x14ac:dyDescent="0.35">
      <c r="A197" s="61" t="s">
        <v>573</v>
      </c>
      <c r="B197" s="165"/>
      <c r="C197" s="253" t="s">
        <v>574</v>
      </c>
      <c r="D197" s="253"/>
      <c r="E197" s="253"/>
    </row>
    <row r="198" spans="1:5" ht="27.75" customHeight="1" x14ac:dyDescent="0.35">
      <c r="A198" s="61" t="s">
        <v>575</v>
      </c>
      <c r="B198" s="165"/>
      <c r="C198" s="253" t="s">
        <v>576</v>
      </c>
      <c r="D198" s="253"/>
      <c r="E198" s="253"/>
    </row>
    <row r="199" spans="1:5" ht="27.75" customHeight="1" x14ac:dyDescent="0.35">
      <c r="A199" s="61" t="s">
        <v>577</v>
      </c>
      <c r="B199" s="165"/>
      <c r="C199" s="253" t="s">
        <v>578</v>
      </c>
      <c r="D199" s="253"/>
      <c r="E199" s="253"/>
    </row>
    <row r="200" spans="1:5" ht="27.75" customHeight="1" x14ac:dyDescent="0.35">
      <c r="A200" s="61" t="s">
        <v>579</v>
      </c>
      <c r="B200" s="165"/>
      <c r="C200" s="253" t="s">
        <v>580</v>
      </c>
      <c r="D200" s="253"/>
      <c r="E200" s="253"/>
    </row>
    <row r="201" spans="1:5" ht="27.75" customHeight="1" x14ac:dyDescent="0.35">
      <c r="A201" s="61" t="s">
        <v>581</v>
      </c>
      <c r="B201" s="165"/>
      <c r="C201" s="253" t="s">
        <v>582</v>
      </c>
      <c r="D201" s="253"/>
      <c r="E201" s="253"/>
    </row>
    <row r="203" spans="1:5" ht="25.5" customHeight="1" x14ac:dyDescent="0.35">
      <c r="A203" s="272" t="s">
        <v>583</v>
      </c>
      <c r="B203" s="272"/>
      <c r="C203" s="272"/>
      <c r="D203" s="272"/>
      <c r="E203" s="272"/>
    </row>
    <row r="204" spans="1:5" ht="25.5" customHeight="1" x14ac:dyDescent="0.35">
      <c r="A204" s="96" t="s">
        <v>584</v>
      </c>
      <c r="B204" s="294" t="s">
        <v>585</v>
      </c>
      <c r="C204" s="294"/>
      <c r="D204" s="294"/>
      <c r="E204" s="294"/>
    </row>
    <row r="205" spans="1:5" ht="43.5" customHeight="1" x14ac:dyDescent="0.35">
      <c r="A205" s="202"/>
      <c r="B205" s="202"/>
      <c r="C205" s="202"/>
      <c r="D205" s="202"/>
      <c r="E205" s="202"/>
    </row>
    <row r="206" spans="1:5" ht="25.5" customHeight="1" x14ac:dyDescent="0.35">
      <c r="A206" s="96" t="s">
        <v>586</v>
      </c>
      <c r="B206" s="294" t="s">
        <v>587</v>
      </c>
      <c r="C206" s="294"/>
      <c r="D206" s="294"/>
      <c r="E206" s="294"/>
    </row>
    <row r="207" spans="1:5" ht="43.5" customHeight="1" x14ac:dyDescent="0.35">
      <c r="A207" s="202"/>
      <c r="B207" s="202"/>
      <c r="C207" s="202"/>
      <c r="D207" s="202"/>
      <c r="E207" s="202"/>
    </row>
    <row r="208" spans="1:5" ht="25.5" customHeight="1" x14ac:dyDescent="0.35">
      <c r="A208" s="96" t="s">
        <v>588</v>
      </c>
      <c r="B208" s="294" t="s">
        <v>589</v>
      </c>
      <c r="C208" s="294"/>
      <c r="D208" s="294"/>
      <c r="E208" s="294"/>
    </row>
    <row r="209" spans="1:5" ht="43.5" customHeight="1" x14ac:dyDescent="0.35">
      <c r="A209" s="202"/>
      <c r="B209" s="202"/>
      <c r="C209" s="202"/>
      <c r="D209" s="202"/>
      <c r="E209" s="202"/>
    </row>
    <row r="210" spans="1:5" ht="25.5" customHeight="1" x14ac:dyDescent="0.35">
      <c r="A210" s="96" t="s">
        <v>590</v>
      </c>
      <c r="B210" s="294" t="s">
        <v>591</v>
      </c>
      <c r="C210" s="294"/>
      <c r="D210" s="294"/>
      <c r="E210" s="294"/>
    </row>
    <row r="211" spans="1:5" ht="43.5" customHeight="1" x14ac:dyDescent="0.35">
      <c r="A211" s="202"/>
      <c r="B211" s="202"/>
      <c r="C211" s="202"/>
      <c r="D211" s="202"/>
      <c r="E211" s="202"/>
    </row>
  </sheetData>
  <mergeCells count="160">
    <mergeCell ref="A205:E205"/>
    <mergeCell ref="B206:E206"/>
    <mergeCell ref="A207:E207"/>
    <mergeCell ref="B208:E208"/>
    <mergeCell ref="A209:E209"/>
    <mergeCell ref="B210:E210"/>
    <mergeCell ref="A211:E211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A1:D1"/>
    <mergeCell ref="A2:D2"/>
    <mergeCell ref="A3:D3"/>
    <mergeCell ref="A5:D5"/>
    <mergeCell ref="C6:D6"/>
    <mergeCell ref="C7:D7"/>
    <mergeCell ref="C8:D8"/>
    <mergeCell ref="C9:D9"/>
    <mergeCell ref="C10:D10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Listas!$U$2:$U$8</xm:f>
          </x14:formula1>
          <x14:formula2>
            <xm:f>0</xm:f>
          </x14:formula2>
          <xm:sqref>B68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11"/>
  <sheetViews>
    <sheetView view="pageBreakPreview"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249" t="s">
        <v>595</v>
      </c>
      <c r="B1" s="249"/>
      <c r="C1" s="249"/>
      <c r="D1" s="249"/>
    </row>
    <row r="2" spans="1:4" ht="18" customHeight="1" x14ac:dyDescent="0.35">
      <c r="A2" s="250" t="s">
        <v>302</v>
      </c>
      <c r="B2" s="250"/>
      <c r="C2" s="250"/>
      <c r="D2" s="250"/>
    </row>
    <row r="3" spans="1:4" ht="19.5" customHeight="1" x14ac:dyDescent="0.35">
      <c r="A3" s="251" t="s">
        <v>303</v>
      </c>
      <c r="B3" s="251"/>
      <c r="C3" s="251"/>
      <c r="D3" s="251"/>
    </row>
    <row r="5" spans="1:4" ht="21.75" customHeight="1" x14ac:dyDescent="0.35">
      <c r="A5" s="252" t="s">
        <v>304</v>
      </c>
      <c r="B5" s="252"/>
      <c r="C5" s="252"/>
      <c r="D5" s="252"/>
    </row>
    <row r="6" spans="1:4" ht="24" customHeight="1" x14ac:dyDescent="0.35">
      <c r="A6" s="61" t="s">
        <v>305</v>
      </c>
      <c r="B6" s="140"/>
      <c r="C6" s="253" t="s">
        <v>306</v>
      </c>
      <c r="D6" s="253"/>
    </row>
    <row r="7" spans="1:4" ht="24" customHeight="1" x14ac:dyDescent="0.35">
      <c r="A7" s="61" t="s">
        <v>307</v>
      </c>
      <c r="B7" s="140"/>
      <c r="C7" s="253" t="s">
        <v>308</v>
      </c>
      <c r="D7" s="253"/>
    </row>
    <row r="8" spans="1:4" ht="24" customHeight="1" x14ac:dyDescent="0.35">
      <c r="A8" s="61" t="s">
        <v>309</v>
      </c>
      <c r="B8" s="140"/>
      <c r="C8" s="253" t="s">
        <v>310</v>
      </c>
      <c r="D8" s="253"/>
    </row>
    <row r="9" spans="1:4" ht="24" customHeight="1" x14ac:dyDescent="0.35">
      <c r="A9" s="61" t="s">
        <v>311</v>
      </c>
      <c r="B9" s="140"/>
      <c r="C9" s="253" t="s">
        <v>312</v>
      </c>
      <c r="D9" s="253"/>
    </row>
    <row r="10" spans="1:4" ht="24" customHeight="1" x14ac:dyDescent="0.35">
      <c r="A10" s="61" t="s">
        <v>313</v>
      </c>
      <c r="B10" s="140"/>
      <c r="C10" s="253" t="s">
        <v>314</v>
      </c>
      <c r="D10" s="253"/>
    </row>
    <row r="11" spans="1:4" ht="24" customHeight="1" x14ac:dyDescent="0.35">
      <c r="A11" s="61" t="s">
        <v>315</v>
      </c>
      <c r="B11" s="140"/>
      <c r="C11" s="253" t="s">
        <v>316</v>
      </c>
      <c r="D11" s="253"/>
    </row>
    <row r="13" spans="1:4" ht="21.75" customHeight="1" x14ac:dyDescent="0.35">
      <c r="A13" s="252" t="s">
        <v>317</v>
      </c>
      <c r="B13" s="252"/>
      <c r="C13" s="252"/>
      <c r="D13" s="252"/>
    </row>
    <row r="14" spans="1:4" ht="19.5" customHeight="1" x14ac:dyDescent="0.35">
      <c r="A14" s="138" t="s">
        <v>6</v>
      </c>
      <c r="B14" s="254" t="s">
        <v>318</v>
      </c>
      <c r="C14" s="254"/>
      <c r="D14" s="254"/>
    </row>
    <row r="15" spans="1:4" ht="21.75" customHeight="1" x14ac:dyDescent="0.35">
      <c r="A15" s="142" t="s">
        <v>9</v>
      </c>
      <c r="B15" s="255" t="s">
        <v>319</v>
      </c>
      <c r="C15" s="255"/>
      <c r="D15" s="255"/>
    </row>
    <row r="16" spans="1:4" ht="21.75" customHeight="1" x14ac:dyDescent="0.35">
      <c r="A16" s="143" t="s">
        <v>12</v>
      </c>
      <c r="B16" s="256" t="s">
        <v>320</v>
      </c>
      <c r="C16" s="256"/>
      <c r="D16" s="256"/>
    </row>
    <row r="17" spans="1:5" ht="21.75" customHeight="1" x14ac:dyDescent="0.35">
      <c r="A17" s="144" t="s">
        <v>15</v>
      </c>
      <c r="B17" s="257" t="s">
        <v>321</v>
      </c>
      <c r="C17" s="257"/>
      <c r="D17" s="257"/>
    </row>
    <row r="18" spans="1:5" ht="21.75" customHeight="1" x14ac:dyDescent="0.35">
      <c r="A18" s="145" t="s">
        <v>322</v>
      </c>
      <c r="B18" s="258" t="s">
        <v>323</v>
      </c>
      <c r="C18" s="258"/>
      <c r="D18" s="258"/>
    </row>
    <row r="19" spans="1:5" ht="21.75" customHeight="1" x14ac:dyDescent="0.35">
      <c r="A19" s="146" t="s">
        <v>21</v>
      </c>
      <c r="B19" s="259" t="s">
        <v>324</v>
      </c>
      <c r="C19" s="259"/>
      <c r="D19" s="259"/>
    </row>
    <row r="20" spans="1:5" ht="21.75" customHeight="1" x14ac:dyDescent="0.35">
      <c r="A20" s="147" t="s">
        <v>24</v>
      </c>
      <c r="B20" s="260" t="s">
        <v>325</v>
      </c>
      <c r="C20" s="260"/>
      <c r="D20" s="260"/>
    </row>
    <row r="22" spans="1:5" ht="30" customHeight="1" x14ac:dyDescent="0.35">
      <c r="A22" s="61" t="s">
        <v>326</v>
      </c>
      <c r="B22" s="148"/>
      <c r="C22" s="261" t="s">
        <v>327</v>
      </c>
      <c r="D22" s="261"/>
    </row>
    <row r="23" spans="1:5" ht="30" customHeight="1" x14ac:dyDescent="0.35">
      <c r="A23" s="149" t="s">
        <v>328</v>
      </c>
      <c r="B23" s="150" t="s">
        <v>322</v>
      </c>
      <c r="C23" s="262" t="s">
        <v>329</v>
      </c>
      <c r="D23" s="262"/>
    </row>
    <row r="24" spans="1:5" ht="39.75" customHeight="1" x14ac:dyDescent="0.35">
      <c r="A24" s="61" t="s">
        <v>330</v>
      </c>
      <c r="B24" s="263"/>
      <c r="C24" s="263"/>
      <c r="D24" s="263"/>
    </row>
    <row r="26" spans="1:5" ht="21.75" customHeight="1" x14ac:dyDescent="0.35">
      <c r="A26" s="252" t="s">
        <v>331</v>
      </c>
      <c r="B26" s="252"/>
      <c r="C26" s="252"/>
      <c r="D26" s="252"/>
    </row>
    <row r="27" spans="1:5" ht="21.75" customHeight="1" x14ac:dyDescent="0.35">
      <c r="A27" s="152" t="s">
        <v>332</v>
      </c>
      <c r="B27" s="152" t="s">
        <v>333</v>
      </c>
      <c r="C27" s="152" t="s">
        <v>334</v>
      </c>
      <c r="D27" s="152" t="s">
        <v>335</v>
      </c>
      <c r="E27" s="15" t="s">
        <v>336</v>
      </c>
    </row>
    <row r="28" spans="1:5" ht="18" customHeight="1" x14ac:dyDescent="0.35">
      <c r="A28" s="229" t="s">
        <v>230</v>
      </c>
      <c r="B28" s="229"/>
      <c r="C28" s="229"/>
      <c r="D28" s="229"/>
      <c r="E28" s="113"/>
    </row>
    <row r="29" spans="1:5" ht="30" customHeight="1" x14ac:dyDescent="0.35">
      <c r="A29" s="153" t="s">
        <v>337</v>
      </c>
      <c r="B29" s="154"/>
      <c r="C29" s="23" t="s">
        <v>15</v>
      </c>
      <c r="D29" s="155" t="s">
        <v>338</v>
      </c>
      <c r="E29" s="156"/>
    </row>
    <row r="30" spans="1:5" ht="30" customHeight="1" x14ac:dyDescent="0.35">
      <c r="A30" s="153" t="s">
        <v>339</v>
      </c>
      <c r="B30" s="154"/>
      <c r="C30" s="26" t="s">
        <v>322</v>
      </c>
      <c r="D30" s="155" t="s">
        <v>340</v>
      </c>
      <c r="E30" s="156"/>
    </row>
    <row r="31" spans="1:5" ht="18" customHeight="1" x14ac:dyDescent="0.35">
      <c r="A31" s="229" t="s">
        <v>233</v>
      </c>
      <c r="B31" s="229"/>
      <c r="C31" s="229"/>
      <c r="D31" s="229"/>
      <c r="E31" s="113"/>
    </row>
    <row r="32" spans="1:5" ht="30" customHeight="1" x14ac:dyDescent="0.35">
      <c r="A32" s="153" t="s">
        <v>341</v>
      </c>
      <c r="B32" s="154"/>
      <c r="C32" s="23" t="s">
        <v>15</v>
      </c>
      <c r="D32" s="155" t="s">
        <v>342</v>
      </c>
      <c r="E32" s="156"/>
    </row>
    <row r="33" spans="1:5" ht="30" customHeight="1" x14ac:dyDescent="0.35">
      <c r="A33" s="153" t="s">
        <v>343</v>
      </c>
      <c r="B33" s="154"/>
      <c r="C33" s="26" t="s">
        <v>322</v>
      </c>
      <c r="D33" s="155" t="s">
        <v>344</v>
      </c>
      <c r="E33" s="156"/>
    </row>
    <row r="34" spans="1:5" ht="30" customHeight="1" x14ac:dyDescent="0.35">
      <c r="A34" s="153" t="s">
        <v>345</v>
      </c>
      <c r="B34" s="154"/>
      <c r="C34" s="23" t="s">
        <v>15</v>
      </c>
      <c r="D34" s="155" t="s">
        <v>346</v>
      </c>
      <c r="E34" s="156"/>
    </row>
    <row r="35" spans="1:5" ht="30" customHeight="1" x14ac:dyDescent="0.35">
      <c r="A35" s="153" t="s">
        <v>347</v>
      </c>
      <c r="B35" s="154"/>
      <c r="C35" s="26" t="s">
        <v>322</v>
      </c>
      <c r="D35" s="155" t="s">
        <v>348</v>
      </c>
      <c r="E35" s="156"/>
    </row>
    <row r="36" spans="1:5" ht="18" customHeight="1" x14ac:dyDescent="0.35">
      <c r="A36" s="229" t="s">
        <v>238</v>
      </c>
      <c r="B36" s="229"/>
      <c r="C36" s="229"/>
      <c r="D36" s="229"/>
      <c r="E36" s="113"/>
    </row>
    <row r="37" spans="1:5" ht="30" customHeight="1" x14ac:dyDescent="0.35">
      <c r="A37" s="153" t="s">
        <v>349</v>
      </c>
      <c r="B37" s="154"/>
      <c r="C37" s="23" t="s">
        <v>15</v>
      </c>
      <c r="D37" s="155" t="s">
        <v>350</v>
      </c>
      <c r="E37" s="156"/>
    </row>
    <row r="38" spans="1:5" ht="30" customHeight="1" x14ac:dyDescent="0.35">
      <c r="A38" s="153" t="s">
        <v>351</v>
      </c>
      <c r="B38" s="154"/>
      <c r="C38" s="26" t="s">
        <v>322</v>
      </c>
      <c r="D38" s="155" t="s">
        <v>352</v>
      </c>
      <c r="E38" s="156"/>
    </row>
    <row r="39" spans="1:5" ht="30" customHeight="1" x14ac:dyDescent="0.35">
      <c r="A39" s="153" t="s">
        <v>353</v>
      </c>
      <c r="B39" s="154"/>
      <c r="C39" s="26" t="s">
        <v>322</v>
      </c>
      <c r="D39" s="155" t="s">
        <v>354</v>
      </c>
      <c r="E39" s="156"/>
    </row>
    <row r="40" spans="1:5" ht="30" customHeight="1" x14ac:dyDescent="0.35">
      <c r="A40" s="153" t="s">
        <v>355</v>
      </c>
      <c r="B40" s="154"/>
      <c r="C40" s="23" t="s">
        <v>15</v>
      </c>
      <c r="D40" s="155" t="s">
        <v>356</v>
      </c>
      <c r="E40" s="156"/>
    </row>
    <row r="41" spans="1:5" ht="18" customHeight="1" x14ac:dyDescent="0.35">
      <c r="A41" s="229" t="s">
        <v>243</v>
      </c>
      <c r="B41" s="229"/>
      <c r="C41" s="229"/>
      <c r="D41" s="229"/>
      <c r="E41" s="113"/>
    </row>
    <row r="42" spans="1:5" ht="30" customHeight="1" x14ac:dyDescent="0.35">
      <c r="A42" s="153" t="s">
        <v>357</v>
      </c>
      <c r="B42" s="154"/>
      <c r="C42" s="23" t="s">
        <v>15</v>
      </c>
      <c r="D42" s="155" t="s">
        <v>358</v>
      </c>
      <c r="E42" s="156"/>
    </row>
    <row r="43" spans="1:5" ht="30" customHeight="1" x14ac:dyDescent="0.35">
      <c r="A43" s="153" t="s">
        <v>359</v>
      </c>
      <c r="B43" s="154"/>
      <c r="C43" s="23" t="s">
        <v>15</v>
      </c>
      <c r="D43" s="155" t="s">
        <v>360</v>
      </c>
      <c r="E43" s="156"/>
    </row>
    <row r="44" spans="1:5" ht="30" customHeight="1" x14ac:dyDescent="0.35">
      <c r="A44" s="153" t="s">
        <v>361</v>
      </c>
      <c r="B44" s="154"/>
      <c r="C44" s="26" t="s">
        <v>322</v>
      </c>
      <c r="D44" s="155" t="s">
        <v>362</v>
      </c>
      <c r="E44" s="156"/>
    </row>
    <row r="45" spans="1:5" ht="30" customHeight="1" x14ac:dyDescent="0.35">
      <c r="A45" s="153" t="s">
        <v>363</v>
      </c>
      <c r="B45" s="154"/>
      <c r="C45" s="26" t="s">
        <v>322</v>
      </c>
      <c r="D45" s="155" t="s">
        <v>364</v>
      </c>
      <c r="E45" s="156"/>
    </row>
    <row r="46" spans="1:5" ht="30" customHeight="1" x14ac:dyDescent="0.35">
      <c r="A46" s="153" t="s">
        <v>365</v>
      </c>
      <c r="B46" s="154"/>
      <c r="C46" s="23" t="s">
        <v>15</v>
      </c>
      <c r="D46" s="155" t="s">
        <v>366</v>
      </c>
      <c r="E46" s="156"/>
    </row>
    <row r="47" spans="1:5" ht="30" customHeight="1" x14ac:dyDescent="0.35">
      <c r="A47" s="153" t="s">
        <v>367</v>
      </c>
      <c r="B47" s="154"/>
      <c r="C47" s="29" t="s">
        <v>21</v>
      </c>
      <c r="D47" s="155" t="s">
        <v>368</v>
      </c>
      <c r="E47" s="156"/>
    </row>
    <row r="48" spans="1:5" ht="30" customHeight="1" x14ac:dyDescent="0.35">
      <c r="A48" s="153" t="s">
        <v>369</v>
      </c>
      <c r="B48" s="154"/>
      <c r="C48" s="26" t="s">
        <v>322</v>
      </c>
      <c r="D48" s="155" t="s">
        <v>370</v>
      </c>
      <c r="E48" s="156"/>
    </row>
    <row r="50" spans="1:5" ht="21.75" customHeight="1" x14ac:dyDescent="0.35">
      <c r="A50" s="252" t="s">
        <v>371</v>
      </c>
      <c r="B50" s="252"/>
      <c r="C50" s="252"/>
      <c r="D50" s="252"/>
    </row>
    <row r="51" spans="1:5" ht="19.5" customHeight="1" x14ac:dyDescent="0.35">
      <c r="A51" s="226" t="s">
        <v>372</v>
      </c>
      <c r="B51" s="226"/>
      <c r="C51" s="226"/>
      <c r="D51" s="226"/>
    </row>
    <row r="52" spans="1:5" ht="21.75" customHeight="1" x14ac:dyDescent="0.35">
      <c r="A52" s="152" t="s">
        <v>373</v>
      </c>
      <c r="B52" s="152" t="s">
        <v>374</v>
      </c>
      <c r="C52" s="118" t="s">
        <v>375</v>
      </c>
      <c r="D52" s="118" t="s">
        <v>376</v>
      </c>
    </row>
    <row r="53" spans="1:5" ht="39.75" customHeight="1" x14ac:dyDescent="0.35">
      <c r="A53" s="85" t="s">
        <v>377</v>
      </c>
      <c r="B53" s="157"/>
      <c r="C53" s="158" t="s">
        <v>378</v>
      </c>
      <c r="D53" s="140"/>
    </row>
    <row r="54" spans="1:5" ht="39.75" customHeight="1" x14ac:dyDescent="0.35">
      <c r="A54" s="74" t="s">
        <v>379</v>
      </c>
      <c r="B54" s="157"/>
      <c r="C54" s="158" t="s">
        <v>380</v>
      </c>
      <c r="D54" s="140"/>
    </row>
    <row r="55" spans="1:5" ht="39.75" customHeight="1" x14ac:dyDescent="0.35">
      <c r="A55" s="85" t="s">
        <v>381</v>
      </c>
      <c r="B55" s="157"/>
      <c r="C55" s="158" t="s">
        <v>382</v>
      </c>
      <c r="D55" s="140"/>
    </row>
    <row r="56" spans="1:5" ht="39.75" customHeight="1" x14ac:dyDescent="0.35">
      <c r="A56" s="88" t="s">
        <v>383</v>
      </c>
      <c r="B56" s="157"/>
      <c r="C56" s="158" t="s">
        <v>384</v>
      </c>
      <c r="D56" s="140"/>
    </row>
    <row r="57" spans="1:5" ht="39.75" customHeight="1" x14ac:dyDescent="0.35">
      <c r="A57" s="89" t="s">
        <v>385</v>
      </c>
      <c r="B57" s="157"/>
      <c r="C57" s="158" t="s">
        <v>386</v>
      </c>
      <c r="D57" s="140"/>
    </row>
    <row r="58" spans="1:5" ht="39.75" customHeight="1" x14ac:dyDescent="0.35">
      <c r="A58" s="90" t="s">
        <v>387</v>
      </c>
      <c r="B58" s="157"/>
      <c r="C58" s="158" t="s">
        <v>388</v>
      </c>
      <c r="D58" s="140"/>
    </row>
    <row r="59" spans="1:5" ht="39.75" customHeight="1" x14ac:dyDescent="0.35">
      <c r="A59" s="91" t="s">
        <v>389</v>
      </c>
      <c r="B59" s="157"/>
      <c r="C59" s="158" t="s">
        <v>390</v>
      </c>
      <c r="D59" s="140"/>
    </row>
    <row r="60" spans="1:5" ht="36" customHeight="1" x14ac:dyDescent="0.35">
      <c r="A60" s="159" t="s">
        <v>391</v>
      </c>
      <c r="B60" s="160"/>
      <c r="C60" s="140"/>
      <c r="D60" s="140"/>
      <c r="E60" s="161"/>
    </row>
    <row r="61" spans="1:5" ht="36" customHeight="1" x14ac:dyDescent="0.35">
      <c r="A61" s="264" t="s">
        <v>392</v>
      </c>
      <c r="B61" s="264"/>
      <c r="C61" s="264"/>
      <c r="D61" s="264"/>
      <c r="E61" s="161"/>
    </row>
    <row r="62" spans="1:5" ht="36" customHeight="1" x14ac:dyDescent="0.35">
      <c r="A62" s="159" t="s">
        <v>393</v>
      </c>
      <c r="B62" s="160"/>
      <c r="C62" s="265"/>
      <c r="D62" s="265"/>
      <c r="E62" s="161"/>
    </row>
    <row r="63" spans="1:5" ht="36" customHeight="1" x14ac:dyDescent="0.35">
      <c r="A63" s="159" t="s">
        <v>394</v>
      </c>
      <c r="B63" s="160"/>
      <c r="C63" s="265"/>
      <c r="D63" s="265"/>
      <c r="E63" s="161"/>
    </row>
    <row r="64" spans="1:5" ht="36" customHeight="1" x14ac:dyDescent="0.35">
      <c r="A64" s="159" t="s">
        <v>395</v>
      </c>
      <c r="B64" s="160"/>
      <c r="C64" s="265"/>
      <c r="D64" s="265"/>
      <c r="E64" s="161"/>
    </row>
    <row r="65" spans="1:4" ht="27.75" customHeight="1" x14ac:dyDescent="0.35">
      <c r="C65" s="180"/>
      <c r="D65" s="180"/>
    </row>
    <row r="66" spans="1:4" ht="27.75" customHeight="1" x14ac:dyDescent="0.35">
      <c r="A66" s="139" t="s">
        <v>396</v>
      </c>
      <c r="C66" s="180"/>
      <c r="D66" s="180"/>
    </row>
    <row r="67" spans="1:4" ht="27.75" customHeight="1" x14ac:dyDescent="0.35">
      <c r="A67" s="61" t="s">
        <v>397</v>
      </c>
      <c r="B67" s="140"/>
      <c r="C67" s="253" t="s">
        <v>398</v>
      </c>
      <c r="D67" s="253"/>
    </row>
    <row r="68" spans="1:4" ht="27.75" customHeight="1" x14ac:dyDescent="0.35">
      <c r="A68" s="61" t="s">
        <v>399</v>
      </c>
      <c r="B68" s="140"/>
      <c r="C68" s="253" t="s">
        <v>400</v>
      </c>
      <c r="D68" s="253"/>
    </row>
    <row r="69" spans="1:4" ht="27.75" customHeight="1" x14ac:dyDescent="0.35">
      <c r="A69" s="61" t="s">
        <v>401</v>
      </c>
      <c r="B69" s="140"/>
      <c r="C69" s="253" t="s">
        <v>402</v>
      </c>
      <c r="D69" s="253"/>
    </row>
    <row r="70" spans="1:4" ht="27.75" customHeight="1" x14ac:dyDescent="0.35">
      <c r="A70" s="61" t="s">
        <v>403</v>
      </c>
      <c r="B70" s="140"/>
      <c r="C70" s="253" t="s">
        <v>404</v>
      </c>
      <c r="D70" s="253"/>
    </row>
    <row r="71" spans="1:4" ht="21.75" customHeight="1" x14ac:dyDescent="0.35">
      <c r="A71" s="61" t="s">
        <v>405</v>
      </c>
      <c r="B71" s="140"/>
      <c r="C71" s="141" t="s">
        <v>406</v>
      </c>
    </row>
    <row r="72" spans="1:4" ht="21.75" customHeight="1" x14ac:dyDescent="0.35">
      <c r="A72" s="266" t="s">
        <v>285</v>
      </c>
      <c r="B72" s="266"/>
      <c r="C72" s="266"/>
      <c r="D72" s="266"/>
    </row>
    <row r="73" spans="1:4" ht="25.5" customHeight="1" x14ac:dyDescent="0.35">
      <c r="A73" s="61" t="s">
        <v>407</v>
      </c>
      <c r="B73" s="140"/>
      <c r="C73" s="253" t="s">
        <v>408</v>
      </c>
      <c r="D73" s="253"/>
    </row>
    <row r="74" spans="1:4" ht="25.5" customHeight="1" x14ac:dyDescent="0.35">
      <c r="A74" s="61" t="s">
        <v>409</v>
      </c>
      <c r="B74" s="140"/>
      <c r="C74" s="253" t="s">
        <v>410</v>
      </c>
      <c r="D74" s="253"/>
    </row>
    <row r="75" spans="1:4" ht="25.5" customHeight="1" x14ac:dyDescent="0.35">
      <c r="A75" s="61" t="s">
        <v>411</v>
      </c>
      <c r="B75" s="140"/>
      <c r="C75" s="253" t="s">
        <v>412</v>
      </c>
      <c r="D75" s="253"/>
    </row>
    <row r="76" spans="1:4" ht="25.5" customHeight="1" x14ac:dyDescent="0.35">
      <c r="C76" s="180"/>
      <c r="D76" s="180"/>
    </row>
    <row r="77" spans="1:4" ht="25.5" customHeight="1" x14ac:dyDescent="0.35">
      <c r="A77" s="139" t="s">
        <v>413</v>
      </c>
      <c r="C77" s="180"/>
      <c r="D77" s="180"/>
    </row>
    <row r="78" spans="1:4" ht="25.5" customHeight="1" x14ac:dyDescent="0.35">
      <c r="A78" s="61" t="s">
        <v>414</v>
      </c>
      <c r="B78" s="140"/>
      <c r="C78" s="253" t="s">
        <v>415</v>
      </c>
      <c r="D78" s="253"/>
    </row>
    <row r="79" spans="1:4" ht="25.5" customHeight="1" x14ac:dyDescent="0.35">
      <c r="A79" s="61" t="s">
        <v>416</v>
      </c>
      <c r="B79" s="140"/>
      <c r="C79" s="253" t="s">
        <v>417</v>
      </c>
      <c r="D79" s="253"/>
    </row>
    <row r="80" spans="1:4" ht="25.5" customHeight="1" x14ac:dyDescent="0.35">
      <c r="A80" s="61" t="s">
        <v>418</v>
      </c>
      <c r="B80" s="140"/>
      <c r="C80" s="253" t="s">
        <v>419</v>
      </c>
      <c r="D80" s="253"/>
    </row>
    <row r="81" spans="1:4" ht="25.5" customHeight="1" x14ac:dyDescent="0.35">
      <c r="A81" s="61" t="s">
        <v>420</v>
      </c>
      <c r="B81" s="140"/>
      <c r="C81" s="253" t="s">
        <v>421</v>
      </c>
      <c r="D81" s="253"/>
    </row>
    <row r="82" spans="1:4" ht="34.5" customHeight="1" x14ac:dyDescent="0.35">
      <c r="A82" s="61" t="s">
        <v>422</v>
      </c>
      <c r="B82" s="140"/>
      <c r="C82" s="141" t="s">
        <v>423</v>
      </c>
    </row>
    <row r="83" spans="1:4" ht="24" customHeight="1" x14ac:dyDescent="0.35">
      <c r="A83" s="266" t="s">
        <v>424</v>
      </c>
      <c r="B83" s="266"/>
      <c r="C83" s="266"/>
      <c r="D83" s="266"/>
    </row>
    <row r="84" spans="1:4" ht="24" customHeight="1" x14ac:dyDescent="0.35">
      <c r="A84" s="61" t="s">
        <v>425</v>
      </c>
      <c r="B84" s="267"/>
      <c r="C84" s="267"/>
      <c r="D84" s="267"/>
    </row>
    <row r="85" spans="1:4" ht="43.5" customHeight="1" x14ac:dyDescent="0.35">
      <c r="A85" s="266" t="s">
        <v>426</v>
      </c>
      <c r="B85" s="266"/>
      <c r="C85" s="266"/>
      <c r="D85" s="266"/>
    </row>
    <row r="86" spans="1:4" ht="24" customHeight="1" x14ac:dyDescent="0.35">
      <c r="A86" s="61" t="s">
        <v>427</v>
      </c>
      <c r="B86" s="267"/>
      <c r="C86" s="267"/>
      <c r="D86" s="267"/>
    </row>
    <row r="87" spans="1:4" ht="43.5" customHeight="1" x14ac:dyDescent="0.35">
      <c r="A87" s="180"/>
      <c r="B87" s="180"/>
      <c r="C87" s="180"/>
      <c r="D87" s="180"/>
    </row>
    <row r="88" spans="1:4" ht="24" customHeight="1" x14ac:dyDescent="0.35">
      <c r="A88" s="162" t="s">
        <v>428</v>
      </c>
      <c r="B88" s="180"/>
      <c r="C88" s="180"/>
      <c r="D88" s="180"/>
    </row>
    <row r="89" spans="1:4" ht="43.5" customHeight="1" x14ac:dyDescent="0.35">
      <c r="A89" s="268" t="s">
        <v>429</v>
      </c>
      <c r="B89" s="268"/>
      <c r="C89" s="268"/>
      <c r="D89" s="268"/>
    </row>
    <row r="90" spans="1:4" ht="24" customHeight="1" x14ac:dyDescent="0.35">
      <c r="A90" s="151"/>
      <c r="B90" s="180"/>
      <c r="C90" s="180"/>
      <c r="D90" s="180"/>
    </row>
    <row r="91" spans="1:4" ht="43.5" customHeight="1" x14ac:dyDescent="0.35">
      <c r="A91" s="268" t="s">
        <v>430</v>
      </c>
      <c r="B91" s="268"/>
      <c r="C91" s="268"/>
      <c r="D91" s="268"/>
    </row>
    <row r="92" spans="1:4" ht="15" customHeight="1" x14ac:dyDescent="0.35">
      <c r="A92" s="151"/>
    </row>
    <row r="93" spans="1:4" ht="23.25" customHeight="1" x14ac:dyDescent="0.35">
      <c r="A93" s="96" t="s">
        <v>431</v>
      </c>
      <c r="B93" s="163" t="s">
        <v>432</v>
      </c>
    </row>
    <row r="94" spans="1:4" ht="15" customHeight="1" x14ac:dyDescent="0.35">
      <c r="A94" s="151"/>
    </row>
    <row r="95" spans="1:4" ht="23.25" customHeight="1" x14ac:dyDescent="0.35">
      <c r="A95" s="96" t="s">
        <v>433</v>
      </c>
      <c r="B95" s="163" t="s">
        <v>434</v>
      </c>
    </row>
    <row r="96" spans="1:4" ht="15" customHeight="1" x14ac:dyDescent="0.35">
      <c r="A96" s="151"/>
    </row>
    <row r="99" spans="1:5" ht="33.75" customHeight="1" x14ac:dyDescent="0.35">
      <c r="A99" s="269" t="s">
        <v>596</v>
      </c>
      <c r="B99" s="269"/>
      <c r="C99" s="269"/>
      <c r="D99" s="269"/>
      <c r="E99" s="269"/>
    </row>
    <row r="100" spans="1:5" ht="24" customHeight="1" x14ac:dyDescent="0.35">
      <c r="A100" s="270" t="s">
        <v>436</v>
      </c>
      <c r="B100" s="270"/>
      <c r="C100" s="270"/>
      <c r="D100" s="270"/>
      <c r="E100" s="270"/>
    </row>
    <row r="101" spans="1:5" ht="25.5" customHeight="1" x14ac:dyDescent="0.35">
      <c r="A101" s="271" t="s">
        <v>437</v>
      </c>
      <c r="B101" s="271"/>
      <c r="C101" s="271"/>
      <c r="D101" s="271"/>
      <c r="E101" s="271"/>
    </row>
    <row r="102" spans="1:5" ht="27.75" customHeight="1" x14ac:dyDescent="0.35">
      <c r="A102" s="61" t="s">
        <v>438</v>
      </c>
      <c r="B102" s="164"/>
      <c r="C102" s="253" t="s">
        <v>439</v>
      </c>
      <c r="D102" s="253"/>
      <c r="E102" s="253"/>
    </row>
    <row r="103" spans="1:5" ht="27.75" customHeight="1" x14ac:dyDescent="0.35">
      <c r="A103" s="61" t="s">
        <v>440</v>
      </c>
      <c r="B103" s="164"/>
      <c r="C103" s="253" t="s">
        <v>441</v>
      </c>
      <c r="D103" s="253"/>
      <c r="E103" s="253"/>
    </row>
    <row r="104" spans="1:5" ht="27.75" customHeight="1" x14ac:dyDescent="0.35">
      <c r="A104" s="61" t="s">
        <v>442</v>
      </c>
      <c r="B104" s="165"/>
      <c r="C104" s="253" t="s">
        <v>443</v>
      </c>
      <c r="D104" s="253"/>
      <c r="E104" s="253"/>
    </row>
    <row r="105" spans="1:5" ht="27.75" customHeight="1" x14ac:dyDescent="0.35">
      <c r="A105" s="61" t="s">
        <v>444</v>
      </c>
      <c r="B105" s="164"/>
      <c r="C105" s="253" t="s">
        <v>445</v>
      </c>
      <c r="D105" s="253"/>
      <c r="E105" s="253"/>
    </row>
    <row r="106" spans="1:5" ht="27.75" customHeight="1" x14ac:dyDescent="0.35">
      <c r="A106" s="61" t="s">
        <v>446</v>
      </c>
      <c r="B106" s="165"/>
      <c r="C106" s="253" t="s">
        <v>447</v>
      </c>
      <c r="D106" s="253"/>
      <c r="E106" s="253"/>
    </row>
    <row r="107" spans="1:5" ht="27.75" customHeight="1" x14ac:dyDescent="0.35">
      <c r="A107" s="61" t="s">
        <v>448</v>
      </c>
      <c r="B107" s="164"/>
      <c r="C107" s="253" t="s">
        <v>449</v>
      </c>
      <c r="D107" s="253"/>
      <c r="E107" s="253"/>
    </row>
    <row r="108" spans="1:5" ht="27.75" customHeight="1" x14ac:dyDescent="0.35">
      <c r="A108" s="61" t="s">
        <v>450</v>
      </c>
      <c r="B108" s="165"/>
      <c r="C108" s="253" t="s">
        <v>451</v>
      </c>
      <c r="D108" s="253"/>
      <c r="E108" s="253"/>
    </row>
    <row r="109" spans="1:5" ht="27.75" customHeight="1" x14ac:dyDescent="0.35">
      <c r="A109" s="61" t="s">
        <v>452</v>
      </c>
      <c r="B109" s="164"/>
      <c r="C109" s="253" t="s">
        <v>453</v>
      </c>
      <c r="D109" s="253"/>
      <c r="E109" s="253"/>
    </row>
    <row r="110" spans="1:5" ht="27.75" customHeight="1" x14ac:dyDescent="0.35">
      <c r="A110" s="61" t="s">
        <v>454</v>
      </c>
      <c r="B110" s="165"/>
      <c r="C110" s="253" t="s">
        <v>455</v>
      </c>
      <c r="D110" s="253"/>
      <c r="E110" s="253"/>
    </row>
    <row r="111" spans="1:5" ht="27.75" customHeight="1" x14ac:dyDescent="0.35">
      <c r="A111" s="61" t="s">
        <v>456</v>
      </c>
      <c r="B111" s="165"/>
      <c r="C111" s="253" t="s">
        <v>457</v>
      </c>
      <c r="D111" s="253"/>
      <c r="E111" s="253"/>
    </row>
    <row r="113" spans="1:5" ht="25.5" customHeight="1" x14ac:dyDescent="0.35">
      <c r="A113" s="272" t="s">
        <v>458</v>
      </c>
      <c r="B113" s="272"/>
      <c r="C113" s="272"/>
      <c r="D113" s="272"/>
      <c r="E113" s="272"/>
    </row>
    <row r="114" spans="1:5" ht="21.75" customHeight="1" x14ac:dyDescent="0.35">
      <c r="A114" s="273" t="s">
        <v>459</v>
      </c>
      <c r="B114" s="273"/>
      <c r="C114" s="273"/>
      <c r="D114" s="273"/>
      <c r="E114" s="273"/>
    </row>
    <row r="115" spans="1:5" ht="25.5" customHeight="1" x14ac:dyDescent="0.35">
      <c r="A115" s="96" t="s">
        <v>460</v>
      </c>
      <c r="B115" s="274" t="s">
        <v>461</v>
      </c>
      <c r="C115" s="274"/>
      <c r="D115" s="274"/>
      <c r="E115" s="274"/>
    </row>
    <row r="116" spans="1:5" ht="43.5" customHeight="1" x14ac:dyDescent="0.35">
      <c r="A116" s="275"/>
      <c r="B116" s="275"/>
      <c r="C116" s="275"/>
      <c r="D116" s="275"/>
      <c r="E116" s="275"/>
    </row>
    <row r="117" spans="1:5" ht="25.5" customHeight="1" x14ac:dyDescent="0.35">
      <c r="A117" s="96" t="s">
        <v>462</v>
      </c>
      <c r="B117" s="274" t="s">
        <v>463</v>
      </c>
      <c r="C117" s="274"/>
      <c r="D117" s="274"/>
      <c r="E117" s="274"/>
    </row>
    <row r="118" spans="1:5" ht="43.5" customHeight="1" x14ac:dyDescent="0.35">
      <c r="A118" s="275"/>
      <c r="B118" s="275"/>
      <c r="C118" s="275"/>
      <c r="D118" s="275"/>
      <c r="E118" s="275"/>
    </row>
    <row r="119" spans="1:5" ht="25.5" customHeight="1" x14ac:dyDescent="0.35">
      <c r="A119" s="96" t="s">
        <v>464</v>
      </c>
      <c r="B119" s="274" t="s">
        <v>465</v>
      </c>
      <c r="C119" s="274"/>
      <c r="D119" s="274"/>
      <c r="E119" s="274"/>
    </row>
    <row r="120" spans="1:5" ht="43.5" customHeight="1" x14ac:dyDescent="0.35">
      <c r="A120" s="275"/>
      <c r="B120" s="275"/>
      <c r="C120" s="275"/>
      <c r="D120" s="275"/>
      <c r="E120" s="275"/>
    </row>
    <row r="121" spans="1:5" ht="25.5" customHeight="1" x14ac:dyDescent="0.35">
      <c r="A121" s="96" t="s">
        <v>466</v>
      </c>
      <c r="B121" s="274" t="s">
        <v>467</v>
      </c>
      <c r="C121" s="274"/>
      <c r="D121" s="274"/>
      <c r="E121" s="274"/>
    </row>
    <row r="122" spans="1:5" ht="43.5" customHeight="1" x14ac:dyDescent="0.35">
      <c r="A122" s="275"/>
      <c r="B122" s="275"/>
      <c r="C122" s="275"/>
      <c r="D122" s="275"/>
      <c r="E122" s="275"/>
    </row>
    <row r="123" spans="1:5" ht="25.5" customHeight="1" x14ac:dyDescent="0.35">
      <c r="A123" s="96" t="s">
        <v>468</v>
      </c>
      <c r="B123" s="274" t="s">
        <v>469</v>
      </c>
      <c r="C123" s="274"/>
      <c r="D123" s="274"/>
      <c r="E123" s="274"/>
    </row>
    <row r="124" spans="1:5" ht="43.5" customHeight="1" x14ac:dyDescent="0.35">
      <c r="A124" s="275"/>
      <c r="B124" s="275"/>
      <c r="C124" s="275"/>
      <c r="D124" s="275"/>
      <c r="E124" s="275"/>
    </row>
    <row r="125" spans="1:5" ht="25.5" customHeight="1" x14ac:dyDescent="0.35">
      <c r="A125" s="96" t="s">
        <v>470</v>
      </c>
      <c r="B125" s="274" t="s">
        <v>471</v>
      </c>
      <c r="C125" s="274"/>
      <c r="D125" s="274"/>
      <c r="E125" s="274"/>
    </row>
    <row r="126" spans="1:5" ht="43.5" customHeight="1" x14ac:dyDescent="0.35">
      <c r="A126" s="275"/>
      <c r="B126" s="275"/>
      <c r="C126" s="275"/>
      <c r="D126" s="275"/>
      <c r="E126" s="275"/>
    </row>
    <row r="128" spans="1:5" ht="25.5" customHeight="1" x14ac:dyDescent="0.35">
      <c r="A128" s="276" t="s">
        <v>472</v>
      </c>
      <c r="B128" s="276"/>
      <c r="C128" s="276"/>
      <c r="D128" s="276"/>
      <c r="E128" s="276"/>
    </row>
    <row r="129" spans="1:5" ht="21.75" customHeight="1" x14ac:dyDescent="0.35">
      <c r="A129" s="277" t="s">
        <v>473</v>
      </c>
      <c r="B129" s="277"/>
      <c r="C129" s="277"/>
      <c r="D129" s="277"/>
      <c r="E129" s="277"/>
    </row>
    <row r="130" spans="1:5" ht="27.75" customHeight="1" x14ac:dyDescent="0.35">
      <c r="A130" s="74" t="s">
        <v>474</v>
      </c>
      <c r="B130" s="165"/>
      <c r="C130" s="253" t="s">
        <v>475</v>
      </c>
      <c r="D130" s="253"/>
      <c r="E130" s="253"/>
    </row>
    <row r="131" spans="1:5" ht="27.75" customHeight="1" x14ac:dyDescent="0.35">
      <c r="A131" s="74" t="s">
        <v>476</v>
      </c>
      <c r="B131" s="165"/>
      <c r="C131" s="253" t="s">
        <v>477</v>
      </c>
      <c r="D131" s="253"/>
      <c r="E131" s="253"/>
    </row>
    <row r="132" spans="1:5" ht="27.75" customHeight="1" x14ac:dyDescent="0.35">
      <c r="A132" s="74" t="s">
        <v>478</v>
      </c>
      <c r="B132" s="164"/>
      <c r="C132" s="253" t="s">
        <v>479</v>
      </c>
      <c r="D132" s="253"/>
      <c r="E132" s="253"/>
    </row>
    <row r="133" spans="1:5" ht="27.75" customHeight="1" x14ac:dyDescent="0.35">
      <c r="A133" s="74" t="s">
        <v>480</v>
      </c>
      <c r="B133" s="164"/>
      <c r="C133" s="253" t="s">
        <v>481</v>
      </c>
      <c r="D133" s="253"/>
      <c r="E133" s="253"/>
    </row>
    <row r="134" spans="1:5" ht="27.75" customHeight="1" x14ac:dyDescent="0.35">
      <c r="A134" s="74" t="s">
        <v>482</v>
      </c>
      <c r="B134" s="164"/>
      <c r="C134" s="253" t="s">
        <v>483</v>
      </c>
      <c r="D134" s="253"/>
      <c r="E134" s="253"/>
    </row>
    <row r="135" spans="1:5" ht="27.75" customHeight="1" x14ac:dyDescent="0.35">
      <c r="A135" s="74" t="s">
        <v>484</v>
      </c>
      <c r="B135" s="164"/>
      <c r="C135" s="253" t="s">
        <v>485</v>
      </c>
      <c r="D135" s="253"/>
      <c r="E135" s="253"/>
    </row>
    <row r="136" spans="1:5" ht="27.75" customHeight="1" x14ac:dyDescent="0.35">
      <c r="A136" s="74" t="s">
        <v>486</v>
      </c>
      <c r="B136" s="164"/>
      <c r="C136" s="253" t="s">
        <v>487</v>
      </c>
      <c r="D136" s="253"/>
      <c r="E136" s="253"/>
    </row>
    <row r="137" spans="1:5" ht="27.75" customHeight="1" x14ac:dyDescent="0.35">
      <c r="A137" s="74" t="s">
        <v>488</v>
      </c>
      <c r="B137" s="165"/>
      <c r="C137" s="253" t="s">
        <v>489</v>
      </c>
      <c r="D137" s="253"/>
      <c r="E137" s="253"/>
    </row>
    <row r="139" spans="1:5" ht="25.5" customHeight="1" x14ac:dyDescent="0.35">
      <c r="A139" s="278" t="s">
        <v>490</v>
      </c>
      <c r="B139" s="278"/>
      <c r="C139" s="278"/>
      <c r="D139" s="278"/>
      <c r="E139" s="278"/>
    </row>
    <row r="140" spans="1:5" ht="27.75" customHeight="1" x14ac:dyDescent="0.35">
      <c r="A140" s="166" t="s">
        <v>491</v>
      </c>
      <c r="B140" s="164"/>
      <c r="C140" s="253" t="s">
        <v>492</v>
      </c>
      <c r="D140" s="253"/>
      <c r="E140" s="253"/>
    </row>
    <row r="141" spans="1:5" ht="27.75" customHeight="1" x14ac:dyDescent="0.35">
      <c r="A141" s="166" t="s">
        <v>493</v>
      </c>
      <c r="B141" s="164"/>
      <c r="C141" s="253" t="s">
        <v>494</v>
      </c>
      <c r="D141" s="253"/>
      <c r="E141" s="253"/>
    </row>
    <row r="142" spans="1:5" ht="27.75" customHeight="1" x14ac:dyDescent="0.35">
      <c r="A142" s="166" t="s">
        <v>495</v>
      </c>
      <c r="B142" s="164"/>
      <c r="C142" s="253" t="s">
        <v>496</v>
      </c>
      <c r="D142" s="253"/>
      <c r="E142" s="253"/>
    </row>
    <row r="143" spans="1:5" ht="27.75" customHeight="1" x14ac:dyDescent="0.35">
      <c r="A143" s="166" t="s">
        <v>497</v>
      </c>
      <c r="B143" s="165"/>
      <c r="C143" s="253" t="s">
        <v>498</v>
      </c>
      <c r="D143" s="253"/>
      <c r="E143" s="253"/>
    </row>
    <row r="144" spans="1:5" ht="27.75" customHeight="1" x14ac:dyDescent="0.35">
      <c r="A144" s="166" t="s">
        <v>499</v>
      </c>
      <c r="B144" s="164"/>
      <c r="C144" s="253" t="s">
        <v>500</v>
      </c>
      <c r="D144" s="253"/>
      <c r="E144" s="253"/>
    </row>
    <row r="145" spans="1:5" ht="27.75" customHeight="1" x14ac:dyDescent="0.35">
      <c r="A145" s="166" t="s">
        <v>501</v>
      </c>
      <c r="B145" s="164"/>
      <c r="C145" s="253" t="s">
        <v>502</v>
      </c>
      <c r="D145" s="253"/>
      <c r="E145" s="253"/>
    </row>
    <row r="146" spans="1:5" ht="27.75" customHeight="1" x14ac:dyDescent="0.35">
      <c r="A146" s="166" t="s">
        <v>503</v>
      </c>
      <c r="B146" s="165"/>
      <c r="C146" s="253" t="s">
        <v>504</v>
      </c>
      <c r="D146" s="253"/>
      <c r="E146" s="253"/>
    </row>
    <row r="148" spans="1:5" ht="25.5" customHeight="1" x14ac:dyDescent="0.35">
      <c r="A148" s="279" t="s">
        <v>505</v>
      </c>
      <c r="B148" s="279"/>
      <c r="C148" s="279"/>
      <c r="D148" s="279"/>
      <c r="E148" s="279"/>
    </row>
    <row r="149" spans="1:5" ht="21.75" customHeight="1" x14ac:dyDescent="0.35">
      <c r="A149" s="280" t="s">
        <v>506</v>
      </c>
      <c r="B149" s="280"/>
      <c r="C149" s="280"/>
      <c r="D149" s="280"/>
      <c r="E149" s="280"/>
    </row>
    <row r="150" spans="1:5" ht="25.5" customHeight="1" x14ac:dyDescent="0.35">
      <c r="A150" s="167" t="s">
        <v>507</v>
      </c>
      <c r="B150" s="281" t="s">
        <v>508</v>
      </c>
      <c r="C150" s="281"/>
      <c r="D150" s="281"/>
      <c r="E150" s="281"/>
    </row>
    <row r="151" spans="1:5" ht="43.5" customHeight="1" x14ac:dyDescent="0.35">
      <c r="A151" s="282"/>
      <c r="B151" s="282"/>
      <c r="C151" s="282"/>
      <c r="D151" s="282"/>
      <c r="E151" s="282"/>
    </row>
    <row r="152" spans="1:5" ht="25.5" customHeight="1" x14ac:dyDescent="0.35">
      <c r="A152" s="167" t="s">
        <v>509</v>
      </c>
      <c r="B152" s="281" t="s">
        <v>510</v>
      </c>
      <c r="C152" s="281"/>
      <c r="D152" s="281"/>
      <c r="E152" s="281"/>
    </row>
    <row r="153" spans="1:5" ht="43.5" customHeight="1" x14ac:dyDescent="0.35">
      <c r="A153" s="282"/>
      <c r="B153" s="282"/>
      <c r="C153" s="282"/>
      <c r="D153" s="282"/>
      <c r="E153" s="282"/>
    </row>
    <row r="154" spans="1:5" ht="25.5" customHeight="1" x14ac:dyDescent="0.35">
      <c r="A154" s="167" t="s">
        <v>511</v>
      </c>
      <c r="B154" s="281" t="s">
        <v>512</v>
      </c>
      <c r="C154" s="281"/>
      <c r="D154" s="281"/>
      <c r="E154" s="281"/>
    </row>
    <row r="155" spans="1:5" ht="43.5" customHeight="1" x14ac:dyDescent="0.35">
      <c r="A155" s="282"/>
      <c r="B155" s="282"/>
      <c r="C155" s="282"/>
      <c r="D155" s="282"/>
      <c r="E155" s="282"/>
    </row>
    <row r="156" spans="1:5" ht="25.5" customHeight="1" x14ac:dyDescent="0.35">
      <c r="A156" s="167" t="s">
        <v>513</v>
      </c>
      <c r="B156" s="281" t="s">
        <v>514</v>
      </c>
      <c r="C156" s="281"/>
      <c r="D156" s="281"/>
      <c r="E156" s="281"/>
    </row>
    <row r="157" spans="1:5" ht="43.5" customHeight="1" x14ac:dyDescent="0.35">
      <c r="A157" s="282"/>
      <c r="B157" s="282"/>
      <c r="C157" s="282"/>
      <c r="D157" s="282"/>
      <c r="E157" s="282"/>
    </row>
    <row r="158" spans="1:5" ht="25.5" customHeight="1" x14ac:dyDescent="0.35">
      <c r="A158" s="167" t="s">
        <v>515</v>
      </c>
      <c r="B158" s="281" t="s">
        <v>516</v>
      </c>
      <c r="C158" s="281"/>
      <c r="D158" s="281"/>
      <c r="E158" s="281"/>
    </row>
    <row r="159" spans="1:5" ht="43.5" customHeight="1" x14ac:dyDescent="0.35">
      <c r="A159" s="282"/>
      <c r="B159" s="282"/>
      <c r="C159" s="282"/>
      <c r="D159" s="282"/>
      <c r="E159" s="282"/>
    </row>
    <row r="160" spans="1:5" ht="25.5" customHeight="1" x14ac:dyDescent="0.35">
      <c r="A160" s="167" t="s">
        <v>517</v>
      </c>
      <c r="B160" s="281" t="s">
        <v>518</v>
      </c>
      <c r="C160" s="281"/>
      <c r="D160" s="281"/>
      <c r="E160" s="281"/>
    </row>
    <row r="161" spans="1:5" ht="43.5" customHeight="1" x14ac:dyDescent="0.35">
      <c r="A161" s="282"/>
      <c r="B161" s="282"/>
      <c r="C161" s="282"/>
      <c r="D161" s="282"/>
      <c r="E161" s="282"/>
    </row>
    <row r="164" spans="1:5" ht="33.75" customHeight="1" x14ac:dyDescent="0.35">
      <c r="A164" s="283" t="s">
        <v>597</v>
      </c>
      <c r="B164" s="283"/>
      <c r="C164" s="283"/>
      <c r="D164" s="283"/>
      <c r="E164" s="283"/>
    </row>
    <row r="165" spans="1:5" ht="24" customHeight="1" x14ac:dyDescent="0.35">
      <c r="A165" s="284" t="s">
        <v>520</v>
      </c>
      <c r="B165" s="284"/>
      <c r="C165" s="284"/>
      <c r="D165" s="284"/>
      <c r="E165" s="284"/>
    </row>
    <row r="166" spans="1:5" ht="25.5" customHeight="1" x14ac:dyDescent="0.35">
      <c r="A166" s="279" t="s">
        <v>521</v>
      </c>
      <c r="B166" s="279"/>
      <c r="C166" s="279"/>
      <c r="D166" s="279"/>
      <c r="E166" s="279"/>
    </row>
    <row r="167" spans="1:5" ht="21.75" customHeight="1" x14ac:dyDescent="0.35">
      <c r="A167" s="168" t="s">
        <v>522</v>
      </c>
      <c r="B167" s="285" t="s">
        <v>523</v>
      </c>
      <c r="C167" s="285"/>
      <c r="D167" s="285"/>
      <c r="E167" s="285"/>
    </row>
    <row r="168" spans="1:5" ht="27.75" customHeight="1" x14ac:dyDescent="0.35">
      <c r="A168" s="169" t="s">
        <v>524</v>
      </c>
      <c r="B168" s="286" t="s">
        <v>525</v>
      </c>
      <c r="C168" s="286"/>
      <c r="D168" s="286"/>
      <c r="E168" s="286"/>
    </row>
    <row r="169" spans="1:5" ht="27.75" customHeight="1" x14ac:dyDescent="0.35">
      <c r="A169" s="170" t="s">
        <v>526</v>
      </c>
      <c r="B169" s="287" t="s">
        <v>527</v>
      </c>
      <c r="C169" s="287"/>
      <c r="D169" s="287"/>
      <c r="E169" s="287"/>
    </row>
    <row r="170" spans="1:5" ht="27.75" customHeight="1" x14ac:dyDescent="0.35">
      <c r="A170" s="171" t="s">
        <v>528</v>
      </c>
      <c r="B170" s="288" t="s">
        <v>529</v>
      </c>
      <c r="C170" s="288"/>
      <c r="D170" s="288"/>
      <c r="E170" s="288"/>
    </row>
    <row r="171" spans="1:5" ht="27.75" customHeight="1" x14ac:dyDescent="0.35">
      <c r="A171" s="172" t="s">
        <v>530</v>
      </c>
      <c r="B171" s="289" t="s">
        <v>531</v>
      </c>
      <c r="C171" s="289"/>
      <c r="D171" s="289"/>
      <c r="E171" s="289"/>
    </row>
    <row r="172" spans="1:5" ht="27.75" customHeight="1" x14ac:dyDescent="0.35">
      <c r="A172" s="173" t="s">
        <v>532</v>
      </c>
      <c r="B172" s="290" t="s">
        <v>533</v>
      </c>
      <c r="C172" s="290"/>
      <c r="D172" s="290"/>
      <c r="E172" s="290"/>
    </row>
    <row r="174" spans="1:5" ht="30" customHeight="1" x14ac:dyDescent="0.35">
      <c r="A174" s="61" t="s">
        <v>534</v>
      </c>
      <c r="B174" s="164"/>
      <c r="C174" s="253" t="s">
        <v>535</v>
      </c>
      <c r="D174" s="253"/>
      <c r="E174" s="253"/>
    </row>
    <row r="175" spans="1:5" ht="30" customHeight="1" x14ac:dyDescent="0.35">
      <c r="A175" s="61" t="s">
        <v>536</v>
      </c>
      <c r="B175" s="164"/>
      <c r="C175" s="253" t="s">
        <v>537</v>
      </c>
      <c r="D175" s="253"/>
      <c r="E175" s="253"/>
    </row>
    <row r="176" spans="1:5" ht="30" customHeight="1" x14ac:dyDescent="0.35">
      <c r="A176" s="61" t="s">
        <v>538</v>
      </c>
      <c r="B176" s="164"/>
      <c r="C176" s="253" t="s">
        <v>539</v>
      </c>
      <c r="D176" s="253"/>
      <c r="E176" s="253"/>
    </row>
    <row r="177" spans="1:5" ht="30" customHeight="1" x14ac:dyDescent="0.35">
      <c r="A177" s="61" t="s">
        <v>540</v>
      </c>
      <c r="B177" s="164"/>
      <c r="C177" s="253" t="s">
        <v>541</v>
      </c>
      <c r="D177" s="253"/>
      <c r="E177" s="253"/>
    </row>
    <row r="179" spans="1:5" ht="25.5" customHeight="1" x14ac:dyDescent="0.35">
      <c r="A179" s="291" t="s">
        <v>542</v>
      </c>
      <c r="B179" s="291"/>
      <c r="C179" s="291"/>
      <c r="D179" s="291"/>
      <c r="E179" s="291"/>
    </row>
    <row r="180" spans="1:5" ht="19.5" customHeight="1" x14ac:dyDescent="0.35">
      <c r="A180" s="292" t="s">
        <v>543</v>
      </c>
      <c r="B180" s="292"/>
      <c r="C180" s="292"/>
      <c r="D180" s="292"/>
      <c r="E180" s="292"/>
    </row>
    <row r="181" spans="1:5" ht="30" customHeight="1" x14ac:dyDescent="0.35">
      <c r="A181" s="74" t="s">
        <v>544</v>
      </c>
      <c r="B181" s="174"/>
      <c r="C181" s="253" t="s">
        <v>545</v>
      </c>
      <c r="D181" s="253"/>
      <c r="E181" s="253"/>
    </row>
    <row r="182" spans="1:5" ht="30" customHeight="1" x14ac:dyDescent="0.35">
      <c r="A182" s="74" t="s">
        <v>546</v>
      </c>
      <c r="B182" s="174"/>
      <c r="C182" s="253" t="s">
        <v>547</v>
      </c>
      <c r="D182" s="253"/>
      <c r="E182" s="253"/>
    </row>
    <row r="183" spans="1:5" ht="30" customHeight="1" x14ac:dyDescent="0.35">
      <c r="A183" s="74" t="s">
        <v>548</v>
      </c>
      <c r="B183" s="174"/>
      <c r="C183" s="253" t="s">
        <v>549</v>
      </c>
      <c r="D183" s="253"/>
      <c r="E183" s="253"/>
    </row>
    <row r="184" spans="1:5" ht="30" customHeight="1" x14ac:dyDescent="0.35">
      <c r="A184" s="74" t="s">
        <v>550</v>
      </c>
      <c r="B184" s="174"/>
      <c r="C184" s="253" t="s">
        <v>551</v>
      </c>
      <c r="D184" s="253"/>
      <c r="E184" s="253"/>
    </row>
    <row r="185" spans="1:5" ht="30" customHeight="1" x14ac:dyDescent="0.35">
      <c r="A185" s="74" t="s">
        <v>552</v>
      </c>
      <c r="B185" s="174"/>
      <c r="C185" s="253" t="s">
        <v>553</v>
      </c>
      <c r="D185" s="253"/>
      <c r="E185" s="253"/>
    </row>
    <row r="186" spans="1:5" ht="30" customHeight="1" x14ac:dyDescent="0.35">
      <c r="A186" s="74" t="s">
        <v>554</v>
      </c>
      <c r="B186" s="174"/>
      <c r="C186" s="253" t="s">
        <v>555</v>
      </c>
      <c r="D186" s="253"/>
      <c r="E186" s="253"/>
    </row>
    <row r="187" spans="1:5" ht="30" customHeight="1" x14ac:dyDescent="0.35">
      <c r="A187" s="74" t="s">
        <v>556</v>
      </c>
      <c r="B187" s="174"/>
      <c r="C187" s="253" t="s">
        <v>557</v>
      </c>
      <c r="D187" s="253"/>
      <c r="E187" s="253"/>
    </row>
    <row r="188" spans="1:5" ht="30" customHeight="1" x14ac:dyDescent="0.35">
      <c r="A188" s="74" t="s">
        <v>558</v>
      </c>
      <c r="B188" s="174"/>
      <c r="C188" s="253" t="s">
        <v>559</v>
      </c>
      <c r="D188" s="253"/>
      <c r="E188" s="253"/>
    </row>
    <row r="189" spans="1:5" ht="30" customHeight="1" x14ac:dyDescent="0.35">
      <c r="A189" s="74" t="s">
        <v>560</v>
      </c>
      <c r="B189" s="174"/>
      <c r="C189" s="253" t="s">
        <v>561</v>
      </c>
      <c r="D189" s="253"/>
      <c r="E189" s="253"/>
    </row>
    <row r="190" spans="1:5" ht="30" customHeight="1" x14ac:dyDescent="0.35">
      <c r="A190" s="74" t="s">
        <v>562</v>
      </c>
      <c r="B190" s="174"/>
      <c r="C190" s="253" t="s">
        <v>563</v>
      </c>
      <c r="D190" s="253"/>
      <c r="E190" s="253"/>
    </row>
    <row r="191" spans="1:5" ht="30" customHeight="1" x14ac:dyDescent="0.35">
      <c r="A191" s="74" t="s">
        <v>564</v>
      </c>
      <c r="B191" s="174"/>
      <c r="C191" s="253" t="s">
        <v>565</v>
      </c>
      <c r="D191" s="253"/>
      <c r="E191" s="253"/>
    </row>
    <row r="192" spans="1:5" ht="30" customHeight="1" x14ac:dyDescent="0.35">
      <c r="A192" s="74" t="s">
        <v>566</v>
      </c>
      <c r="B192" s="174"/>
      <c r="C192" s="253" t="s">
        <v>567</v>
      </c>
      <c r="D192" s="253"/>
      <c r="E192" s="253"/>
    </row>
    <row r="194" spans="1:5" ht="25.5" customHeight="1" x14ac:dyDescent="0.35">
      <c r="A194" s="293" t="s">
        <v>568</v>
      </c>
      <c r="B194" s="293"/>
      <c r="C194" s="293"/>
      <c r="D194" s="293"/>
      <c r="E194" s="293"/>
    </row>
    <row r="195" spans="1:5" ht="27.75" customHeight="1" x14ac:dyDescent="0.35">
      <c r="A195" s="61" t="s">
        <v>569</v>
      </c>
      <c r="B195" s="165"/>
      <c r="C195" s="253" t="s">
        <v>570</v>
      </c>
      <c r="D195" s="253"/>
      <c r="E195" s="253"/>
    </row>
    <row r="196" spans="1:5" ht="27.75" customHeight="1" x14ac:dyDescent="0.35">
      <c r="A196" s="61" t="s">
        <v>571</v>
      </c>
      <c r="B196" s="165"/>
      <c r="C196" s="253" t="s">
        <v>572</v>
      </c>
      <c r="D196" s="253"/>
      <c r="E196" s="253"/>
    </row>
    <row r="197" spans="1:5" ht="27.75" customHeight="1" x14ac:dyDescent="0.35">
      <c r="A197" s="61" t="s">
        <v>573</v>
      </c>
      <c r="B197" s="165"/>
      <c r="C197" s="253" t="s">
        <v>574</v>
      </c>
      <c r="D197" s="253"/>
      <c r="E197" s="253"/>
    </row>
    <row r="198" spans="1:5" ht="27.75" customHeight="1" x14ac:dyDescent="0.35">
      <c r="A198" s="61" t="s">
        <v>575</v>
      </c>
      <c r="B198" s="165"/>
      <c r="C198" s="253" t="s">
        <v>576</v>
      </c>
      <c r="D198" s="253"/>
      <c r="E198" s="253"/>
    </row>
    <row r="199" spans="1:5" ht="27.75" customHeight="1" x14ac:dyDescent="0.35">
      <c r="A199" s="61" t="s">
        <v>577</v>
      </c>
      <c r="B199" s="165"/>
      <c r="C199" s="253" t="s">
        <v>578</v>
      </c>
      <c r="D199" s="253"/>
      <c r="E199" s="253"/>
    </row>
    <row r="200" spans="1:5" ht="27.75" customHeight="1" x14ac:dyDescent="0.35">
      <c r="A200" s="61" t="s">
        <v>579</v>
      </c>
      <c r="B200" s="165"/>
      <c r="C200" s="253" t="s">
        <v>580</v>
      </c>
      <c r="D200" s="253"/>
      <c r="E200" s="253"/>
    </row>
    <row r="201" spans="1:5" ht="27.75" customHeight="1" x14ac:dyDescent="0.35">
      <c r="A201" s="61" t="s">
        <v>581</v>
      </c>
      <c r="B201" s="165"/>
      <c r="C201" s="253" t="s">
        <v>582</v>
      </c>
      <c r="D201" s="253"/>
      <c r="E201" s="253"/>
    </row>
    <row r="203" spans="1:5" ht="25.5" customHeight="1" x14ac:dyDescent="0.35">
      <c r="A203" s="272" t="s">
        <v>583</v>
      </c>
      <c r="B203" s="272"/>
      <c r="C203" s="272"/>
      <c r="D203" s="272"/>
      <c r="E203" s="272"/>
    </row>
    <row r="204" spans="1:5" ht="25.5" customHeight="1" x14ac:dyDescent="0.35">
      <c r="A204" s="96" t="s">
        <v>584</v>
      </c>
      <c r="B204" s="294" t="s">
        <v>585</v>
      </c>
      <c r="C204" s="294"/>
      <c r="D204" s="294"/>
      <c r="E204" s="294"/>
    </row>
    <row r="205" spans="1:5" ht="43.5" customHeight="1" x14ac:dyDescent="0.35">
      <c r="A205" s="202"/>
      <c r="B205" s="202"/>
      <c r="C205" s="202"/>
      <c r="D205" s="202"/>
      <c r="E205" s="202"/>
    </row>
    <row r="206" spans="1:5" ht="25.5" customHeight="1" x14ac:dyDescent="0.35">
      <c r="A206" s="96" t="s">
        <v>586</v>
      </c>
      <c r="B206" s="294" t="s">
        <v>587</v>
      </c>
      <c r="C206" s="294"/>
      <c r="D206" s="294"/>
      <c r="E206" s="294"/>
    </row>
    <row r="207" spans="1:5" ht="43.5" customHeight="1" x14ac:dyDescent="0.35">
      <c r="A207" s="202"/>
      <c r="B207" s="202"/>
      <c r="C207" s="202"/>
      <c r="D207" s="202"/>
      <c r="E207" s="202"/>
    </row>
    <row r="208" spans="1:5" ht="25.5" customHeight="1" x14ac:dyDescent="0.35">
      <c r="A208" s="96" t="s">
        <v>588</v>
      </c>
      <c r="B208" s="294" t="s">
        <v>589</v>
      </c>
      <c r="C208" s="294"/>
      <c r="D208" s="294"/>
      <c r="E208" s="294"/>
    </row>
    <row r="209" spans="1:5" ht="43.5" customHeight="1" x14ac:dyDescent="0.35">
      <c r="A209" s="202"/>
      <c r="B209" s="202"/>
      <c r="C209" s="202"/>
      <c r="D209" s="202"/>
      <c r="E209" s="202"/>
    </row>
    <row r="210" spans="1:5" ht="25.5" customHeight="1" x14ac:dyDescent="0.35">
      <c r="A210" s="96" t="s">
        <v>590</v>
      </c>
      <c r="B210" s="294" t="s">
        <v>591</v>
      </c>
      <c r="C210" s="294"/>
      <c r="D210" s="294"/>
      <c r="E210" s="294"/>
    </row>
    <row r="211" spans="1:5" ht="43.5" customHeight="1" x14ac:dyDescent="0.35">
      <c r="A211" s="202"/>
      <c r="B211" s="202"/>
      <c r="C211" s="202"/>
      <c r="D211" s="202"/>
      <c r="E211" s="202"/>
    </row>
  </sheetData>
  <mergeCells count="160">
    <mergeCell ref="A205:E205"/>
    <mergeCell ref="B206:E206"/>
    <mergeCell ref="A207:E207"/>
    <mergeCell ref="B208:E208"/>
    <mergeCell ref="A209:E209"/>
    <mergeCell ref="B210:E210"/>
    <mergeCell ref="A211:E211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A1:D1"/>
    <mergeCell ref="A2:D2"/>
    <mergeCell ref="A3:D3"/>
    <mergeCell ref="A5:D5"/>
    <mergeCell ref="C6:D6"/>
    <mergeCell ref="C7:D7"/>
    <mergeCell ref="C8:D8"/>
    <mergeCell ref="C9:D9"/>
    <mergeCell ref="C10:D10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Listas!$U$2:$U$8</xm:f>
          </x14:formula1>
          <x14:formula2>
            <xm:f>0</xm:f>
          </x14:formula2>
          <xm:sqref>B68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11"/>
  <sheetViews>
    <sheetView view="pageBreakPreview"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249" t="s">
        <v>598</v>
      </c>
      <c r="B1" s="249"/>
      <c r="C1" s="249"/>
      <c r="D1" s="249"/>
    </row>
    <row r="2" spans="1:4" ht="18" customHeight="1" x14ac:dyDescent="0.35">
      <c r="A2" s="250" t="s">
        <v>302</v>
      </c>
      <c r="B2" s="250"/>
      <c r="C2" s="250"/>
      <c r="D2" s="250"/>
    </row>
    <row r="3" spans="1:4" ht="19.5" customHeight="1" x14ac:dyDescent="0.35">
      <c r="A3" s="251" t="s">
        <v>303</v>
      </c>
      <c r="B3" s="251"/>
      <c r="C3" s="251"/>
      <c r="D3" s="251"/>
    </row>
    <row r="5" spans="1:4" ht="21.75" customHeight="1" x14ac:dyDescent="0.35">
      <c r="A5" s="252" t="s">
        <v>304</v>
      </c>
      <c r="B5" s="252"/>
      <c r="C5" s="252"/>
      <c r="D5" s="252"/>
    </row>
    <row r="6" spans="1:4" ht="24" customHeight="1" x14ac:dyDescent="0.35">
      <c r="A6" s="61" t="s">
        <v>305</v>
      </c>
      <c r="B6" s="140"/>
      <c r="C6" s="253" t="s">
        <v>306</v>
      </c>
      <c r="D6" s="253"/>
    </row>
    <row r="7" spans="1:4" ht="24" customHeight="1" x14ac:dyDescent="0.35">
      <c r="A7" s="61" t="s">
        <v>307</v>
      </c>
      <c r="B7" s="140"/>
      <c r="C7" s="253" t="s">
        <v>308</v>
      </c>
      <c r="D7" s="253"/>
    </row>
    <row r="8" spans="1:4" ht="24" customHeight="1" x14ac:dyDescent="0.35">
      <c r="A8" s="61" t="s">
        <v>309</v>
      </c>
      <c r="B8" s="140"/>
      <c r="C8" s="253" t="s">
        <v>310</v>
      </c>
      <c r="D8" s="253"/>
    </row>
    <row r="9" spans="1:4" ht="24" customHeight="1" x14ac:dyDescent="0.35">
      <c r="A9" s="61" t="s">
        <v>311</v>
      </c>
      <c r="B9" s="140"/>
      <c r="C9" s="253" t="s">
        <v>312</v>
      </c>
      <c r="D9" s="253"/>
    </row>
    <row r="10" spans="1:4" ht="24" customHeight="1" x14ac:dyDescent="0.35">
      <c r="A10" s="61" t="s">
        <v>313</v>
      </c>
      <c r="B10" s="140"/>
      <c r="C10" s="253" t="s">
        <v>314</v>
      </c>
      <c r="D10" s="253"/>
    </row>
    <row r="11" spans="1:4" ht="24" customHeight="1" x14ac:dyDescent="0.35">
      <c r="A11" s="61" t="s">
        <v>315</v>
      </c>
      <c r="B11" s="140"/>
      <c r="C11" s="253" t="s">
        <v>316</v>
      </c>
      <c r="D11" s="253"/>
    </row>
    <row r="13" spans="1:4" ht="21.75" customHeight="1" x14ac:dyDescent="0.35">
      <c r="A13" s="252" t="s">
        <v>317</v>
      </c>
      <c r="B13" s="252"/>
      <c r="C13" s="252"/>
      <c r="D13" s="252"/>
    </row>
    <row r="14" spans="1:4" ht="19.5" customHeight="1" x14ac:dyDescent="0.35">
      <c r="A14" s="138" t="s">
        <v>6</v>
      </c>
      <c r="B14" s="254" t="s">
        <v>318</v>
      </c>
      <c r="C14" s="254"/>
      <c r="D14" s="254"/>
    </row>
    <row r="15" spans="1:4" ht="21.75" customHeight="1" x14ac:dyDescent="0.35">
      <c r="A15" s="142" t="s">
        <v>9</v>
      </c>
      <c r="B15" s="255" t="s">
        <v>319</v>
      </c>
      <c r="C15" s="255"/>
      <c r="D15" s="255"/>
    </row>
    <row r="16" spans="1:4" ht="21.75" customHeight="1" x14ac:dyDescent="0.35">
      <c r="A16" s="143" t="s">
        <v>12</v>
      </c>
      <c r="B16" s="256" t="s">
        <v>320</v>
      </c>
      <c r="C16" s="256"/>
      <c r="D16" s="256"/>
    </row>
    <row r="17" spans="1:5" ht="21.75" customHeight="1" x14ac:dyDescent="0.35">
      <c r="A17" s="144" t="s">
        <v>15</v>
      </c>
      <c r="B17" s="257" t="s">
        <v>321</v>
      </c>
      <c r="C17" s="257"/>
      <c r="D17" s="257"/>
    </row>
    <row r="18" spans="1:5" ht="21.75" customHeight="1" x14ac:dyDescent="0.35">
      <c r="A18" s="145" t="s">
        <v>322</v>
      </c>
      <c r="B18" s="258" t="s">
        <v>323</v>
      </c>
      <c r="C18" s="258"/>
      <c r="D18" s="258"/>
    </row>
    <row r="19" spans="1:5" ht="21.75" customHeight="1" x14ac:dyDescent="0.35">
      <c r="A19" s="146" t="s">
        <v>21</v>
      </c>
      <c r="B19" s="259" t="s">
        <v>324</v>
      </c>
      <c r="C19" s="259"/>
      <c r="D19" s="259"/>
    </row>
    <row r="20" spans="1:5" ht="21.75" customHeight="1" x14ac:dyDescent="0.35">
      <c r="A20" s="147" t="s">
        <v>24</v>
      </c>
      <c r="B20" s="260" t="s">
        <v>325</v>
      </c>
      <c r="C20" s="260"/>
      <c r="D20" s="260"/>
    </row>
    <row r="22" spans="1:5" ht="30" customHeight="1" x14ac:dyDescent="0.35">
      <c r="A22" s="61" t="s">
        <v>326</v>
      </c>
      <c r="B22" s="148"/>
      <c r="C22" s="261" t="s">
        <v>327</v>
      </c>
      <c r="D22" s="261"/>
    </row>
    <row r="23" spans="1:5" ht="30" customHeight="1" x14ac:dyDescent="0.35">
      <c r="A23" s="149" t="s">
        <v>328</v>
      </c>
      <c r="B23" s="150" t="s">
        <v>322</v>
      </c>
      <c r="C23" s="262" t="s">
        <v>329</v>
      </c>
      <c r="D23" s="262"/>
    </row>
    <row r="24" spans="1:5" ht="39.75" customHeight="1" x14ac:dyDescent="0.35">
      <c r="A24" s="61" t="s">
        <v>330</v>
      </c>
      <c r="B24" s="263"/>
      <c r="C24" s="263"/>
      <c r="D24" s="263"/>
    </row>
    <row r="26" spans="1:5" ht="21.75" customHeight="1" x14ac:dyDescent="0.35">
      <c r="A26" s="252" t="s">
        <v>331</v>
      </c>
      <c r="B26" s="252"/>
      <c r="C26" s="252"/>
      <c r="D26" s="252"/>
    </row>
    <row r="27" spans="1:5" ht="21.75" customHeight="1" x14ac:dyDescent="0.35">
      <c r="A27" s="152" t="s">
        <v>332</v>
      </c>
      <c r="B27" s="152" t="s">
        <v>333</v>
      </c>
      <c r="C27" s="152" t="s">
        <v>334</v>
      </c>
      <c r="D27" s="152" t="s">
        <v>335</v>
      </c>
      <c r="E27" s="15" t="s">
        <v>336</v>
      </c>
    </row>
    <row r="28" spans="1:5" ht="18" customHeight="1" x14ac:dyDescent="0.35">
      <c r="A28" s="229" t="s">
        <v>230</v>
      </c>
      <c r="B28" s="229"/>
      <c r="C28" s="229"/>
      <c r="D28" s="229"/>
      <c r="E28" s="113"/>
    </row>
    <row r="29" spans="1:5" ht="30" customHeight="1" x14ac:dyDescent="0.35">
      <c r="A29" s="153" t="s">
        <v>337</v>
      </c>
      <c r="B29" s="154"/>
      <c r="C29" s="23" t="s">
        <v>15</v>
      </c>
      <c r="D29" s="155" t="s">
        <v>338</v>
      </c>
      <c r="E29" s="156"/>
    </row>
    <row r="30" spans="1:5" ht="30" customHeight="1" x14ac:dyDescent="0.35">
      <c r="A30" s="153" t="s">
        <v>339</v>
      </c>
      <c r="B30" s="154"/>
      <c r="C30" s="26" t="s">
        <v>322</v>
      </c>
      <c r="D30" s="155" t="s">
        <v>340</v>
      </c>
      <c r="E30" s="156"/>
    </row>
    <row r="31" spans="1:5" ht="18" customHeight="1" x14ac:dyDescent="0.35">
      <c r="A31" s="229" t="s">
        <v>233</v>
      </c>
      <c r="B31" s="229"/>
      <c r="C31" s="229"/>
      <c r="D31" s="229"/>
      <c r="E31" s="113"/>
    </row>
    <row r="32" spans="1:5" ht="30" customHeight="1" x14ac:dyDescent="0.35">
      <c r="A32" s="153" t="s">
        <v>341</v>
      </c>
      <c r="B32" s="154"/>
      <c r="C32" s="23" t="s">
        <v>15</v>
      </c>
      <c r="D32" s="155" t="s">
        <v>342</v>
      </c>
      <c r="E32" s="156"/>
    </row>
    <row r="33" spans="1:5" ht="30" customHeight="1" x14ac:dyDescent="0.35">
      <c r="A33" s="153" t="s">
        <v>343</v>
      </c>
      <c r="B33" s="154"/>
      <c r="C33" s="26" t="s">
        <v>322</v>
      </c>
      <c r="D33" s="155" t="s">
        <v>344</v>
      </c>
      <c r="E33" s="156"/>
    </row>
    <row r="34" spans="1:5" ht="30" customHeight="1" x14ac:dyDescent="0.35">
      <c r="A34" s="153" t="s">
        <v>345</v>
      </c>
      <c r="B34" s="154"/>
      <c r="C34" s="23" t="s">
        <v>15</v>
      </c>
      <c r="D34" s="155" t="s">
        <v>346</v>
      </c>
      <c r="E34" s="156"/>
    </row>
    <row r="35" spans="1:5" ht="30" customHeight="1" x14ac:dyDescent="0.35">
      <c r="A35" s="153" t="s">
        <v>347</v>
      </c>
      <c r="B35" s="154"/>
      <c r="C35" s="26" t="s">
        <v>322</v>
      </c>
      <c r="D35" s="155" t="s">
        <v>348</v>
      </c>
      <c r="E35" s="156"/>
    </row>
    <row r="36" spans="1:5" ht="18" customHeight="1" x14ac:dyDescent="0.35">
      <c r="A36" s="229" t="s">
        <v>238</v>
      </c>
      <c r="B36" s="229"/>
      <c r="C36" s="229"/>
      <c r="D36" s="229"/>
      <c r="E36" s="113"/>
    </row>
    <row r="37" spans="1:5" ht="30" customHeight="1" x14ac:dyDescent="0.35">
      <c r="A37" s="153" t="s">
        <v>349</v>
      </c>
      <c r="B37" s="154"/>
      <c r="C37" s="23" t="s">
        <v>15</v>
      </c>
      <c r="D37" s="155" t="s">
        <v>350</v>
      </c>
      <c r="E37" s="156"/>
    </row>
    <row r="38" spans="1:5" ht="30" customHeight="1" x14ac:dyDescent="0.35">
      <c r="A38" s="153" t="s">
        <v>351</v>
      </c>
      <c r="B38" s="154"/>
      <c r="C38" s="26" t="s">
        <v>322</v>
      </c>
      <c r="D38" s="155" t="s">
        <v>352</v>
      </c>
      <c r="E38" s="156"/>
    </row>
    <row r="39" spans="1:5" ht="30" customHeight="1" x14ac:dyDescent="0.35">
      <c r="A39" s="153" t="s">
        <v>353</v>
      </c>
      <c r="B39" s="154"/>
      <c r="C39" s="26" t="s">
        <v>322</v>
      </c>
      <c r="D39" s="155" t="s">
        <v>354</v>
      </c>
      <c r="E39" s="156"/>
    </row>
    <row r="40" spans="1:5" ht="30" customHeight="1" x14ac:dyDescent="0.35">
      <c r="A40" s="153" t="s">
        <v>355</v>
      </c>
      <c r="B40" s="154"/>
      <c r="C40" s="23" t="s">
        <v>15</v>
      </c>
      <c r="D40" s="155" t="s">
        <v>356</v>
      </c>
      <c r="E40" s="156"/>
    </row>
    <row r="41" spans="1:5" ht="18" customHeight="1" x14ac:dyDescent="0.35">
      <c r="A41" s="229" t="s">
        <v>243</v>
      </c>
      <c r="B41" s="229"/>
      <c r="C41" s="229"/>
      <c r="D41" s="229"/>
      <c r="E41" s="113"/>
    </row>
    <row r="42" spans="1:5" ht="30" customHeight="1" x14ac:dyDescent="0.35">
      <c r="A42" s="153" t="s">
        <v>357</v>
      </c>
      <c r="B42" s="154"/>
      <c r="C42" s="23" t="s">
        <v>15</v>
      </c>
      <c r="D42" s="155" t="s">
        <v>358</v>
      </c>
      <c r="E42" s="156"/>
    </row>
    <row r="43" spans="1:5" ht="30" customHeight="1" x14ac:dyDescent="0.35">
      <c r="A43" s="153" t="s">
        <v>359</v>
      </c>
      <c r="B43" s="154"/>
      <c r="C43" s="23" t="s">
        <v>15</v>
      </c>
      <c r="D43" s="155" t="s">
        <v>360</v>
      </c>
      <c r="E43" s="156"/>
    </row>
    <row r="44" spans="1:5" ht="30" customHeight="1" x14ac:dyDescent="0.35">
      <c r="A44" s="153" t="s">
        <v>361</v>
      </c>
      <c r="B44" s="154"/>
      <c r="C44" s="26" t="s">
        <v>322</v>
      </c>
      <c r="D44" s="155" t="s">
        <v>362</v>
      </c>
      <c r="E44" s="156"/>
    </row>
    <row r="45" spans="1:5" ht="30" customHeight="1" x14ac:dyDescent="0.35">
      <c r="A45" s="153" t="s">
        <v>363</v>
      </c>
      <c r="B45" s="154"/>
      <c r="C45" s="26" t="s">
        <v>322</v>
      </c>
      <c r="D45" s="155" t="s">
        <v>364</v>
      </c>
      <c r="E45" s="156"/>
    </row>
    <row r="46" spans="1:5" ht="30" customHeight="1" x14ac:dyDescent="0.35">
      <c r="A46" s="153" t="s">
        <v>365</v>
      </c>
      <c r="B46" s="154"/>
      <c r="C46" s="23" t="s">
        <v>15</v>
      </c>
      <c r="D46" s="155" t="s">
        <v>366</v>
      </c>
      <c r="E46" s="156"/>
    </row>
    <row r="47" spans="1:5" ht="30" customHeight="1" x14ac:dyDescent="0.35">
      <c r="A47" s="153" t="s">
        <v>367</v>
      </c>
      <c r="B47" s="154"/>
      <c r="C47" s="29" t="s">
        <v>21</v>
      </c>
      <c r="D47" s="155" t="s">
        <v>368</v>
      </c>
      <c r="E47" s="156"/>
    </row>
    <row r="48" spans="1:5" ht="30" customHeight="1" x14ac:dyDescent="0.35">
      <c r="A48" s="153" t="s">
        <v>369</v>
      </c>
      <c r="B48" s="154"/>
      <c r="C48" s="26" t="s">
        <v>322</v>
      </c>
      <c r="D48" s="155" t="s">
        <v>370</v>
      </c>
      <c r="E48" s="156"/>
    </row>
    <row r="50" spans="1:5" ht="21.75" customHeight="1" x14ac:dyDescent="0.35">
      <c r="A50" s="252" t="s">
        <v>371</v>
      </c>
      <c r="B50" s="252"/>
      <c r="C50" s="252"/>
      <c r="D50" s="252"/>
    </row>
    <row r="51" spans="1:5" ht="19.5" customHeight="1" x14ac:dyDescent="0.35">
      <c r="A51" s="226" t="s">
        <v>372</v>
      </c>
      <c r="B51" s="226"/>
      <c r="C51" s="226"/>
      <c r="D51" s="226"/>
    </row>
    <row r="52" spans="1:5" ht="21.75" customHeight="1" x14ac:dyDescent="0.35">
      <c r="A52" s="152" t="s">
        <v>373</v>
      </c>
      <c r="B52" s="152" t="s">
        <v>374</v>
      </c>
      <c r="C52" s="118" t="s">
        <v>375</v>
      </c>
      <c r="D52" s="118" t="s">
        <v>376</v>
      </c>
    </row>
    <row r="53" spans="1:5" ht="39.75" customHeight="1" x14ac:dyDescent="0.35">
      <c r="A53" s="85" t="s">
        <v>377</v>
      </c>
      <c r="B53" s="157"/>
      <c r="C53" s="158" t="s">
        <v>378</v>
      </c>
      <c r="D53" s="140"/>
    </row>
    <row r="54" spans="1:5" ht="39.75" customHeight="1" x14ac:dyDescent="0.35">
      <c r="A54" s="74" t="s">
        <v>379</v>
      </c>
      <c r="B54" s="157"/>
      <c r="C54" s="158" t="s">
        <v>380</v>
      </c>
      <c r="D54" s="140"/>
    </row>
    <row r="55" spans="1:5" ht="39.75" customHeight="1" x14ac:dyDescent="0.35">
      <c r="A55" s="85" t="s">
        <v>381</v>
      </c>
      <c r="B55" s="157"/>
      <c r="C55" s="158" t="s">
        <v>382</v>
      </c>
      <c r="D55" s="140"/>
    </row>
    <row r="56" spans="1:5" ht="39.75" customHeight="1" x14ac:dyDescent="0.35">
      <c r="A56" s="88" t="s">
        <v>383</v>
      </c>
      <c r="B56" s="157"/>
      <c r="C56" s="158" t="s">
        <v>384</v>
      </c>
      <c r="D56" s="140"/>
    </row>
    <row r="57" spans="1:5" ht="39.75" customHeight="1" x14ac:dyDescent="0.35">
      <c r="A57" s="89" t="s">
        <v>385</v>
      </c>
      <c r="B57" s="157"/>
      <c r="C57" s="158" t="s">
        <v>386</v>
      </c>
      <c r="D57" s="140"/>
    </row>
    <row r="58" spans="1:5" ht="39.75" customHeight="1" x14ac:dyDescent="0.35">
      <c r="A58" s="90" t="s">
        <v>387</v>
      </c>
      <c r="B58" s="157"/>
      <c r="C58" s="158" t="s">
        <v>388</v>
      </c>
      <c r="D58" s="140"/>
    </row>
    <row r="59" spans="1:5" ht="39.75" customHeight="1" x14ac:dyDescent="0.35">
      <c r="A59" s="91" t="s">
        <v>389</v>
      </c>
      <c r="B59" s="157"/>
      <c r="C59" s="158" t="s">
        <v>390</v>
      </c>
      <c r="D59" s="140"/>
    </row>
    <row r="60" spans="1:5" ht="36" customHeight="1" x14ac:dyDescent="0.35">
      <c r="A60" s="159" t="s">
        <v>391</v>
      </c>
      <c r="B60" s="160"/>
      <c r="C60" s="140"/>
      <c r="D60" s="140"/>
      <c r="E60" s="161"/>
    </row>
    <row r="61" spans="1:5" ht="36" customHeight="1" x14ac:dyDescent="0.35">
      <c r="A61" s="264" t="s">
        <v>392</v>
      </c>
      <c r="B61" s="264"/>
      <c r="C61" s="264"/>
      <c r="D61" s="264"/>
      <c r="E61" s="161"/>
    </row>
    <row r="62" spans="1:5" ht="36" customHeight="1" x14ac:dyDescent="0.35">
      <c r="A62" s="159" t="s">
        <v>393</v>
      </c>
      <c r="B62" s="160"/>
      <c r="C62" s="265"/>
      <c r="D62" s="265"/>
      <c r="E62" s="161"/>
    </row>
    <row r="63" spans="1:5" ht="36" customHeight="1" x14ac:dyDescent="0.35">
      <c r="A63" s="159" t="s">
        <v>394</v>
      </c>
      <c r="B63" s="160"/>
      <c r="C63" s="265"/>
      <c r="D63" s="265"/>
      <c r="E63" s="161"/>
    </row>
    <row r="64" spans="1:5" ht="36" customHeight="1" x14ac:dyDescent="0.35">
      <c r="A64" s="159" t="s">
        <v>395</v>
      </c>
      <c r="B64" s="160"/>
      <c r="C64" s="265"/>
      <c r="D64" s="265"/>
      <c r="E64" s="161"/>
    </row>
    <row r="65" spans="1:4" ht="27.75" customHeight="1" x14ac:dyDescent="0.35">
      <c r="C65" s="180"/>
      <c r="D65" s="180"/>
    </row>
    <row r="66" spans="1:4" ht="27.75" customHeight="1" x14ac:dyDescent="0.35">
      <c r="A66" s="139" t="s">
        <v>396</v>
      </c>
      <c r="C66" s="180"/>
      <c r="D66" s="180"/>
    </row>
    <row r="67" spans="1:4" ht="27.75" customHeight="1" x14ac:dyDescent="0.35">
      <c r="A67" s="61" t="s">
        <v>397</v>
      </c>
      <c r="B67" s="140"/>
      <c r="C67" s="253" t="s">
        <v>398</v>
      </c>
      <c r="D67" s="253"/>
    </row>
    <row r="68" spans="1:4" ht="27.75" customHeight="1" x14ac:dyDescent="0.35">
      <c r="A68" s="61" t="s">
        <v>399</v>
      </c>
      <c r="B68" s="140"/>
      <c r="C68" s="253" t="s">
        <v>400</v>
      </c>
      <c r="D68" s="253"/>
    </row>
    <row r="69" spans="1:4" ht="27.75" customHeight="1" x14ac:dyDescent="0.35">
      <c r="A69" s="61" t="s">
        <v>401</v>
      </c>
      <c r="B69" s="140"/>
      <c r="C69" s="253" t="s">
        <v>402</v>
      </c>
      <c r="D69" s="253"/>
    </row>
    <row r="70" spans="1:4" ht="27.75" customHeight="1" x14ac:dyDescent="0.35">
      <c r="A70" s="61" t="s">
        <v>403</v>
      </c>
      <c r="B70" s="140"/>
      <c r="C70" s="253" t="s">
        <v>404</v>
      </c>
      <c r="D70" s="253"/>
    </row>
    <row r="71" spans="1:4" ht="21.75" customHeight="1" x14ac:dyDescent="0.35">
      <c r="A71" s="61" t="s">
        <v>405</v>
      </c>
      <c r="B71" s="140"/>
      <c r="C71" s="141" t="s">
        <v>406</v>
      </c>
    </row>
    <row r="72" spans="1:4" ht="21.75" customHeight="1" x14ac:dyDescent="0.35">
      <c r="A72" s="266" t="s">
        <v>285</v>
      </c>
      <c r="B72" s="266"/>
      <c r="C72" s="266"/>
      <c r="D72" s="266"/>
    </row>
    <row r="73" spans="1:4" ht="25.5" customHeight="1" x14ac:dyDescent="0.35">
      <c r="A73" s="61" t="s">
        <v>407</v>
      </c>
      <c r="B73" s="140"/>
      <c r="C73" s="253" t="s">
        <v>408</v>
      </c>
      <c r="D73" s="253"/>
    </row>
    <row r="74" spans="1:4" ht="25.5" customHeight="1" x14ac:dyDescent="0.35">
      <c r="A74" s="61" t="s">
        <v>409</v>
      </c>
      <c r="B74" s="140"/>
      <c r="C74" s="253" t="s">
        <v>410</v>
      </c>
      <c r="D74" s="253"/>
    </row>
    <row r="75" spans="1:4" ht="25.5" customHeight="1" x14ac:dyDescent="0.35">
      <c r="A75" s="61" t="s">
        <v>411</v>
      </c>
      <c r="B75" s="140"/>
      <c r="C75" s="253" t="s">
        <v>412</v>
      </c>
      <c r="D75" s="253"/>
    </row>
    <row r="76" spans="1:4" ht="25.5" customHeight="1" x14ac:dyDescent="0.35">
      <c r="C76" s="180"/>
      <c r="D76" s="180"/>
    </row>
    <row r="77" spans="1:4" ht="25.5" customHeight="1" x14ac:dyDescent="0.35">
      <c r="A77" s="139" t="s">
        <v>413</v>
      </c>
      <c r="C77" s="180"/>
      <c r="D77" s="180"/>
    </row>
    <row r="78" spans="1:4" ht="25.5" customHeight="1" x14ac:dyDescent="0.35">
      <c r="A78" s="61" t="s">
        <v>414</v>
      </c>
      <c r="B78" s="140"/>
      <c r="C78" s="253" t="s">
        <v>415</v>
      </c>
      <c r="D78" s="253"/>
    </row>
    <row r="79" spans="1:4" ht="25.5" customHeight="1" x14ac:dyDescent="0.35">
      <c r="A79" s="61" t="s">
        <v>416</v>
      </c>
      <c r="B79" s="140"/>
      <c r="C79" s="253" t="s">
        <v>417</v>
      </c>
      <c r="D79" s="253"/>
    </row>
    <row r="80" spans="1:4" ht="25.5" customHeight="1" x14ac:dyDescent="0.35">
      <c r="A80" s="61" t="s">
        <v>418</v>
      </c>
      <c r="B80" s="140"/>
      <c r="C80" s="253" t="s">
        <v>419</v>
      </c>
      <c r="D80" s="253"/>
    </row>
    <row r="81" spans="1:4" ht="25.5" customHeight="1" x14ac:dyDescent="0.35">
      <c r="A81" s="61" t="s">
        <v>420</v>
      </c>
      <c r="B81" s="140"/>
      <c r="C81" s="253" t="s">
        <v>421</v>
      </c>
      <c r="D81" s="253"/>
    </row>
    <row r="82" spans="1:4" ht="34.5" customHeight="1" x14ac:dyDescent="0.35">
      <c r="A82" s="61" t="s">
        <v>422</v>
      </c>
      <c r="B82" s="140"/>
      <c r="C82" s="141" t="s">
        <v>423</v>
      </c>
    </row>
    <row r="83" spans="1:4" ht="24" customHeight="1" x14ac:dyDescent="0.35">
      <c r="A83" s="266" t="s">
        <v>424</v>
      </c>
      <c r="B83" s="266"/>
      <c r="C83" s="266"/>
      <c r="D83" s="266"/>
    </row>
    <row r="84" spans="1:4" ht="24" customHeight="1" x14ac:dyDescent="0.35">
      <c r="A84" s="61" t="s">
        <v>425</v>
      </c>
      <c r="B84" s="267"/>
      <c r="C84" s="267"/>
      <c r="D84" s="267"/>
    </row>
    <row r="85" spans="1:4" ht="43.5" customHeight="1" x14ac:dyDescent="0.35">
      <c r="A85" s="266" t="s">
        <v>426</v>
      </c>
      <c r="B85" s="266"/>
      <c r="C85" s="266"/>
      <c r="D85" s="266"/>
    </row>
    <row r="86" spans="1:4" ht="24" customHeight="1" x14ac:dyDescent="0.35">
      <c r="A86" s="61" t="s">
        <v>427</v>
      </c>
      <c r="B86" s="267"/>
      <c r="C86" s="267"/>
      <c r="D86" s="267"/>
    </row>
    <row r="87" spans="1:4" ht="43.5" customHeight="1" x14ac:dyDescent="0.35">
      <c r="A87" s="180"/>
      <c r="B87" s="180"/>
      <c r="C87" s="180"/>
      <c r="D87" s="180"/>
    </row>
    <row r="88" spans="1:4" ht="24" customHeight="1" x14ac:dyDescent="0.35">
      <c r="A88" s="162" t="s">
        <v>428</v>
      </c>
      <c r="B88" s="180"/>
      <c r="C88" s="180"/>
      <c r="D88" s="180"/>
    </row>
    <row r="89" spans="1:4" ht="43.5" customHeight="1" x14ac:dyDescent="0.35">
      <c r="A89" s="268" t="s">
        <v>429</v>
      </c>
      <c r="B89" s="268"/>
      <c r="C89" s="268"/>
      <c r="D89" s="268"/>
    </row>
    <row r="90" spans="1:4" ht="24" customHeight="1" x14ac:dyDescent="0.35">
      <c r="A90" s="151"/>
      <c r="B90" s="180"/>
      <c r="C90" s="180"/>
      <c r="D90" s="180"/>
    </row>
    <row r="91" spans="1:4" ht="43.5" customHeight="1" x14ac:dyDescent="0.35">
      <c r="A91" s="268" t="s">
        <v>430</v>
      </c>
      <c r="B91" s="268"/>
      <c r="C91" s="268"/>
      <c r="D91" s="268"/>
    </row>
    <row r="92" spans="1:4" ht="15" customHeight="1" x14ac:dyDescent="0.35">
      <c r="A92" s="151"/>
    </row>
    <row r="93" spans="1:4" ht="23.25" customHeight="1" x14ac:dyDescent="0.35">
      <c r="A93" s="96" t="s">
        <v>431</v>
      </c>
      <c r="B93" s="163" t="s">
        <v>432</v>
      </c>
    </row>
    <row r="94" spans="1:4" ht="15" customHeight="1" x14ac:dyDescent="0.35">
      <c r="A94" s="151"/>
    </row>
    <row r="95" spans="1:4" ht="23.25" customHeight="1" x14ac:dyDescent="0.35">
      <c r="A95" s="96" t="s">
        <v>433</v>
      </c>
      <c r="B95" s="163" t="s">
        <v>434</v>
      </c>
    </row>
    <row r="96" spans="1:4" ht="15" customHeight="1" x14ac:dyDescent="0.35">
      <c r="A96" s="151"/>
    </row>
    <row r="99" spans="1:5" ht="33.75" customHeight="1" x14ac:dyDescent="0.35">
      <c r="A99" s="269" t="s">
        <v>599</v>
      </c>
      <c r="B99" s="269"/>
      <c r="C99" s="269"/>
      <c r="D99" s="269"/>
      <c r="E99" s="269"/>
    </row>
    <row r="100" spans="1:5" ht="24" customHeight="1" x14ac:dyDescent="0.35">
      <c r="A100" s="270" t="s">
        <v>436</v>
      </c>
      <c r="B100" s="270"/>
      <c r="C100" s="270"/>
      <c r="D100" s="270"/>
      <c r="E100" s="270"/>
    </row>
    <row r="101" spans="1:5" ht="25.5" customHeight="1" x14ac:dyDescent="0.35">
      <c r="A101" s="271" t="s">
        <v>437</v>
      </c>
      <c r="B101" s="271"/>
      <c r="C101" s="271"/>
      <c r="D101" s="271"/>
      <c r="E101" s="271"/>
    </row>
    <row r="102" spans="1:5" ht="27.75" customHeight="1" x14ac:dyDescent="0.35">
      <c r="A102" s="61" t="s">
        <v>438</v>
      </c>
      <c r="B102" s="164"/>
      <c r="C102" s="253" t="s">
        <v>439</v>
      </c>
      <c r="D102" s="253"/>
      <c r="E102" s="253"/>
    </row>
    <row r="103" spans="1:5" ht="27.75" customHeight="1" x14ac:dyDescent="0.35">
      <c r="A103" s="61" t="s">
        <v>440</v>
      </c>
      <c r="B103" s="164"/>
      <c r="C103" s="253" t="s">
        <v>441</v>
      </c>
      <c r="D103" s="253"/>
      <c r="E103" s="253"/>
    </row>
    <row r="104" spans="1:5" ht="27.75" customHeight="1" x14ac:dyDescent="0.35">
      <c r="A104" s="61" t="s">
        <v>442</v>
      </c>
      <c r="B104" s="165"/>
      <c r="C104" s="253" t="s">
        <v>443</v>
      </c>
      <c r="D104" s="253"/>
      <c r="E104" s="253"/>
    </row>
    <row r="105" spans="1:5" ht="27.75" customHeight="1" x14ac:dyDescent="0.35">
      <c r="A105" s="61" t="s">
        <v>444</v>
      </c>
      <c r="B105" s="164"/>
      <c r="C105" s="253" t="s">
        <v>445</v>
      </c>
      <c r="D105" s="253"/>
      <c r="E105" s="253"/>
    </row>
    <row r="106" spans="1:5" ht="27.75" customHeight="1" x14ac:dyDescent="0.35">
      <c r="A106" s="61" t="s">
        <v>446</v>
      </c>
      <c r="B106" s="165"/>
      <c r="C106" s="253" t="s">
        <v>447</v>
      </c>
      <c r="D106" s="253"/>
      <c r="E106" s="253"/>
    </row>
    <row r="107" spans="1:5" ht="27.75" customHeight="1" x14ac:dyDescent="0.35">
      <c r="A107" s="61" t="s">
        <v>448</v>
      </c>
      <c r="B107" s="164"/>
      <c r="C107" s="253" t="s">
        <v>449</v>
      </c>
      <c r="D107" s="253"/>
      <c r="E107" s="253"/>
    </row>
    <row r="108" spans="1:5" ht="27.75" customHeight="1" x14ac:dyDescent="0.35">
      <c r="A108" s="61" t="s">
        <v>450</v>
      </c>
      <c r="B108" s="165"/>
      <c r="C108" s="253" t="s">
        <v>451</v>
      </c>
      <c r="D108" s="253"/>
      <c r="E108" s="253"/>
    </row>
    <row r="109" spans="1:5" ht="27.75" customHeight="1" x14ac:dyDescent="0.35">
      <c r="A109" s="61" t="s">
        <v>452</v>
      </c>
      <c r="B109" s="164"/>
      <c r="C109" s="253" t="s">
        <v>453</v>
      </c>
      <c r="D109" s="253"/>
      <c r="E109" s="253"/>
    </row>
    <row r="110" spans="1:5" ht="27.75" customHeight="1" x14ac:dyDescent="0.35">
      <c r="A110" s="61" t="s">
        <v>454</v>
      </c>
      <c r="B110" s="165"/>
      <c r="C110" s="253" t="s">
        <v>455</v>
      </c>
      <c r="D110" s="253"/>
      <c r="E110" s="253"/>
    </row>
    <row r="111" spans="1:5" ht="27.75" customHeight="1" x14ac:dyDescent="0.35">
      <c r="A111" s="61" t="s">
        <v>456</v>
      </c>
      <c r="B111" s="165"/>
      <c r="C111" s="253" t="s">
        <v>457</v>
      </c>
      <c r="D111" s="253"/>
      <c r="E111" s="253"/>
    </row>
    <row r="113" spans="1:5" ht="25.5" customHeight="1" x14ac:dyDescent="0.35">
      <c r="A113" s="272" t="s">
        <v>458</v>
      </c>
      <c r="B113" s="272"/>
      <c r="C113" s="272"/>
      <c r="D113" s="272"/>
      <c r="E113" s="272"/>
    </row>
    <row r="114" spans="1:5" ht="21.75" customHeight="1" x14ac:dyDescent="0.35">
      <c r="A114" s="273" t="s">
        <v>459</v>
      </c>
      <c r="B114" s="273"/>
      <c r="C114" s="273"/>
      <c r="D114" s="273"/>
      <c r="E114" s="273"/>
    </row>
    <row r="115" spans="1:5" ht="25.5" customHeight="1" x14ac:dyDescent="0.35">
      <c r="A115" s="96" t="s">
        <v>460</v>
      </c>
      <c r="B115" s="274" t="s">
        <v>461</v>
      </c>
      <c r="C115" s="274"/>
      <c r="D115" s="274"/>
      <c r="E115" s="274"/>
    </row>
    <row r="116" spans="1:5" ht="43.5" customHeight="1" x14ac:dyDescent="0.35">
      <c r="A116" s="275"/>
      <c r="B116" s="275"/>
      <c r="C116" s="275"/>
      <c r="D116" s="275"/>
      <c r="E116" s="275"/>
    </row>
    <row r="117" spans="1:5" ht="25.5" customHeight="1" x14ac:dyDescent="0.35">
      <c r="A117" s="96" t="s">
        <v>462</v>
      </c>
      <c r="B117" s="274" t="s">
        <v>463</v>
      </c>
      <c r="C117" s="274"/>
      <c r="D117" s="274"/>
      <c r="E117" s="274"/>
    </row>
    <row r="118" spans="1:5" ht="43.5" customHeight="1" x14ac:dyDescent="0.35">
      <c r="A118" s="275"/>
      <c r="B118" s="275"/>
      <c r="C118" s="275"/>
      <c r="D118" s="275"/>
      <c r="E118" s="275"/>
    </row>
    <row r="119" spans="1:5" ht="25.5" customHeight="1" x14ac:dyDescent="0.35">
      <c r="A119" s="96" t="s">
        <v>464</v>
      </c>
      <c r="B119" s="274" t="s">
        <v>465</v>
      </c>
      <c r="C119" s="274"/>
      <c r="D119" s="274"/>
      <c r="E119" s="274"/>
    </row>
    <row r="120" spans="1:5" ht="43.5" customHeight="1" x14ac:dyDescent="0.35">
      <c r="A120" s="275"/>
      <c r="B120" s="275"/>
      <c r="C120" s="275"/>
      <c r="D120" s="275"/>
      <c r="E120" s="275"/>
    </row>
    <row r="121" spans="1:5" ht="25.5" customHeight="1" x14ac:dyDescent="0.35">
      <c r="A121" s="96" t="s">
        <v>466</v>
      </c>
      <c r="B121" s="274" t="s">
        <v>467</v>
      </c>
      <c r="C121" s="274"/>
      <c r="D121" s="274"/>
      <c r="E121" s="274"/>
    </row>
    <row r="122" spans="1:5" ht="43.5" customHeight="1" x14ac:dyDescent="0.35">
      <c r="A122" s="275"/>
      <c r="B122" s="275"/>
      <c r="C122" s="275"/>
      <c r="D122" s="275"/>
      <c r="E122" s="275"/>
    </row>
    <row r="123" spans="1:5" ht="25.5" customHeight="1" x14ac:dyDescent="0.35">
      <c r="A123" s="96" t="s">
        <v>468</v>
      </c>
      <c r="B123" s="274" t="s">
        <v>469</v>
      </c>
      <c r="C123" s="274"/>
      <c r="D123" s="274"/>
      <c r="E123" s="274"/>
    </row>
    <row r="124" spans="1:5" ht="43.5" customHeight="1" x14ac:dyDescent="0.35">
      <c r="A124" s="275"/>
      <c r="B124" s="275"/>
      <c r="C124" s="275"/>
      <c r="D124" s="275"/>
      <c r="E124" s="275"/>
    </row>
    <row r="125" spans="1:5" ht="25.5" customHeight="1" x14ac:dyDescent="0.35">
      <c r="A125" s="96" t="s">
        <v>470</v>
      </c>
      <c r="B125" s="274" t="s">
        <v>471</v>
      </c>
      <c r="C125" s="274"/>
      <c r="D125" s="274"/>
      <c r="E125" s="274"/>
    </row>
    <row r="126" spans="1:5" ht="43.5" customHeight="1" x14ac:dyDescent="0.35">
      <c r="A126" s="275"/>
      <c r="B126" s="275"/>
      <c r="C126" s="275"/>
      <c r="D126" s="275"/>
      <c r="E126" s="275"/>
    </row>
    <row r="128" spans="1:5" ht="25.5" customHeight="1" x14ac:dyDescent="0.35">
      <c r="A128" s="276" t="s">
        <v>472</v>
      </c>
      <c r="B128" s="276"/>
      <c r="C128" s="276"/>
      <c r="D128" s="276"/>
      <c r="E128" s="276"/>
    </row>
    <row r="129" spans="1:5" ht="21.75" customHeight="1" x14ac:dyDescent="0.35">
      <c r="A129" s="277" t="s">
        <v>473</v>
      </c>
      <c r="B129" s="277"/>
      <c r="C129" s="277"/>
      <c r="D129" s="277"/>
      <c r="E129" s="277"/>
    </row>
    <row r="130" spans="1:5" ht="27.75" customHeight="1" x14ac:dyDescent="0.35">
      <c r="A130" s="74" t="s">
        <v>474</v>
      </c>
      <c r="B130" s="165"/>
      <c r="C130" s="253" t="s">
        <v>475</v>
      </c>
      <c r="D130" s="253"/>
      <c r="E130" s="253"/>
    </row>
    <row r="131" spans="1:5" ht="27.75" customHeight="1" x14ac:dyDescent="0.35">
      <c r="A131" s="74" t="s">
        <v>476</v>
      </c>
      <c r="B131" s="165"/>
      <c r="C131" s="253" t="s">
        <v>477</v>
      </c>
      <c r="D131" s="253"/>
      <c r="E131" s="253"/>
    </row>
    <row r="132" spans="1:5" ht="27.75" customHeight="1" x14ac:dyDescent="0.35">
      <c r="A132" s="74" t="s">
        <v>478</v>
      </c>
      <c r="B132" s="164"/>
      <c r="C132" s="253" t="s">
        <v>479</v>
      </c>
      <c r="D132" s="253"/>
      <c r="E132" s="253"/>
    </row>
    <row r="133" spans="1:5" ht="27.75" customHeight="1" x14ac:dyDescent="0.35">
      <c r="A133" s="74" t="s">
        <v>480</v>
      </c>
      <c r="B133" s="164"/>
      <c r="C133" s="253" t="s">
        <v>481</v>
      </c>
      <c r="D133" s="253"/>
      <c r="E133" s="253"/>
    </row>
    <row r="134" spans="1:5" ht="27.75" customHeight="1" x14ac:dyDescent="0.35">
      <c r="A134" s="74" t="s">
        <v>482</v>
      </c>
      <c r="B134" s="164"/>
      <c r="C134" s="253" t="s">
        <v>483</v>
      </c>
      <c r="D134" s="253"/>
      <c r="E134" s="253"/>
    </row>
    <row r="135" spans="1:5" ht="27.75" customHeight="1" x14ac:dyDescent="0.35">
      <c r="A135" s="74" t="s">
        <v>484</v>
      </c>
      <c r="B135" s="164"/>
      <c r="C135" s="253" t="s">
        <v>485</v>
      </c>
      <c r="D135" s="253"/>
      <c r="E135" s="253"/>
    </row>
    <row r="136" spans="1:5" ht="27.75" customHeight="1" x14ac:dyDescent="0.35">
      <c r="A136" s="74" t="s">
        <v>486</v>
      </c>
      <c r="B136" s="164"/>
      <c r="C136" s="253" t="s">
        <v>487</v>
      </c>
      <c r="D136" s="253"/>
      <c r="E136" s="253"/>
    </row>
    <row r="137" spans="1:5" ht="27.75" customHeight="1" x14ac:dyDescent="0.35">
      <c r="A137" s="74" t="s">
        <v>488</v>
      </c>
      <c r="B137" s="165"/>
      <c r="C137" s="253" t="s">
        <v>489</v>
      </c>
      <c r="D137" s="253"/>
      <c r="E137" s="253"/>
    </row>
    <row r="139" spans="1:5" ht="25.5" customHeight="1" x14ac:dyDescent="0.35">
      <c r="A139" s="278" t="s">
        <v>490</v>
      </c>
      <c r="B139" s="278"/>
      <c r="C139" s="278"/>
      <c r="D139" s="278"/>
      <c r="E139" s="278"/>
    </row>
    <row r="140" spans="1:5" ht="27.75" customHeight="1" x14ac:dyDescent="0.35">
      <c r="A140" s="166" t="s">
        <v>491</v>
      </c>
      <c r="B140" s="164"/>
      <c r="C140" s="253" t="s">
        <v>492</v>
      </c>
      <c r="D140" s="253"/>
      <c r="E140" s="253"/>
    </row>
    <row r="141" spans="1:5" ht="27.75" customHeight="1" x14ac:dyDescent="0.35">
      <c r="A141" s="166" t="s">
        <v>493</v>
      </c>
      <c r="B141" s="164"/>
      <c r="C141" s="253" t="s">
        <v>494</v>
      </c>
      <c r="D141" s="253"/>
      <c r="E141" s="253"/>
    </row>
    <row r="142" spans="1:5" ht="27.75" customHeight="1" x14ac:dyDescent="0.35">
      <c r="A142" s="166" t="s">
        <v>495</v>
      </c>
      <c r="B142" s="164"/>
      <c r="C142" s="253" t="s">
        <v>496</v>
      </c>
      <c r="D142" s="253"/>
      <c r="E142" s="253"/>
    </row>
    <row r="143" spans="1:5" ht="27.75" customHeight="1" x14ac:dyDescent="0.35">
      <c r="A143" s="166" t="s">
        <v>497</v>
      </c>
      <c r="B143" s="165"/>
      <c r="C143" s="253" t="s">
        <v>498</v>
      </c>
      <c r="D143" s="253"/>
      <c r="E143" s="253"/>
    </row>
    <row r="144" spans="1:5" ht="27.75" customHeight="1" x14ac:dyDescent="0.35">
      <c r="A144" s="166" t="s">
        <v>499</v>
      </c>
      <c r="B144" s="164"/>
      <c r="C144" s="253" t="s">
        <v>500</v>
      </c>
      <c r="D144" s="253"/>
      <c r="E144" s="253"/>
    </row>
    <row r="145" spans="1:5" ht="27.75" customHeight="1" x14ac:dyDescent="0.35">
      <c r="A145" s="166" t="s">
        <v>501</v>
      </c>
      <c r="B145" s="164"/>
      <c r="C145" s="253" t="s">
        <v>502</v>
      </c>
      <c r="D145" s="253"/>
      <c r="E145" s="253"/>
    </row>
    <row r="146" spans="1:5" ht="27.75" customHeight="1" x14ac:dyDescent="0.35">
      <c r="A146" s="166" t="s">
        <v>503</v>
      </c>
      <c r="B146" s="165"/>
      <c r="C146" s="253" t="s">
        <v>504</v>
      </c>
      <c r="D146" s="253"/>
      <c r="E146" s="253"/>
    </row>
    <row r="148" spans="1:5" ht="25.5" customHeight="1" x14ac:dyDescent="0.35">
      <c r="A148" s="279" t="s">
        <v>505</v>
      </c>
      <c r="B148" s="279"/>
      <c r="C148" s="279"/>
      <c r="D148" s="279"/>
      <c r="E148" s="279"/>
    </row>
    <row r="149" spans="1:5" ht="21.75" customHeight="1" x14ac:dyDescent="0.35">
      <c r="A149" s="280" t="s">
        <v>506</v>
      </c>
      <c r="B149" s="280"/>
      <c r="C149" s="280"/>
      <c r="D149" s="280"/>
      <c r="E149" s="280"/>
    </row>
    <row r="150" spans="1:5" ht="25.5" customHeight="1" x14ac:dyDescent="0.35">
      <c r="A150" s="167" t="s">
        <v>507</v>
      </c>
      <c r="B150" s="281" t="s">
        <v>508</v>
      </c>
      <c r="C150" s="281"/>
      <c r="D150" s="281"/>
      <c r="E150" s="281"/>
    </row>
    <row r="151" spans="1:5" ht="43.5" customHeight="1" x14ac:dyDescent="0.35">
      <c r="A151" s="282"/>
      <c r="B151" s="282"/>
      <c r="C151" s="282"/>
      <c r="D151" s="282"/>
      <c r="E151" s="282"/>
    </row>
    <row r="152" spans="1:5" ht="25.5" customHeight="1" x14ac:dyDescent="0.35">
      <c r="A152" s="167" t="s">
        <v>509</v>
      </c>
      <c r="B152" s="281" t="s">
        <v>510</v>
      </c>
      <c r="C152" s="281"/>
      <c r="D152" s="281"/>
      <c r="E152" s="281"/>
    </row>
    <row r="153" spans="1:5" ht="43.5" customHeight="1" x14ac:dyDescent="0.35">
      <c r="A153" s="282"/>
      <c r="B153" s="282"/>
      <c r="C153" s="282"/>
      <c r="D153" s="282"/>
      <c r="E153" s="282"/>
    </row>
    <row r="154" spans="1:5" ht="25.5" customHeight="1" x14ac:dyDescent="0.35">
      <c r="A154" s="167" t="s">
        <v>511</v>
      </c>
      <c r="B154" s="281" t="s">
        <v>512</v>
      </c>
      <c r="C154" s="281"/>
      <c r="D154" s="281"/>
      <c r="E154" s="281"/>
    </row>
    <row r="155" spans="1:5" ht="43.5" customHeight="1" x14ac:dyDescent="0.35">
      <c r="A155" s="282"/>
      <c r="B155" s="282"/>
      <c r="C155" s="282"/>
      <c r="D155" s="282"/>
      <c r="E155" s="282"/>
    </row>
    <row r="156" spans="1:5" ht="25.5" customHeight="1" x14ac:dyDescent="0.35">
      <c r="A156" s="167" t="s">
        <v>513</v>
      </c>
      <c r="B156" s="281" t="s">
        <v>514</v>
      </c>
      <c r="C156" s="281"/>
      <c r="D156" s="281"/>
      <c r="E156" s="281"/>
    </row>
    <row r="157" spans="1:5" ht="43.5" customHeight="1" x14ac:dyDescent="0.35">
      <c r="A157" s="282"/>
      <c r="B157" s="282"/>
      <c r="C157" s="282"/>
      <c r="D157" s="282"/>
      <c r="E157" s="282"/>
    </row>
    <row r="158" spans="1:5" ht="25.5" customHeight="1" x14ac:dyDescent="0.35">
      <c r="A158" s="167" t="s">
        <v>515</v>
      </c>
      <c r="B158" s="281" t="s">
        <v>516</v>
      </c>
      <c r="C158" s="281"/>
      <c r="D158" s="281"/>
      <c r="E158" s="281"/>
    </row>
    <row r="159" spans="1:5" ht="43.5" customHeight="1" x14ac:dyDescent="0.35">
      <c r="A159" s="282"/>
      <c r="B159" s="282"/>
      <c r="C159" s="282"/>
      <c r="D159" s="282"/>
      <c r="E159" s="282"/>
    </row>
    <row r="160" spans="1:5" ht="25.5" customHeight="1" x14ac:dyDescent="0.35">
      <c r="A160" s="167" t="s">
        <v>517</v>
      </c>
      <c r="B160" s="281" t="s">
        <v>518</v>
      </c>
      <c r="C160" s="281"/>
      <c r="D160" s="281"/>
      <c r="E160" s="281"/>
    </row>
    <row r="161" spans="1:5" ht="43.5" customHeight="1" x14ac:dyDescent="0.35">
      <c r="A161" s="282"/>
      <c r="B161" s="282"/>
      <c r="C161" s="282"/>
      <c r="D161" s="282"/>
      <c r="E161" s="282"/>
    </row>
    <row r="164" spans="1:5" ht="33.75" customHeight="1" x14ac:dyDescent="0.35">
      <c r="A164" s="283" t="s">
        <v>600</v>
      </c>
      <c r="B164" s="283"/>
      <c r="C164" s="283"/>
      <c r="D164" s="283"/>
      <c r="E164" s="283"/>
    </row>
    <row r="165" spans="1:5" ht="24" customHeight="1" x14ac:dyDescent="0.35">
      <c r="A165" s="284" t="s">
        <v>520</v>
      </c>
      <c r="B165" s="284"/>
      <c r="C165" s="284"/>
      <c r="D165" s="284"/>
      <c r="E165" s="284"/>
    </row>
    <row r="166" spans="1:5" ht="25.5" customHeight="1" x14ac:dyDescent="0.35">
      <c r="A166" s="279" t="s">
        <v>521</v>
      </c>
      <c r="B166" s="279"/>
      <c r="C166" s="279"/>
      <c r="D166" s="279"/>
      <c r="E166" s="279"/>
    </row>
    <row r="167" spans="1:5" ht="21.75" customHeight="1" x14ac:dyDescent="0.35">
      <c r="A167" s="168" t="s">
        <v>522</v>
      </c>
      <c r="B167" s="285" t="s">
        <v>523</v>
      </c>
      <c r="C167" s="285"/>
      <c r="D167" s="285"/>
      <c r="E167" s="285"/>
    </row>
    <row r="168" spans="1:5" ht="27.75" customHeight="1" x14ac:dyDescent="0.35">
      <c r="A168" s="169" t="s">
        <v>524</v>
      </c>
      <c r="B168" s="286" t="s">
        <v>525</v>
      </c>
      <c r="C168" s="286"/>
      <c r="D168" s="286"/>
      <c r="E168" s="286"/>
    </row>
    <row r="169" spans="1:5" ht="27.75" customHeight="1" x14ac:dyDescent="0.35">
      <c r="A169" s="170" t="s">
        <v>526</v>
      </c>
      <c r="B169" s="287" t="s">
        <v>527</v>
      </c>
      <c r="C169" s="287"/>
      <c r="D169" s="287"/>
      <c r="E169" s="287"/>
    </row>
    <row r="170" spans="1:5" ht="27.75" customHeight="1" x14ac:dyDescent="0.35">
      <c r="A170" s="171" t="s">
        <v>528</v>
      </c>
      <c r="B170" s="288" t="s">
        <v>529</v>
      </c>
      <c r="C170" s="288"/>
      <c r="D170" s="288"/>
      <c r="E170" s="288"/>
    </row>
    <row r="171" spans="1:5" ht="27.75" customHeight="1" x14ac:dyDescent="0.35">
      <c r="A171" s="172" t="s">
        <v>530</v>
      </c>
      <c r="B171" s="289" t="s">
        <v>531</v>
      </c>
      <c r="C171" s="289"/>
      <c r="D171" s="289"/>
      <c r="E171" s="289"/>
    </row>
    <row r="172" spans="1:5" ht="27.75" customHeight="1" x14ac:dyDescent="0.35">
      <c r="A172" s="173" t="s">
        <v>532</v>
      </c>
      <c r="B172" s="290" t="s">
        <v>533</v>
      </c>
      <c r="C172" s="290"/>
      <c r="D172" s="290"/>
      <c r="E172" s="290"/>
    </row>
    <row r="174" spans="1:5" ht="30" customHeight="1" x14ac:dyDescent="0.35">
      <c r="A174" s="61" t="s">
        <v>534</v>
      </c>
      <c r="B174" s="164"/>
      <c r="C174" s="253" t="s">
        <v>535</v>
      </c>
      <c r="D174" s="253"/>
      <c r="E174" s="253"/>
    </row>
    <row r="175" spans="1:5" ht="30" customHeight="1" x14ac:dyDescent="0.35">
      <c r="A175" s="61" t="s">
        <v>536</v>
      </c>
      <c r="B175" s="164"/>
      <c r="C175" s="253" t="s">
        <v>537</v>
      </c>
      <c r="D175" s="253"/>
      <c r="E175" s="253"/>
    </row>
    <row r="176" spans="1:5" ht="30" customHeight="1" x14ac:dyDescent="0.35">
      <c r="A176" s="61" t="s">
        <v>538</v>
      </c>
      <c r="B176" s="164"/>
      <c r="C176" s="253" t="s">
        <v>539</v>
      </c>
      <c r="D176" s="253"/>
      <c r="E176" s="253"/>
    </row>
    <row r="177" spans="1:5" ht="30" customHeight="1" x14ac:dyDescent="0.35">
      <c r="A177" s="61" t="s">
        <v>540</v>
      </c>
      <c r="B177" s="164"/>
      <c r="C177" s="253" t="s">
        <v>541</v>
      </c>
      <c r="D177" s="253"/>
      <c r="E177" s="253"/>
    </row>
    <row r="179" spans="1:5" ht="25.5" customHeight="1" x14ac:dyDescent="0.35">
      <c r="A179" s="291" t="s">
        <v>542</v>
      </c>
      <c r="B179" s="291"/>
      <c r="C179" s="291"/>
      <c r="D179" s="291"/>
      <c r="E179" s="291"/>
    </row>
    <row r="180" spans="1:5" ht="19.5" customHeight="1" x14ac:dyDescent="0.35">
      <c r="A180" s="292" t="s">
        <v>543</v>
      </c>
      <c r="B180" s="292"/>
      <c r="C180" s="292"/>
      <c r="D180" s="292"/>
      <c r="E180" s="292"/>
    </row>
    <row r="181" spans="1:5" ht="30" customHeight="1" x14ac:dyDescent="0.35">
      <c r="A181" s="74" t="s">
        <v>544</v>
      </c>
      <c r="B181" s="174"/>
      <c r="C181" s="253" t="s">
        <v>545</v>
      </c>
      <c r="D181" s="253"/>
      <c r="E181" s="253"/>
    </row>
    <row r="182" spans="1:5" ht="30" customHeight="1" x14ac:dyDescent="0.35">
      <c r="A182" s="74" t="s">
        <v>546</v>
      </c>
      <c r="B182" s="174"/>
      <c r="C182" s="253" t="s">
        <v>547</v>
      </c>
      <c r="D182" s="253"/>
      <c r="E182" s="253"/>
    </row>
    <row r="183" spans="1:5" ht="30" customHeight="1" x14ac:dyDescent="0.35">
      <c r="A183" s="74" t="s">
        <v>548</v>
      </c>
      <c r="B183" s="174"/>
      <c r="C183" s="253" t="s">
        <v>549</v>
      </c>
      <c r="D183" s="253"/>
      <c r="E183" s="253"/>
    </row>
    <row r="184" spans="1:5" ht="30" customHeight="1" x14ac:dyDescent="0.35">
      <c r="A184" s="74" t="s">
        <v>550</v>
      </c>
      <c r="B184" s="174"/>
      <c r="C184" s="253" t="s">
        <v>551</v>
      </c>
      <c r="D184" s="253"/>
      <c r="E184" s="253"/>
    </row>
    <row r="185" spans="1:5" ht="30" customHeight="1" x14ac:dyDescent="0.35">
      <c r="A185" s="74" t="s">
        <v>552</v>
      </c>
      <c r="B185" s="174"/>
      <c r="C185" s="253" t="s">
        <v>553</v>
      </c>
      <c r="D185" s="253"/>
      <c r="E185" s="253"/>
    </row>
    <row r="186" spans="1:5" ht="30" customHeight="1" x14ac:dyDescent="0.35">
      <c r="A186" s="74" t="s">
        <v>554</v>
      </c>
      <c r="B186" s="174"/>
      <c r="C186" s="253" t="s">
        <v>555</v>
      </c>
      <c r="D186" s="253"/>
      <c r="E186" s="253"/>
    </row>
    <row r="187" spans="1:5" ht="30" customHeight="1" x14ac:dyDescent="0.35">
      <c r="A187" s="74" t="s">
        <v>556</v>
      </c>
      <c r="B187" s="174"/>
      <c r="C187" s="253" t="s">
        <v>557</v>
      </c>
      <c r="D187" s="253"/>
      <c r="E187" s="253"/>
    </row>
    <row r="188" spans="1:5" ht="30" customHeight="1" x14ac:dyDescent="0.35">
      <c r="A188" s="74" t="s">
        <v>558</v>
      </c>
      <c r="B188" s="174"/>
      <c r="C188" s="253" t="s">
        <v>559</v>
      </c>
      <c r="D188" s="253"/>
      <c r="E188" s="253"/>
    </row>
    <row r="189" spans="1:5" ht="30" customHeight="1" x14ac:dyDescent="0.35">
      <c r="A189" s="74" t="s">
        <v>560</v>
      </c>
      <c r="B189" s="174"/>
      <c r="C189" s="253" t="s">
        <v>561</v>
      </c>
      <c r="D189" s="253"/>
      <c r="E189" s="253"/>
    </row>
    <row r="190" spans="1:5" ht="30" customHeight="1" x14ac:dyDescent="0.35">
      <c r="A190" s="74" t="s">
        <v>562</v>
      </c>
      <c r="B190" s="174"/>
      <c r="C190" s="253" t="s">
        <v>563</v>
      </c>
      <c r="D190" s="253"/>
      <c r="E190" s="253"/>
    </row>
    <row r="191" spans="1:5" ht="30" customHeight="1" x14ac:dyDescent="0.35">
      <c r="A191" s="74" t="s">
        <v>564</v>
      </c>
      <c r="B191" s="174"/>
      <c r="C191" s="253" t="s">
        <v>565</v>
      </c>
      <c r="D191" s="253"/>
      <c r="E191" s="253"/>
    </row>
    <row r="192" spans="1:5" ht="30" customHeight="1" x14ac:dyDescent="0.35">
      <c r="A192" s="74" t="s">
        <v>566</v>
      </c>
      <c r="B192" s="174"/>
      <c r="C192" s="253" t="s">
        <v>567</v>
      </c>
      <c r="D192" s="253"/>
      <c r="E192" s="253"/>
    </row>
    <row r="194" spans="1:5" ht="25.5" customHeight="1" x14ac:dyDescent="0.35">
      <c r="A194" s="293" t="s">
        <v>568</v>
      </c>
      <c r="B194" s="293"/>
      <c r="C194" s="293"/>
      <c r="D194" s="293"/>
      <c r="E194" s="293"/>
    </row>
    <row r="195" spans="1:5" ht="27.75" customHeight="1" x14ac:dyDescent="0.35">
      <c r="A195" s="61" t="s">
        <v>569</v>
      </c>
      <c r="B195" s="165"/>
      <c r="C195" s="253" t="s">
        <v>570</v>
      </c>
      <c r="D195" s="253"/>
      <c r="E195" s="253"/>
    </row>
    <row r="196" spans="1:5" ht="27.75" customHeight="1" x14ac:dyDescent="0.35">
      <c r="A196" s="61" t="s">
        <v>571</v>
      </c>
      <c r="B196" s="165"/>
      <c r="C196" s="253" t="s">
        <v>572</v>
      </c>
      <c r="D196" s="253"/>
      <c r="E196" s="253"/>
    </row>
    <row r="197" spans="1:5" ht="27.75" customHeight="1" x14ac:dyDescent="0.35">
      <c r="A197" s="61" t="s">
        <v>573</v>
      </c>
      <c r="B197" s="165"/>
      <c r="C197" s="253" t="s">
        <v>574</v>
      </c>
      <c r="D197" s="253"/>
      <c r="E197" s="253"/>
    </row>
    <row r="198" spans="1:5" ht="27.75" customHeight="1" x14ac:dyDescent="0.35">
      <c r="A198" s="61" t="s">
        <v>575</v>
      </c>
      <c r="B198" s="165"/>
      <c r="C198" s="253" t="s">
        <v>576</v>
      </c>
      <c r="D198" s="253"/>
      <c r="E198" s="253"/>
    </row>
    <row r="199" spans="1:5" ht="27.75" customHeight="1" x14ac:dyDescent="0.35">
      <c r="A199" s="61" t="s">
        <v>577</v>
      </c>
      <c r="B199" s="165"/>
      <c r="C199" s="253" t="s">
        <v>578</v>
      </c>
      <c r="D199" s="253"/>
      <c r="E199" s="253"/>
    </row>
    <row r="200" spans="1:5" ht="27.75" customHeight="1" x14ac:dyDescent="0.35">
      <c r="A200" s="61" t="s">
        <v>579</v>
      </c>
      <c r="B200" s="165"/>
      <c r="C200" s="253" t="s">
        <v>580</v>
      </c>
      <c r="D200" s="253"/>
      <c r="E200" s="253"/>
    </row>
    <row r="201" spans="1:5" ht="27.75" customHeight="1" x14ac:dyDescent="0.35">
      <c r="A201" s="61" t="s">
        <v>581</v>
      </c>
      <c r="B201" s="165"/>
      <c r="C201" s="253" t="s">
        <v>582</v>
      </c>
      <c r="D201" s="253"/>
      <c r="E201" s="253"/>
    </row>
    <row r="203" spans="1:5" ht="25.5" customHeight="1" x14ac:dyDescent="0.35">
      <c r="A203" s="272" t="s">
        <v>583</v>
      </c>
      <c r="B203" s="272"/>
      <c r="C203" s="272"/>
      <c r="D203" s="272"/>
      <c r="E203" s="272"/>
    </row>
    <row r="204" spans="1:5" ht="25.5" customHeight="1" x14ac:dyDescent="0.35">
      <c r="A204" s="96" t="s">
        <v>584</v>
      </c>
      <c r="B204" s="294" t="s">
        <v>585</v>
      </c>
      <c r="C204" s="294"/>
      <c r="D204" s="294"/>
      <c r="E204" s="294"/>
    </row>
    <row r="205" spans="1:5" ht="43.5" customHeight="1" x14ac:dyDescent="0.35">
      <c r="A205" s="202"/>
      <c r="B205" s="202"/>
      <c r="C205" s="202"/>
      <c r="D205" s="202"/>
      <c r="E205" s="202"/>
    </row>
    <row r="206" spans="1:5" ht="25.5" customHeight="1" x14ac:dyDescent="0.35">
      <c r="A206" s="96" t="s">
        <v>586</v>
      </c>
      <c r="B206" s="294" t="s">
        <v>587</v>
      </c>
      <c r="C206" s="294"/>
      <c r="D206" s="294"/>
      <c r="E206" s="294"/>
    </row>
    <row r="207" spans="1:5" ht="43.5" customHeight="1" x14ac:dyDescent="0.35">
      <c r="A207" s="202"/>
      <c r="B207" s="202"/>
      <c r="C207" s="202"/>
      <c r="D207" s="202"/>
      <c r="E207" s="202"/>
    </row>
    <row r="208" spans="1:5" ht="25.5" customHeight="1" x14ac:dyDescent="0.35">
      <c r="A208" s="96" t="s">
        <v>588</v>
      </c>
      <c r="B208" s="294" t="s">
        <v>589</v>
      </c>
      <c r="C208" s="294"/>
      <c r="D208" s="294"/>
      <c r="E208" s="294"/>
    </row>
    <row r="209" spans="1:5" ht="43.5" customHeight="1" x14ac:dyDescent="0.35">
      <c r="A209" s="202"/>
      <c r="B209" s="202"/>
      <c r="C209" s="202"/>
      <c r="D209" s="202"/>
      <c r="E209" s="202"/>
    </row>
    <row r="210" spans="1:5" ht="25.5" customHeight="1" x14ac:dyDescent="0.35">
      <c r="A210" s="96" t="s">
        <v>590</v>
      </c>
      <c r="B210" s="294" t="s">
        <v>591</v>
      </c>
      <c r="C210" s="294"/>
      <c r="D210" s="294"/>
      <c r="E210" s="294"/>
    </row>
    <row r="211" spans="1:5" ht="43.5" customHeight="1" x14ac:dyDescent="0.35">
      <c r="A211" s="202"/>
      <c r="B211" s="202"/>
      <c r="C211" s="202"/>
      <c r="D211" s="202"/>
      <c r="E211" s="202"/>
    </row>
  </sheetData>
  <mergeCells count="160">
    <mergeCell ref="A205:E205"/>
    <mergeCell ref="B206:E206"/>
    <mergeCell ref="A207:E207"/>
    <mergeCell ref="B208:E208"/>
    <mergeCell ref="A209:E209"/>
    <mergeCell ref="B210:E210"/>
    <mergeCell ref="A211:E211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A1:D1"/>
    <mergeCell ref="A2:D2"/>
    <mergeCell ref="A3:D3"/>
    <mergeCell ref="A5:D5"/>
    <mergeCell ref="C6:D6"/>
    <mergeCell ref="C7:D7"/>
    <mergeCell ref="C8:D8"/>
    <mergeCell ref="C9:D9"/>
    <mergeCell ref="C10:D10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Listas!$U$2:$U$8</xm:f>
          </x14:formula1>
          <x14:formula2>
            <xm:f>0</xm:f>
          </x14:formula2>
          <xm:sqref>B68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1"/>
  <sheetViews>
    <sheetView view="pageBreakPreview"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249" t="s">
        <v>601</v>
      </c>
      <c r="B1" s="249"/>
      <c r="C1" s="249"/>
      <c r="D1" s="249"/>
    </row>
    <row r="2" spans="1:4" ht="18" customHeight="1" x14ac:dyDescent="0.35">
      <c r="A2" s="250" t="s">
        <v>302</v>
      </c>
      <c r="B2" s="250"/>
      <c r="C2" s="250"/>
      <c r="D2" s="250"/>
    </row>
    <row r="3" spans="1:4" ht="19.5" customHeight="1" x14ac:dyDescent="0.35">
      <c r="A3" s="251" t="s">
        <v>303</v>
      </c>
      <c r="B3" s="251"/>
      <c r="C3" s="251"/>
      <c r="D3" s="251"/>
    </row>
    <row r="5" spans="1:4" ht="21.75" customHeight="1" x14ac:dyDescent="0.35">
      <c r="A5" s="252" t="s">
        <v>304</v>
      </c>
      <c r="B5" s="252"/>
      <c r="C5" s="252"/>
      <c r="D5" s="252"/>
    </row>
    <row r="6" spans="1:4" ht="24" customHeight="1" x14ac:dyDescent="0.35">
      <c r="A6" s="61" t="s">
        <v>305</v>
      </c>
      <c r="B6" s="140"/>
      <c r="C6" s="253" t="s">
        <v>306</v>
      </c>
      <c r="D6" s="253"/>
    </row>
    <row r="7" spans="1:4" ht="24" customHeight="1" x14ac:dyDescent="0.35">
      <c r="A7" s="61" t="s">
        <v>307</v>
      </c>
      <c r="B7" s="140"/>
      <c r="C7" s="253" t="s">
        <v>308</v>
      </c>
      <c r="D7" s="253"/>
    </row>
    <row r="8" spans="1:4" ht="24" customHeight="1" x14ac:dyDescent="0.35">
      <c r="A8" s="61" t="s">
        <v>309</v>
      </c>
      <c r="B8" s="140"/>
      <c r="C8" s="253" t="s">
        <v>310</v>
      </c>
      <c r="D8" s="253"/>
    </row>
    <row r="9" spans="1:4" ht="24" customHeight="1" x14ac:dyDescent="0.35">
      <c r="A9" s="61" t="s">
        <v>311</v>
      </c>
      <c r="B9" s="140"/>
      <c r="C9" s="253" t="s">
        <v>312</v>
      </c>
      <c r="D9" s="253"/>
    </row>
    <row r="10" spans="1:4" ht="24" customHeight="1" x14ac:dyDescent="0.35">
      <c r="A10" s="61" t="s">
        <v>313</v>
      </c>
      <c r="B10" s="140"/>
      <c r="C10" s="253" t="s">
        <v>314</v>
      </c>
      <c r="D10" s="253"/>
    </row>
    <row r="11" spans="1:4" ht="24" customHeight="1" x14ac:dyDescent="0.35">
      <c r="A11" s="61" t="s">
        <v>315</v>
      </c>
      <c r="B11" s="140"/>
      <c r="C11" s="253" t="s">
        <v>316</v>
      </c>
      <c r="D11" s="253"/>
    </row>
    <row r="13" spans="1:4" ht="21.75" customHeight="1" x14ac:dyDescent="0.35">
      <c r="A13" s="252" t="s">
        <v>317</v>
      </c>
      <c r="B13" s="252"/>
      <c r="C13" s="252"/>
      <c r="D13" s="252"/>
    </row>
    <row r="14" spans="1:4" ht="19.5" customHeight="1" x14ac:dyDescent="0.35">
      <c r="A14" s="138" t="s">
        <v>6</v>
      </c>
      <c r="B14" s="254" t="s">
        <v>318</v>
      </c>
      <c r="C14" s="254"/>
      <c r="D14" s="254"/>
    </row>
    <row r="15" spans="1:4" ht="21.75" customHeight="1" x14ac:dyDescent="0.35">
      <c r="A15" s="142" t="s">
        <v>9</v>
      </c>
      <c r="B15" s="255" t="s">
        <v>319</v>
      </c>
      <c r="C15" s="255"/>
      <c r="D15" s="255"/>
    </row>
    <row r="16" spans="1:4" ht="21.75" customHeight="1" x14ac:dyDescent="0.35">
      <c r="A16" s="143" t="s">
        <v>12</v>
      </c>
      <c r="B16" s="256" t="s">
        <v>320</v>
      </c>
      <c r="C16" s="256"/>
      <c r="D16" s="256"/>
    </row>
    <row r="17" spans="1:5" ht="21.75" customHeight="1" x14ac:dyDescent="0.35">
      <c r="A17" s="144" t="s">
        <v>15</v>
      </c>
      <c r="B17" s="257" t="s">
        <v>321</v>
      </c>
      <c r="C17" s="257"/>
      <c r="D17" s="257"/>
    </row>
    <row r="18" spans="1:5" ht="21.75" customHeight="1" x14ac:dyDescent="0.35">
      <c r="A18" s="145" t="s">
        <v>322</v>
      </c>
      <c r="B18" s="258" t="s">
        <v>323</v>
      </c>
      <c r="C18" s="258"/>
      <c r="D18" s="258"/>
    </row>
    <row r="19" spans="1:5" ht="21.75" customHeight="1" x14ac:dyDescent="0.35">
      <c r="A19" s="146" t="s">
        <v>21</v>
      </c>
      <c r="B19" s="259" t="s">
        <v>324</v>
      </c>
      <c r="C19" s="259"/>
      <c r="D19" s="259"/>
    </row>
    <row r="20" spans="1:5" ht="21.75" customHeight="1" x14ac:dyDescent="0.35">
      <c r="A20" s="147" t="s">
        <v>24</v>
      </c>
      <c r="B20" s="260" t="s">
        <v>325</v>
      </c>
      <c r="C20" s="260"/>
      <c r="D20" s="260"/>
    </row>
    <row r="22" spans="1:5" ht="30" customHeight="1" x14ac:dyDescent="0.35">
      <c r="A22" s="61" t="s">
        <v>326</v>
      </c>
      <c r="B22" s="148"/>
      <c r="C22" s="261" t="s">
        <v>327</v>
      </c>
      <c r="D22" s="261"/>
    </row>
    <row r="23" spans="1:5" ht="30" customHeight="1" x14ac:dyDescent="0.35">
      <c r="A23" s="149" t="s">
        <v>328</v>
      </c>
      <c r="B23" s="150" t="s">
        <v>322</v>
      </c>
      <c r="C23" s="262" t="s">
        <v>329</v>
      </c>
      <c r="D23" s="262"/>
    </row>
    <row r="24" spans="1:5" ht="39.75" customHeight="1" x14ac:dyDescent="0.35">
      <c r="A24" s="61" t="s">
        <v>330</v>
      </c>
      <c r="B24" s="263"/>
      <c r="C24" s="263"/>
      <c r="D24" s="263"/>
    </row>
    <row r="26" spans="1:5" ht="21.75" customHeight="1" x14ac:dyDescent="0.35">
      <c r="A26" s="252" t="s">
        <v>331</v>
      </c>
      <c r="B26" s="252"/>
      <c r="C26" s="252"/>
      <c r="D26" s="252"/>
    </row>
    <row r="27" spans="1:5" ht="21.75" customHeight="1" x14ac:dyDescent="0.35">
      <c r="A27" s="152" t="s">
        <v>332</v>
      </c>
      <c r="B27" s="152" t="s">
        <v>333</v>
      </c>
      <c r="C27" s="152" t="s">
        <v>334</v>
      </c>
      <c r="D27" s="152" t="s">
        <v>335</v>
      </c>
      <c r="E27" s="15" t="s">
        <v>336</v>
      </c>
    </row>
    <row r="28" spans="1:5" ht="18" customHeight="1" x14ac:dyDescent="0.35">
      <c r="A28" s="229" t="s">
        <v>230</v>
      </c>
      <c r="B28" s="229"/>
      <c r="C28" s="229"/>
      <c r="D28" s="229"/>
      <c r="E28" s="113"/>
    </row>
    <row r="29" spans="1:5" ht="30" customHeight="1" x14ac:dyDescent="0.35">
      <c r="A29" s="153" t="s">
        <v>337</v>
      </c>
      <c r="B29" s="154"/>
      <c r="C29" s="23" t="s">
        <v>15</v>
      </c>
      <c r="D29" s="155" t="s">
        <v>338</v>
      </c>
      <c r="E29" s="156"/>
    </row>
    <row r="30" spans="1:5" ht="30" customHeight="1" x14ac:dyDescent="0.35">
      <c r="A30" s="153" t="s">
        <v>339</v>
      </c>
      <c r="B30" s="154"/>
      <c r="C30" s="26" t="s">
        <v>322</v>
      </c>
      <c r="D30" s="155" t="s">
        <v>340</v>
      </c>
      <c r="E30" s="156"/>
    </row>
    <row r="31" spans="1:5" ht="18" customHeight="1" x14ac:dyDescent="0.35">
      <c r="A31" s="229" t="s">
        <v>233</v>
      </c>
      <c r="B31" s="229"/>
      <c r="C31" s="229"/>
      <c r="D31" s="229"/>
      <c r="E31" s="113"/>
    </row>
    <row r="32" spans="1:5" ht="30" customHeight="1" x14ac:dyDescent="0.35">
      <c r="A32" s="153" t="s">
        <v>341</v>
      </c>
      <c r="B32" s="154"/>
      <c r="C32" s="23" t="s">
        <v>15</v>
      </c>
      <c r="D32" s="155" t="s">
        <v>342</v>
      </c>
      <c r="E32" s="156"/>
    </row>
    <row r="33" spans="1:5" ht="30" customHeight="1" x14ac:dyDescent="0.35">
      <c r="A33" s="153" t="s">
        <v>343</v>
      </c>
      <c r="B33" s="154"/>
      <c r="C33" s="26" t="s">
        <v>322</v>
      </c>
      <c r="D33" s="155" t="s">
        <v>344</v>
      </c>
      <c r="E33" s="156"/>
    </row>
    <row r="34" spans="1:5" ht="30" customHeight="1" x14ac:dyDescent="0.35">
      <c r="A34" s="153" t="s">
        <v>345</v>
      </c>
      <c r="B34" s="154"/>
      <c r="C34" s="23" t="s">
        <v>15</v>
      </c>
      <c r="D34" s="155" t="s">
        <v>346</v>
      </c>
      <c r="E34" s="156"/>
    </row>
    <row r="35" spans="1:5" ht="30" customHeight="1" x14ac:dyDescent="0.35">
      <c r="A35" s="153" t="s">
        <v>347</v>
      </c>
      <c r="B35" s="154"/>
      <c r="C35" s="26" t="s">
        <v>322</v>
      </c>
      <c r="D35" s="155" t="s">
        <v>348</v>
      </c>
      <c r="E35" s="156"/>
    </row>
    <row r="36" spans="1:5" ht="18" customHeight="1" x14ac:dyDescent="0.35">
      <c r="A36" s="229" t="s">
        <v>238</v>
      </c>
      <c r="B36" s="229"/>
      <c r="C36" s="229"/>
      <c r="D36" s="229"/>
      <c r="E36" s="113"/>
    </row>
    <row r="37" spans="1:5" ht="30" customHeight="1" x14ac:dyDescent="0.35">
      <c r="A37" s="153" t="s">
        <v>349</v>
      </c>
      <c r="B37" s="154"/>
      <c r="C37" s="23" t="s">
        <v>15</v>
      </c>
      <c r="D37" s="155" t="s">
        <v>350</v>
      </c>
      <c r="E37" s="156"/>
    </row>
    <row r="38" spans="1:5" ht="30" customHeight="1" x14ac:dyDescent="0.35">
      <c r="A38" s="153" t="s">
        <v>351</v>
      </c>
      <c r="B38" s="154"/>
      <c r="C38" s="26" t="s">
        <v>322</v>
      </c>
      <c r="D38" s="155" t="s">
        <v>352</v>
      </c>
      <c r="E38" s="156"/>
    </row>
    <row r="39" spans="1:5" ht="30" customHeight="1" x14ac:dyDescent="0.35">
      <c r="A39" s="153" t="s">
        <v>353</v>
      </c>
      <c r="B39" s="154"/>
      <c r="C39" s="26" t="s">
        <v>322</v>
      </c>
      <c r="D39" s="155" t="s">
        <v>354</v>
      </c>
      <c r="E39" s="156"/>
    </row>
    <row r="40" spans="1:5" ht="30" customHeight="1" x14ac:dyDescent="0.35">
      <c r="A40" s="153" t="s">
        <v>355</v>
      </c>
      <c r="B40" s="154"/>
      <c r="C40" s="23" t="s">
        <v>15</v>
      </c>
      <c r="D40" s="155" t="s">
        <v>356</v>
      </c>
      <c r="E40" s="156"/>
    </row>
    <row r="41" spans="1:5" ht="18" customHeight="1" x14ac:dyDescent="0.35">
      <c r="A41" s="229" t="s">
        <v>243</v>
      </c>
      <c r="B41" s="229"/>
      <c r="C41" s="229"/>
      <c r="D41" s="229"/>
      <c r="E41" s="113"/>
    </row>
    <row r="42" spans="1:5" ht="30" customHeight="1" x14ac:dyDescent="0.35">
      <c r="A42" s="153" t="s">
        <v>357</v>
      </c>
      <c r="B42" s="154"/>
      <c r="C42" s="23" t="s">
        <v>15</v>
      </c>
      <c r="D42" s="155" t="s">
        <v>358</v>
      </c>
      <c r="E42" s="156"/>
    </row>
    <row r="43" spans="1:5" ht="30" customHeight="1" x14ac:dyDescent="0.35">
      <c r="A43" s="153" t="s">
        <v>359</v>
      </c>
      <c r="B43" s="154"/>
      <c r="C43" s="23" t="s">
        <v>15</v>
      </c>
      <c r="D43" s="155" t="s">
        <v>360</v>
      </c>
      <c r="E43" s="156"/>
    </row>
    <row r="44" spans="1:5" ht="30" customHeight="1" x14ac:dyDescent="0.35">
      <c r="A44" s="153" t="s">
        <v>361</v>
      </c>
      <c r="B44" s="154"/>
      <c r="C44" s="26" t="s">
        <v>322</v>
      </c>
      <c r="D44" s="155" t="s">
        <v>362</v>
      </c>
      <c r="E44" s="156"/>
    </row>
    <row r="45" spans="1:5" ht="30" customHeight="1" x14ac:dyDescent="0.35">
      <c r="A45" s="153" t="s">
        <v>363</v>
      </c>
      <c r="B45" s="154"/>
      <c r="C45" s="26" t="s">
        <v>322</v>
      </c>
      <c r="D45" s="155" t="s">
        <v>364</v>
      </c>
      <c r="E45" s="156"/>
    </row>
    <row r="46" spans="1:5" ht="30" customHeight="1" x14ac:dyDescent="0.35">
      <c r="A46" s="153" t="s">
        <v>365</v>
      </c>
      <c r="B46" s="154"/>
      <c r="C46" s="23" t="s">
        <v>15</v>
      </c>
      <c r="D46" s="155" t="s">
        <v>366</v>
      </c>
      <c r="E46" s="156"/>
    </row>
    <row r="47" spans="1:5" ht="30" customHeight="1" x14ac:dyDescent="0.35">
      <c r="A47" s="153" t="s">
        <v>367</v>
      </c>
      <c r="B47" s="154"/>
      <c r="C47" s="29" t="s">
        <v>21</v>
      </c>
      <c r="D47" s="155" t="s">
        <v>368</v>
      </c>
      <c r="E47" s="156"/>
    </row>
    <row r="48" spans="1:5" ht="30" customHeight="1" x14ac:dyDescent="0.35">
      <c r="A48" s="153" t="s">
        <v>369</v>
      </c>
      <c r="B48" s="154"/>
      <c r="C48" s="26" t="s">
        <v>322</v>
      </c>
      <c r="D48" s="155" t="s">
        <v>370</v>
      </c>
      <c r="E48" s="156"/>
    </row>
    <row r="50" spans="1:5" ht="21.75" customHeight="1" x14ac:dyDescent="0.35">
      <c r="A50" s="252" t="s">
        <v>371</v>
      </c>
      <c r="B50" s="252"/>
      <c r="C50" s="252"/>
      <c r="D50" s="252"/>
    </row>
    <row r="51" spans="1:5" ht="19.5" customHeight="1" x14ac:dyDescent="0.35">
      <c r="A51" s="226" t="s">
        <v>372</v>
      </c>
      <c r="B51" s="226"/>
      <c r="C51" s="226"/>
      <c r="D51" s="226"/>
    </row>
    <row r="52" spans="1:5" ht="21.75" customHeight="1" x14ac:dyDescent="0.35">
      <c r="A52" s="152" t="s">
        <v>373</v>
      </c>
      <c r="B52" s="152" t="s">
        <v>374</v>
      </c>
      <c r="C52" s="118" t="s">
        <v>375</v>
      </c>
      <c r="D52" s="118" t="s">
        <v>376</v>
      </c>
    </row>
    <row r="53" spans="1:5" ht="39.75" customHeight="1" x14ac:dyDescent="0.35">
      <c r="A53" s="85" t="s">
        <v>377</v>
      </c>
      <c r="B53" s="157"/>
      <c r="C53" s="158" t="s">
        <v>378</v>
      </c>
      <c r="D53" s="140"/>
    </row>
    <row r="54" spans="1:5" ht="39.75" customHeight="1" x14ac:dyDescent="0.35">
      <c r="A54" s="74" t="s">
        <v>379</v>
      </c>
      <c r="B54" s="157"/>
      <c r="C54" s="158" t="s">
        <v>380</v>
      </c>
      <c r="D54" s="140"/>
    </row>
    <row r="55" spans="1:5" ht="39.75" customHeight="1" x14ac:dyDescent="0.35">
      <c r="A55" s="85" t="s">
        <v>381</v>
      </c>
      <c r="B55" s="157"/>
      <c r="C55" s="158" t="s">
        <v>382</v>
      </c>
      <c r="D55" s="140"/>
    </row>
    <row r="56" spans="1:5" ht="39.75" customHeight="1" x14ac:dyDescent="0.35">
      <c r="A56" s="88" t="s">
        <v>383</v>
      </c>
      <c r="B56" s="157"/>
      <c r="C56" s="158" t="s">
        <v>384</v>
      </c>
      <c r="D56" s="140"/>
    </row>
    <row r="57" spans="1:5" ht="39.75" customHeight="1" x14ac:dyDescent="0.35">
      <c r="A57" s="89" t="s">
        <v>385</v>
      </c>
      <c r="B57" s="157"/>
      <c r="C57" s="158" t="s">
        <v>386</v>
      </c>
      <c r="D57" s="140"/>
    </row>
    <row r="58" spans="1:5" ht="39.75" customHeight="1" x14ac:dyDescent="0.35">
      <c r="A58" s="90" t="s">
        <v>387</v>
      </c>
      <c r="B58" s="157"/>
      <c r="C58" s="158" t="s">
        <v>388</v>
      </c>
      <c r="D58" s="140"/>
    </row>
    <row r="59" spans="1:5" ht="39.75" customHeight="1" x14ac:dyDescent="0.35">
      <c r="A59" s="91" t="s">
        <v>389</v>
      </c>
      <c r="B59" s="157"/>
      <c r="C59" s="158" t="s">
        <v>390</v>
      </c>
      <c r="D59" s="140"/>
    </row>
    <row r="60" spans="1:5" ht="36" customHeight="1" x14ac:dyDescent="0.35">
      <c r="A60" s="159" t="s">
        <v>391</v>
      </c>
      <c r="B60" s="160"/>
      <c r="C60" s="140"/>
      <c r="D60" s="140"/>
      <c r="E60" s="161"/>
    </row>
    <row r="61" spans="1:5" ht="36" customHeight="1" x14ac:dyDescent="0.35">
      <c r="A61" s="264" t="s">
        <v>392</v>
      </c>
      <c r="B61" s="264"/>
      <c r="C61" s="264"/>
      <c r="D61" s="264"/>
      <c r="E61" s="161"/>
    </row>
    <row r="62" spans="1:5" ht="36" customHeight="1" x14ac:dyDescent="0.35">
      <c r="A62" s="159" t="s">
        <v>393</v>
      </c>
      <c r="B62" s="160"/>
      <c r="C62" s="265"/>
      <c r="D62" s="265"/>
      <c r="E62" s="161"/>
    </row>
    <row r="63" spans="1:5" ht="36" customHeight="1" x14ac:dyDescent="0.35">
      <c r="A63" s="159" t="s">
        <v>394</v>
      </c>
      <c r="B63" s="160"/>
      <c r="C63" s="265"/>
      <c r="D63" s="265"/>
      <c r="E63" s="161"/>
    </row>
    <row r="64" spans="1:5" ht="36" customHeight="1" x14ac:dyDescent="0.35">
      <c r="A64" s="159" t="s">
        <v>395</v>
      </c>
      <c r="B64" s="160"/>
      <c r="C64" s="265"/>
      <c r="D64" s="265"/>
      <c r="E64" s="161"/>
    </row>
    <row r="65" spans="1:4" ht="27.75" customHeight="1" x14ac:dyDescent="0.35">
      <c r="C65" s="180"/>
      <c r="D65" s="180"/>
    </row>
    <row r="66" spans="1:4" ht="27.75" customHeight="1" x14ac:dyDescent="0.35">
      <c r="A66" s="139" t="s">
        <v>396</v>
      </c>
      <c r="C66" s="180"/>
      <c r="D66" s="180"/>
    </row>
    <row r="67" spans="1:4" ht="27.75" customHeight="1" x14ac:dyDescent="0.35">
      <c r="A67" s="61" t="s">
        <v>397</v>
      </c>
      <c r="B67" s="140"/>
      <c r="C67" s="253" t="s">
        <v>398</v>
      </c>
      <c r="D67" s="253"/>
    </row>
    <row r="68" spans="1:4" ht="27.75" customHeight="1" x14ac:dyDescent="0.35">
      <c r="A68" s="61" t="s">
        <v>399</v>
      </c>
      <c r="B68" s="140"/>
      <c r="C68" s="253" t="s">
        <v>400</v>
      </c>
      <c r="D68" s="253"/>
    </row>
    <row r="69" spans="1:4" ht="27.75" customHeight="1" x14ac:dyDescent="0.35">
      <c r="A69" s="61" t="s">
        <v>401</v>
      </c>
      <c r="B69" s="140"/>
      <c r="C69" s="253" t="s">
        <v>402</v>
      </c>
      <c r="D69" s="253"/>
    </row>
    <row r="70" spans="1:4" ht="27.75" customHeight="1" x14ac:dyDescent="0.35">
      <c r="A70" s="61" t="s">
        <v>403</v>
      </c>
      <c r="B70" s="140"/>
      <c r="C70" s="253" t="s">
        <v>404</v>
      </c>
      <c r="D70" s="253"/>
    </row>
    <row r="71" spans="1:4" ht="21.75" customHeight="1" x14ac:dyDescent="0.35">
      <c r="A71" s="61" t="s">
        <v>405</v>
      </c>
      <c r="B71" s="140"/>
      <c r="C71" s="141" t="s">
        <v>406</v>
      </c>
    </row>
    <row r="72" spans="1:4" ht="21.75" customHeight="1" x14ac:dyDescent="0.35">
      <c r="A72" s="266" t="s">
        <v>285</v>
      </c>
      <c r="B72" s="266"/>
      <c r="C72" s="266"/>
      <c r="D72" s="266"/>
    </row>
    <row r="73" spans="1:4" ht="25.5" customHeight="1" x14ac:dyDescent="0.35">
      <c r="A73" s="61" t="s">
        <v>407</v>
      </c>
      <c r="B73" s="140"/>
      <c r="C73" s="253" t="s">
        <v>408</v>
      </c>
      <c r="D73" s="253"/>
    </row>
    <row r="74" spans="1:4" ht="25.5" customHeight="1" x14ac:dyDescent="0.35">
      <c r="A74" s="61" t="s">
        <v>409</v>
      </c>
      <c r="B74" s="140"/>
      <c r="C74" s="253" t="s">
        <v>410</v>
      </c>
      <c r="D74" s="253"/>
    </row>
    <row r="75" spans="1:4" ht="25.5" customHeight="1" x14ac:dyDescent="0.35">
      <c r="A75" s="61" t="s">
        <v>411</v>
      </c>
      <c r="B75" s="140"/>
      <c r="C75" s="253" t="s">
        <v>412</v>
      </c>
      <c r="D75" s="253"/>
    </row>
    <row r="76" spans="1:4" ht="25.5" customHeight="1" x14ac:dyDescent="0.35">
      <c r="C76" s="180"/>
      <c r="D76" s="180"/>
    </row>
    <row r="77" spans="1:4" ht="25.5" customHeight="1" x14ac:dyDescent="0.35">
      <c r="A77" s="139" t="s">
        <v>413</v>
      </c>
      <c r="C77" s="180"/>
      <c r="D77" s="180"/>
    </row>
    <row r="78" spans="1:4" ht="25.5" customHeight="1" x14ac:dyDescent="0.35">
      <c r="A78" s="61" t="s">
        <v>414</v>
      </c>
      <c r="B78" s="140"/>
      <c r="C78" s="253" t="s">
        <v>415</v>
      </c>
      <c r="D78" s="253"/>
    </row>
    <row r="79" spans="1:4" ht="25.5" customHeight="1" x14ac:dyDescent="0.35">
      <c r="A79" s="61" t="s">
        <v>416</v>
      </c>
      <c r="B79" s="140"/>
      <c r="C79" s="253" t="s">
        <v>417</v>
      </c>
      <c r="D79" s="253"/>
    </row>
    <row r="80" spans="1:4" ht="25.5" customHeight="1" x14ac:dyDescent="0.35">
      <c r="A80" s="61" t="s">
        <v>418</v>
      </c>
      <c r="B80" s="140"/>
      <c r="C80" s="253" t="s">
        <v>419</v>
      </c>
      <c r="D80" s="253"/>
    </row>
    <row r="81" spans="1:4" ht="25.5" customHeight="1" x14ac:dyDescent="0.35">
      <c r="A81" s="61" t="s">
        <v>420</v>
      </c>
      <c r="B81" s="140"/>
      <c r="C81" s="253" t="s">
        <v>421</v>
      </c>
      <c r="D81" s="253"/>
    </row>
    <row r="82" spans="1:4" ht="34.5" customHeight="1" x14ac:dyDescent="0.35">
      <c r="A82" s="61" t="s">
        <v>422</v>
      </c>
      <c r="B82" s="140"/>
      <c r="C82" s="141" t="s">
        <v>423</v>
      </c>
    </row>
    <row r="83" spans="1:4" ht="24" customHeight="1" x14ac:dyDescent="0.35">
      <c r="A83" s="266" t="s">
        <v>424</v>
      </c>
      <c r="B83" s="266"/>
      <c r="C83" s="266"/>
      <c r="D83" s="266"/>
    </row>
    <row r="84" spans="1:4" ht="24" customHeight="1" x14ac:dyDescent="0.35">
      <c r="A84" s="61" t="s">
        <v>425</v>
      </c>
      <c r="B84" s="267"/>
      <c r="C84" s="267"/>
      <c r="D84" s="267"/>
    </row>
    <row r="85" spans="1:4" ht="43.5" customHeight="1" x14ac:dyDescent="0.35">
      <c r="A85" s="266" t="s">
        <v>426</v>
      </c>
      <c r="B85" s="266"/>
      <c r="C85" s="266"/>
      <c r="D85" s="266"/>
    </row>
    <row r="86" spans="1:4" ht="24" customHeight="1" x14ac:dyDescent="0.35">
      <c r="A86" s="61" t="s">
        <v>427</v>
      </c>
      <c r="B86" s="267"/>
      <c r="C86" s="267"/>
      <c r="D86" s="267"/>
    </row>
    <row r="87" spans="1:4" ht="43.5" customHeight="1" x14ac:dyDescent="0.35">
      <c r="A87" s="180"/>
      <c r="B87" s="180"/>
      <c r="C87" s="180"/>
      <c r="D87" s="180"/>
    </row>
    <row r="88" spans="1:4" ht="24" customHeight="1" x14ac:dyDescent="0.35">
      <c r="A88" s="162" t="s">
        <v>428</v>
      </c>
      <c r="B88" s="180"/>
      <c r="C88" s="180"/>
      <c r="D88" s="180"/>
    </row>
    <row r="89" spans="1:4" ht="43.5" customHeight="1" x14ac:dyDescent="0.35">
      <c r="A89" s="268" t="s">
        <v>429</v>
      </c>
      <c r="B89" s="268"/>
      <c r="C89" s="268"/>
      <c r="D89" s="268"/>
    </row>
    <row r="90" spans="1:4" ht="24" customHeight="1" x14ac:dyDescent="0.35">
      <c r="A90" s="151"/>
      <c r="B90" s="180"/>
      <c r="C90" s="180"/>
      <c r="D90" s="180"/>
    </row>
    <row r="91" spans="1:4" ht="43.5" customHeight="1" x14ac:dyDescent="0.35">
      <c r="A91" s="268" t="s">
        <v>430</v>
      </c>
      <c r="B91" s="268"/>
      <c r="C91" s="268"/>
      <c r="D91" s="268"/>
    </row>
    <row r="92" spans="1:4" ht="15" customHeight="1" x14ac:dyDescent="0.35">
      <c r="A92" s="151"/>
    </row>
    <row r="93" spans="1:4" ht="23.25" customHeight="1" x14ac:dyDescent="0.35">
      <c r="A93" s="96" t="s">
        <v>431</v>
      </c>
      <c r="B93" s="163" t="s">
        <v>432</v>
      </c>
    </row>
    <row r="94" spans="1:4" ht="15" customHeight="1" x14ac:dyDescent="0.35">
      <c r="A94" s="151"/>
    </row>
    <row r="95" spans="1:4" ht="23.25" customHeight="1" x14ac:dyDescent="0.35">
      <c r="A95" s="96" t="s">
        <v>433</v>
      </c>
      <c r="B95" s="163" t="s">
        <v>434</v>
      </c>
    </row>
    <row r="96" spans="1:4" ht="15" customHeight="1" x14ac:dyDescent="0.35">
      <c r="A96" s="151"/>
    </row>
    <row r="99" spans="1:5" ht="33.75" customHeight="1" x14ac:dyDescent="0.35">
      <c r="A99" s="269" t="s">
        <v>602</v>
      </c>
      <c r="B99" s="269"/>
      <c r="C99" s="269"/>
      <c r="D99" s="269"/>
      <c r="E99" s="269"/>
    </row>
    <row r="100" spans="1:5" ht="24" customHeight="1" x14ac:dyDescent="0.35">
      <c r="A100" s="270" t="s">
        <v>436</v>
      </c>
      <c r="B100" s="270"/>
      <c r="C100" s="270"/>
      <c r="D100" s="270"/>
      <c r="E100" s="270"/>
    </row>
    <row r="101" spans="1:5" ht="25.5" customHeight="1" x14ac:dyDescent="0.35">
      <c r="A101" s="271" t="s">
        <v>437</v>
      </c>
      <c r="B101" s="271"/>
      <c r="C101" s="271"/>
      <c r="D101" s="271"/>
      <c r="E101" s="271"/>
    </row>
    <row r="102" spans="1:5" ht="27.75" customHeight="1" x14ac:dyDescent="0.35">
      <c r="A102" s="61" t="s">
        <v>438</v>
      </c>
      <c r="B102" s="164"/>
      <c r="C102" s="253" t="s">
        <v>439</v>
      </c>
      <c r="D102" s="253"/>
      <c r="E102" s="253"/>
    </row>
    <row r="103" spans="1:5" ht="27.75" customHeight="1" x14ac:dyDescent="0.35">
      <c r="A103" s="61" t="s">
        <v>440</v>
      </c>
      <c r="B103" s="164"/>
      <c r="C103" s="253" t="s">
        <v>441</v>
      </c>
      <c r="D103" s="253"/>
      <c r="E103" s="253"/>
    </row>
    <row r="104" spans="1:5" ht="27.75" customHeight="1" x14ac:dyDescent="0.35">
      <c r="A104" s="61" t="s">
        <v>442</v>
      </c>
      <c r="B104" s="165"/>
      <c r="C104" s="253" t="s">
        <v>443</v>
      </c>
      <c r="D104" s="253"/>
      <c r="E104" s="253"/>
    </row>
    <row r="105" spans="1:5" ht="27.75" customHeight="1" x14ac:dyDescent="0.35">
      <c r="A105" s="61" t="s">
        <v>444</v>
      </c>
      <c r="B105" s="164"/>
      <c r="C105" s="253" t="s">
        <v>445</v>
      </c>
      <c r="D105" s="253"/>
      <c r="E105" s="253"/>
    </row>
    <row r="106" spans="1:5" ht="27.75" customHeight="1" x14ac:dyDescent="0.35">
      <c r="A106" s="61" t="s">
        <v>446</v>
      </c>
      <c r="B106" s="165"/>
      <c r="C106" s="253" t="s">
        <v>447</v>
      </c>
      <c r="D106" s="253"/>
      <c r="E106" s="253"/>
    </row>
    <row r="107" spans="1:5" ht="27.75" customHeight="1" x14ac:dyDescent="0.35">
      <c r="A107" s="61" t="s">
        <v>448</v>
      </c>
      <c r="B107" s="164"/>
      <c r="C107" s="253" t="s">
        <v>449</v>
      </c>
      <c r="D107" s="253"/>
      <c r="E107" s="253"/>
    </row>
    <row r="108" spans="1:5" ht="27.75" customHeight="1" x14ac:dyDescent="0.35">
      <c r="A108" s="61" t="s">
        <v>450</v>
      </c>
      <c r="B108" s="165"/>
      <c r="C108" s="253" t="s">
        <v>451</v>
      </c>
      <c r="D108" s="253"/>
      <c r="E108" s="253"/>
    </row>
    <row r="109" spans="1:5" ht="27.75" customHeight="1" x14ac:dyDescent="0.35">
      <c r="A109" s="61" t="s">
        <v>452</v>
      </c>
      <c r="B109" s="164"/>
      <c r="C109" s="253" t="s">
        <v>453</v>
      </c>
      <c r="D109" s="253"/>
      <c r="E109" s="253"/>
    </row>
    <row r="110" spans="1:5" ht="27.75" customHeight="1" x14ac:dyDescent="0.35">
      <c r="A110" s="61" t="s">
        <v>454</v>
      </c>
      <c r="B110" s="165"/>
      <c r="C110" s="253" t="s">
        <v>455</v>
      </c>
      <c r="D110" s="253"/>
      <c r="E110" s="253"/>
    </row>
    <row r="111" spans="1:5" ht="27.75" customHeight="1" x14ac:dyDescent="0.35">
      <c r="A111" s="61" t="s">
        <v>456</v>
      </c>
      <c r="B111" s="165"/>
      <c r="C111" s="253" t="s">
        <v>457</v>
      </c>
      <c r="D111" s="253"/>
      <c r="E111" s="253"/>
    </row>
    <row r="113" spans="1:5" ht="25.5" customHeight="1" x14ac:dyDescent="0.35">
      <c r="A113" s="272" t="s">
        <v>458</v>
      </c>
      <c r="B113" s="272"/>
      <c r="C113" s="272"/>
      <c r="D113" s="272"/>
      <c r="E113" s="272"/>
    </row>
    <row r="114" spans="1:5" ht="21.75" customHeight="1" x14ac:dyDescent="0.35">
      <c r="A114" s="273" t="s">
        <v>459</v>
      </c>
      <c r="B114" s="273"/>
      <c r="C114" s="273"/>
      <c r="D114" s="273"/>
      <c r="E114" s="273"/>
    </row>
    <row r="115" spans="1:5" ht="25.5" customHeight="1" x14ac:dyDescent="0.35">
      <c r="A115" s="96" t="s">
        <v>460</v>
      </c>
      <c r="B115" s="274" t="s">
        <v>461</v>
      </c>
      <c r="C115" s="274"/>
      <c r="D115" s="274"/>
      <c r="E115" s="274"/>
    </row>
    <row r="116" spans="1:5" ht="43.5" customHeight="1" x14ac:dyDescent="0.35">
      <c r="A116" s="275"/>
      <c r="B116" s="275"/>
      <c r="C116" s="275"/>
      <c r="D116" s="275"/>
      <c r="E116" s="275"/>
    </row>
    <row r="117" spans="1:5" ht="25.5" customHeight="1" x14ac:dyDescent="0.35">
      <c r="A117" s="96" t="s">
        <v>462</v>
      </c>
      <c r="B117" s="274" t="s">
        <v>463</v>
      </c>
      <c r="C117" s="274"/>
      <c r="D117" s="274"/>
      <c r="E117" s="274"/>
    </row>
    <row r="118" spans="1:5" ht="43.5" customHeight="1" x14ac:dyDescent="0.35">
      <c r="A118" s="275"/>
      <c r="B118" s="275"/>
      <c r="C118" s="275"/>
      <c r="D118" s="275"/>
      <c r="E118" s="275"/>
    </row>
    <row r="119" spans="1:5" ht="25.5" customHeight="1" x14ac:dyDescent="0.35">
      <c r="A119" s="96" t="s">
        <v>464</v>
      </c>
      <c r="B119" s="274" t="s">
        <v>465</v>
      </c>
      <c r="C119" s="274"/>
      <c r="D119" s="274"/>
      <c r="E119" s="274"/>
    </row>
    <row r="120" spans="1:5" ht="43.5" customHeight="1" x14ac:dyDescent="0.35">
      <c r="A120" s="275"/>
      <c r="B120" s="275"/>
      <c r="C120" s="275"/>
      <c r="D120" s="275"/>
      <c r="E120" s="275"/>
    </row>
    <row r="121" spans="1:5" ht="25.5" customHeight="1" x14ac:dyDescent="0.35">
      <c r="A121" s="96" t="s">
        <v>466</v>
      </c>
      <c r="B121" s="274" t="s">
        <v>467</v>
      </c>
      <c r="C121" s="274"/>
      <c r="D121" s="274"/>
      <c r="E121" s="274"/>
    </row>
    <row r="122" spans="1:5" ht="43.5" customHeight="1" x14ac:dyDescent="0.35">
      <c r="A122" s="275"/>
      <c r="B122" s="275"/>
      <c r="C122" s="275"/>
      <c r="D122" s="275"/>
      <c r="E122" s="275"/>
    </row>
    <row r="123" spans="1:5" ht="25.5" customHeight="1" x14ac:dyDescent="0.35">
      <c r="A123" s="96" t="s">
        <v>468</v>
      </c>
      <c r="B123" s="274" t="s">
        <v>469</v>
      </c>
      <c r="C123" s="274"/>
      <c r="D123" s="274"/>
      <c r="E123" s="274"/>
    </row>
    <row r="124" spans="1:5" ht="43.5" customHeight="1" x14ac:dyDescent="0.35">
      <c r="A124" s="275"/>
      <c r="B124" s="275"/>
      <c r="C124" s="275"/>
      <c r="D124" s="275"/>
      <c r="E124" s="275"/>
    </row>
    <row r="125" spans="1:5" ht="25.5" customHeight="1" x14ac:dyDescent="0.35">
      <c r="A125" s="96" t="s">
        <v>470</v>
      </c>
      <c r="B125" s="274" t="s">
        <v>471</v>
      </c>
      <c r="C125" s="274"/>
      <c r="D125" s="274"/>
      <c r="E125" s="274"/>
    </row>
    <row r="126" spans="1:5" ht="43.5" customHeight="1" x14ac:dyDescent="0.35">
      <c r="A126" s="275"/>
      <c r="B126" s="275"/>
      <c r="C126" s="275"/>
      <c r="D126" s="275"/>
      <c r="E126" s="275"/>
    </row>
    <row r="128" spans="1:5" ht="25.5" customHeight="1" x14ac:dyDescent="0.35">
      <c r="A128" s="276" t="s">
        <v>472</v>
      </c>
      <c r="B128" s="276"/>
      <c r="C128" s="276"/>
      <c r="D128" s="276"/>
      <c r="E128" s="276"/>
    </row>
    <row r="129" spans="1:5" ht="21.75" customHeight="1" x14ac:dyDescent="0.35">
      <c r="A129" s="277" t="s">
        <v>473</v>
      </c>
      <c r="B129" s="277"/>
      <c r="C129" s="277"/>
      <c r="D129" s="277"/>
      <c r="E129" s="277"/>
    </row>
    <row r="130" spans="1:5" ht="27.75" customHeight="1" x14ac:dyDescent="0.35">
      <c r="A130" s="74" t="s">
        <v>474</v>
      </c>
      <c r="B130" s="165"/>
      <c r="C130" s="253" t="s">
        <v>475</v>
      </c>
      <c r="D130" s="253"/>
      <c r="E130" s="253"/>
    </row>
    <row r="131" spans="1:5" ht="27.75" customHeight="1" x14ac:dyDescent="0.35">
      <c r="A131" s="74" t="s">
        <v>476</v>
      </c>
      <c r="B131" s="165"/>
      <c r="C131" s="253" t="s">
        <v>477</v>
      </c>
      <c r="D131" s="253"/>
      <c r="E131" s="253"/>
    </row>
    <row r="132" spans="1:5" ht="27.75" customHeight="1" x14ac:dyDescent="0.35">
      <c r="A132" s="74" t="s">
        <v>478</v>
      </c>
      <c r="B132" s="164"/>
      <c r="C132" s="253" t="s">
        <v>479</v>
      </c>
      <c r="D132" s="253"/>
      <c r="E132" s="253"/>
    </row>
    <row r="133" spans="1:5" ht="27.75" customHeight="1" x14ac:dyDescent="0.35">
      <c r="A133" s="74" t="s">
        <v>480</v>
      </c>
      <c r="B133" s="164"/>
      <c r="C133" s="253" t="s">
        <v>481</v>
      </c>
      <c r="D133" s="253"/>
      <c r="E133" s="253"/>
    </row>
    <row r="134" spans="1:5" ht="27.75" customHeight="1" x14ac:dyDescent="0.35">
      <c r="A134" s="74" t="s">
        <v>482</v>
      </c>
      <c r="B134" s="164"/>
      <c r="C134" s="253" t="s">
        <v>483</v>
      </c>
      <c r="D134" s="253"/>
      <c r="E134" s="253"/>
    </row>
    <row r="135" spans="1:5" ht="27.75" customHeight="1" x14ac:dyDescent="0.35">
      <c r="A135" s="74" t="s">
        <v>484</v>
      </c>
      <c r="B135" s="164"/>
      <c r="C135" s="253" t="s">
        <v>485</v>
      </c>
      <c r="D135" s="253"/>
      <c r="E135" s="253"/>
    </row>
    <row r="136" spans="1:5" ht="27.75" customHeight="1" x14ac:dyDescent="0.35">
      <c r="A136" s="74" t="s">
        <v>486</v>
      </c>
      <c r="B136" s="164"/>
      <c r="C136" s="253" t="s">
        <v>487</v>
      </c>
      <c r="D136" s="253"/>
      <c r="E136" s="253"/>
    </row>
    <row r="137" spans="1:5" ht="27.75" customHeight="1" x14ac:dyDescent="0.35">
      <c r="A137" s="74" t="s">
        <v>488</v>
      </c>
      <c r="B137" s="165"/>
      <c r="C137" s="253" t="s">
        <v>489</v>
      </c>
      <c r="D137" s="253"/>
      <c r="E137" s="253"/>
    </row>
    <row r="139" spans="1:5" ht="25.5" customHeight="1" x14ac:dyDescent="0.35">
      <c r="A139" s="278" t="s">
        <v>490</v>
      </c>
      <c r="B139" s="278"/>
      <c r="C139" s="278"/>
      <c r="D139" s="278"/>
      <c r="E139" s="278"/>
    </row>
    <row r="140" spans="1:5" ht="27.75" customHeight="1" x14ac:dyDescent="0.35">
      <c r="A140" s="166" t="s">
        <v>491</v>
      </c>
      <c r="B140" s="164"/>
      <c r="C140" s="253" t="s">
        <v>492</v>
      </c>
      <c r="D140" s="253"/>
      <c r="E140" s="253"/>
    </row>
    <row r="141" spans="1:5" ht="27.75" customHeight="1" x14ac:dyDescent="0.35">
      <c r="A141" s="166" t="s">
        <v>493</v>
      </c>
      <c r="B141" s="164"/>
      <c r="C141" s="253" t="s">
        <v>494</v>
      </c>
      <c r="D141" s="253"/>
      <c r="E141" s="253"/>
    </row>
    <row r="142" spans="1:5" ht="27.75" customHeight="1" x14ac:dyDescent="0.35">
      <c r="A142" s="166" t="s">
        <v>495</v>
      </c>
      <c r="B142" s="164"/>
      <c r="C142" s="253" t="s">
        <v>496</v>
      </c>
      <c r="D142" s="253"/>
      <c r="E142" s="253"/>
    </row>
    <row r="143" spans="1:5" ht="27.75" customHeight="1" x14ac:dyDescent="0.35">
      <c r="A143" s="166" t="s">
        <v>497</v>
      </c>
      <c r="B143" s="165"/>
      <c r="C143" s="253" t="s">
        <v>498</v>
      </c>
      <c r="D143" s="253"/>
      <c r="E143" s="253"/>
    </row>
    <row r="144" spans="1:5" ht="27.75" customHeight="1" x14ac:dyDescent="0.35">
      <c r="A144" s="166" t="s">
        <v>499</v>
      </c>
      <c r="B144" s="164"/>
      <c r="C144" s="253" t="s">
        <v>500</v>
      </c>
      <c r="D144" s="253"/>
      <c r="E144" s="253"/>
    </row>
    <row r="145" spans="1:5" ht="27.75" customHeight="1" x14ac:dyDescent="0.35">
      <c r="A145" s="166" t="s">
        <v>501</v>
      </c>
      <c r="B145" s="164"/>
      <c r="C145" s="253" t="s">
        <v>502</v>
      </c>
      <c r="D145" s="253"/>
      <c r="E145" s="253"/>
    </row>
    <row r="146" spans="1:5" ht="27.75" customHeight="1" x14ac:dyDescent="0.35">
      <c r="A146" s="166" t="s">
        <v>503</v>
      </c>
      <c r="B146" s="165"/>
      <c r="C146" s="253" t="s">
        <v>504</v>
      </c>
      <c r="D146" s="253"/>
      <c r="E146" s="253"/>
    </row>
    <row r="148" spans="1:5" ht="25.5" customHeight="1" x14ac:dyDescent="0.35">
      <c r="A148" s="279" t="s">
        <v>505</v>
      </c>
      <c r="B148" s="279"/>
      <c r="C148" s="279"/>
      <c r="D148" s="279"/>
      <c r="E148" s="279"/>
    </row>
    <row r="149" spans="1:5" ht="21.75" customHeight="1" x14ac:dyDescent="0.35">
      <c r="A149" s="280" t="s">
        <v>506</v>
      </c>
      <c r="B149" s="280"/>
      <c r="C149" s="280"/>
      <c r="D149" s="280"/>
      <c r="E149" s="280"/>
    </row>
    <row r="150" spans="1:5" ht="25.5" customHeight="1" x14ac:dyDescent="0.35">
      <c r="A150" s="167" t="s">
        <v>507</v>
      </c>
      <c r="B150" s="281" t="s">
        <v>508</v>
      </c>
      <c r="C150" s="281"/>
      <c r="D150" s="281"/>
      <c r="E150" s="281"/>
    </row>
    <row r="151" spans="1:5" ht="43.5" customHeight="1" x14ac:dyDescent="0.35">
      <c r="A151" s="282"/>
      <c r="B151" s="282"/>
      <c r="C151" s="282"/>
      <c r="D151" s="282"/>
      <c r="E151" s="282"/>
    </row>
    <row r="152" spans="1:5" ht="25.5" customHeight="1" x14ac:dyDescent="0.35">
      <c r="A152" s="167" t="s">
        <v>509</v>
      </c>
      <c r="B152" s="281" t="s">
        <v>510</v>
      </c>
      <c r="C152" s="281"/>
      <c r="D152" s="281"/>
      <c r="E152" s="281"/>
    </row>
    <row r="153" spans="1:5" ht="43.5" customHeight="1" x14ac:dyDescent="0.35">
      <c r="A153" s="282"/>
      <c r="B153" s="282"/>
      <c r="C153" s="282"/>
      <c r="D153" s="282"/>
      <c r="E153" s="282"/>
    </row>
    <row r="154" spans="1:5" ht="25.5" customHeight="1" x14ac:dyDescent="0.35">
      <c r="A154" s="167" t="s">
        <v>511</v>
      </c>
      <c r="B154" s="281" t="s">
        <v>512</v>
      </c>
      <c r="C154" s="281"/>
      <c r="D154" s="281"/>
      <c r="E154" s="281"/>
    </row>
    <row r="155" spans="1:5" ht="43.5" customHeight="1" x14ac:dyDescent="0.35">
      <c r="A155" s="282"/>
      <c r="B155" s="282"/>
      <c r="C155" s="282"/>
      <c r="D155" s="282"/>
      <c r="E155" s="282"/>
    </row>
    <row r="156" spans="1:5" ht="25.5" customHeight="1" x14ac:dyDescent="0.35">
      <c r="A156" s="167" t="s">
        <v>513</v>
      </c>
      <c r="B156" s="281" t="s">
        <v>514</v>
      </c>
      <c r="C156" s="281"/>
      <c r="D156" s="281"/>
      <c r="E156" s="281"/>
    </row>
    <row r="157" spans="1:5" ht="43.5" customHeight="1" x14ac:dyDescent="0.35">
      <c r="A157" s="282"/>
      <c r="B157" s="282"/>
      <c r="C157" s="282"/>
      <c r="D157" s="282"/>
      <c r="E157" s="282"/>
    </row>
    <row r="158" spans="1:5" ht="25.5" customHeight="1" x14ac:dyDescent="0.35">
      <c r="A158" s="167" t="s">
        <v>515</v>
      </c>
      <c r="B158" s="281" t="s">
        <v>516</v>
      </c>
      <c r="C158" s="281"/>
      <c r="D158" s="281"/>
      <c r="E158" s="281"/>
    </row>
    <row r="159" spans="1:5" ht="43.5" customHeight="1" x14ac:dyDescent="0.35">
      <c r="A159" s="282"/>
      <c r="B159" s="282"/>
      <c r="C159" s="282"/>
      <c r="D159" s="282"/>
      <c r="E159" s="282"/>
    </row>
    <row r="160" spans="1:5" ht="25.5" customHeight="1" x14ac:dyDescent="0.35">
      <c r="A160" s="167" t="s">
        <v>517</v>
      </c>
      <c r="B160" s="281" t="s">
        <v>518</v>
      </c>
      <c r="C160" s="281"/>
      <c r="D160" s="281"/>
      <c r="E160" s="281"/>
    </row>
    <row r="161" spans="1:5" ht="43.5" customHeight="1" x14ac:dyDescent="0.35">
      <c r="A161" s="282"/>
      <c r="B161" s="282"/>
      <c r="C161" s="282"/>
      <c r="D161" s="282"/>
      <c r="E161" s="282"/>
    </row>
    <row r="164" spans="1:5" ht="33.75" customHeight="1" x14ac:dyDescent="0.35">
      <c r="A164" s="283" t="s">
        <v>603</v>
      </c>
      <c r="B164" s="283"/>
      <c r="C164" s="283"/>
      <c r="D164" s="283"/>
      <c r="E164" s="283"/>
    </row>
    <row r="165" spans="1:5" ht="24" customHeight="1" x14ac:dyDescent="0.35">
      <c r="A165" s="284" t="s">
        <v>520</v>
      </c>
      <c r="B165" s="284"/>
      <c r="C165" s="284"/>
      <c r="D165" s="284"/>
      <c r="E165" s="284"/>
    </row>
    <row r="166" spans="1:5" ht="25.5" customHeight="1" x14ac:dyDescent="0.35">
      <c r="A166" s="279" t="s">
        <v>521</v>
      </c>
      <c r="B166" s="279"/>
      <c r="C166" s="279"/>
      <c r="D166" s="279"/>
      <c r="E166" s="279"/>
    </row>
    <row r="167" spans="1:5" ht="21.75" customHeight="1" x14ac:dyDescent="0.35">
      <c r="A167" s="168" t="s">
        <v>522</v>
      </c>
      <c r="B167" s="285" t="s">
        <v>523</v>
      </c>
      <c r="C167" s="285"/>
      <c r="D167" s="285"/>
      <c r="E167" s="285"/>
    </row>
    <row r="168" spans="1:5" ht="27.75" customHeight="1" x14ac:dyDescent="0.35">
      <c r="A168" s="169" t="s">
        <v>524</v>
      </c>
      <c r="B168" s="286" t="s">
        <v>525</v>
      </c>
      <c r="C168" s="286"/>
      <c r="D168" s="286"/>
      <c r="E168" s="286"/>
    </row>
    <row r="169" spans="1:5" ht="27.75" customHeight="1" x14ac:dyDescent="0.35">
      <c r="A169" s="170" t="s">
        <v>526</v>
      </c>
      <c r="B169" s="287" t="s">
        <v>527</v>
      </c>
      <c r="C169" s="287"/>
      <c r="D169" s="287"/>
      <c r="E169" s="287"/>
    </row>
    <row r="170" spans="1:5" ht="27.75" customHeight="1" x14ac:dyDescent="0.35">
      <c r="A170" s="171" t="s">
        <v>528</v>
      </c>
      <c r="B170" s="288" t="s">
        <v>529</v>
      </c>
      <c r="C170" s="288"/>
      <c r="D170" s="288"/>
      <c r="E170" s="288"/>
    </row>
    <row r="171" spans="1:5" ht="27.75" customHeight="1" x14ac:dyDescent="0.35">
      <c r="A171" s="172" t="s">
        <v>530</v>
      </c>
      <c r="B171" s="289" t="s">
        <v>531</v>
      </c>
      <c r="C171" s="289"/>
      <c r="D171" s="289"/>
      <c r="E171" s="289"/>
    </row>
    <row r="172" spans="1:5" ht="27.75" customHeight="1" x14ac:dyDescent="0.35">
      <c r="A172" s="173" t="s">
        <v>532</v>
      </c>
      <c r="B172" s="290" t="s">
        <v>533</v>
      </c>
      <c r="C172" s="290"/>
      <c r="D172" s="290"/>
      <c r="E172" s="290"/>
    </row>
    <row r="174" spans="1:5" ht="30" customHeight="1" x14ac:dyDescent="0.35">
      <c r="A174" s="61" t="s">
        <v>534</v>
      </c>
      <c r="B174" s="164"/>
      <c r="C174" s="253" t="s">
        <v>535</v>
      </c>
      <c r="D174" s="253"/>
      <c r="E174" s="253"/>
    </row>
    <row r="175" spans="1:5" ht="30" customHeight="1" x14ac:dyDescent="0.35">
      <c r="A175" s="61" t="s">
        <v>536</v>
      </c>
      <c r="B175" s="164"/>
      <c r="C175" s="253" t="s">
        <v>537</v>
      </c>
      <c r="D175" s="253"/>
      <c r="E175" s="253"/>
    </row>
    <row r="176" spans="1:5" ht="30" customHeight="1" x14ac:dyDescent="0.35">
      <c r="A176" s="61" t="s">
        <v>538</v>
      </c>
      <c r="B176" s="164"/>
      <c r="C176" s="253" t="s">
        <v>539</v>
      </c>
      <c r="D176" s="253"/>
      <c r="E176" s="253"/>
    </row>
    <row r="177" spans="1:5" ht="30" customHeight="1" x14ac:dyDescent="0.35">
      <c r="A177" s="61" t="s">
        <v>540</v>
      </c>
      <c r="B177" s="164"/>
      <c r="C177" s="253" t="s">
        <v>541</v>
      </c>
      <c r="D177" s="253"/>
      <c r="E177" s="253"/>
    </row>
    <row r="179" spans="1:5" ht="25.5" customHeight="1" x14ac:dyDescent="0.35">
      <c r="A179" s="291" t="s">
        <v>542</v>
      </c>
      <c r="B179" s="291"/>
      <c r="C179" s="291"/>
      <c r="D179" s="291"/>
      <c r="E179" s="291"/>
    </row>
    <row r="180" spans="1:5" ht="19.5" customHeight="1" x14ac:dyDescent="0.35">
      <c r="A180" s="292" t="s">
        <v>543</v>
      </c>
      <c r="B180" s="292"/>
      <c r="C180" s="292"/>
      <c r="D180" s="292"/>
      <c r="E180" s="292"/>
    </row>
    <row r="181" spans="1:5" ht="30" customHeight="1" x14ac:dyDescent="0.35">
      <c r="A181" s="74" t="s">
        <v>544</v>
      </c>
      <c r="B181" s="174"/>
      <c r="C181" s="253" t="s">
        <v>545</v>
      </c>
      <c r="D181" s="253"/>
      <c r="E181" s="253"/>
    </row>
    <row r="182" spans="1:5" ht="30" customHeight="1" x14ac:dyDescent="0.35">
      <c r="A182" s="74" t="s">
        <v>546</v>
      </c>
      <c r="B182" s="174"/>
      <c r="C182" s="253" t="s">
        <v>547</v>
      </c>
      <c r="D182" s="253"/>
      <c r="E182" s="253"/>
    </row>
    <row r="183" spans="1:5" ht="30" customHeight="1" x14ac:dyDescent="0.35">
      <c r="A183" s="74" t="s">
        <v>548</v>
      </c>
      <c r="B183" s="174"/>
      <c r="C183" s="253" t="s">
        <v>549</v>
      </c>
      <c r="D183" s="253"/>
      <c r="E183" s="253"/>
    </row>
    <row r="184" spans="1:5" ht="30" customHeight="1" x14ac:dyDescent="0.35">
      <c r="A184" s="74" t="s">
        <v>550</v>
      </c>
      <c r="B184" s="174"/>
      <c r="C184" s="253" t="s">
        <v>551</v>
      </c>
      <c r="D184" s="253"/>
      <c r="E184" s="253"/>
    </row>
    <row r="185" spans="1:5" ht="30" customHeight="1" x14ac:dyDescent="0.35">
      <c r="A185" s="74" t="s">
        <v>552</v>
      </c>
      <c r="B185" s="174"/>
      <c r="C185" s="253" t="s">
        <v>553</v>
      </c>
      <c r="D185" s="253"/>
      <c r="E185" s="253"/>
    </row>
    <row r="186" spans="1:5" ht="30" customHeight="1" x14ac:dyDescent="0.35">
      <c r="A186" s="74" t="s">
        <v>554</v>
      </c>
      <c r="B186" s="174"/>
      <c r="C186" s="253" t="s">
        <v>555</v>
      </c>
      <c r="D186" s="253"/>
      <c r="E186" s="253"/>
    </row>
    <row r="187" spans="1:5" ht="30" customHeight="1" x14ac:dyDescent="0.35">
      <c r="A187" s="74" t="s">
        <v>556</v>
      </c>
      <c r="B187" s="174"/>
      <c r="C187" s="253" t="s">
        <v>557</v>
      </c>
      <c r="D187" s="253"/>
      <c r="E187" s="253"/>
    </row>
    <row r="188" spans="1:5" ht="30" customHeight="1" x14ac:dyDescent="0.35">
      <c r="A188" s="74" t="s">
        <v>558</v>
      </c>
      <c r="B188" s="174"/>
      <c r="C188" s="253" t="s">
        <v>559</v>
      </c>
      <c r="D188" s="253"/>
      <c r="E188" s="253"/>
    </row>
    <row r="189" spans="1:5" ht="30" customHeight="1" x14ac:dyDescent="0.35">
      <c r="A189" s="74" t="s">
        <v>560</v>
      </c>
      <c r="B189" s="174"/>
      <c r="C189" s="253" t="s">
        <v>561</v>
      </c>
      <c r="D189" s="253"/>
      <c r="E189" s="253"/>
    </row>
    <row r="190" spans="1:5" ht="30" customHeight="1" x14ac:dyDescent="0.35">
      <c r="A190" s="74" t="s">
        <v>562</v>
      </c>
      <c r="B190" s="174"/>
      <c r="C190" s="253" t="s">
        <v>563</v>
      </c>
      <c r="D190" s="253"/>
      <c r="E190" s="253"/>
    </row>
    <row r="191" spans="1:5" ht="30" customHeight="1" x14ac:dyDescent="0.35">
      <c r="A191" s="74" t="s">
        <v>564</v>
      </c>
      <c r="B191" s="174"/>
      <c r="C191" s="253" t="s">
        <v>565</v>
      </c>
      <c r="D191" s="253"/>
      <c r="E191" s="253"/>
    </row>
    <row r="192" spans="1:5" ht="30" customHeight="1" x14ac:dyDescent="0.35">
      <c r="A192" s="74" t="s">
        <v>566</v>
      </c>
      <c r="B192" s="174"/>
      <c r="C192" s="253" t="s">
        <v>567</v>
      </c>
      <c r="D192" s="253"/>
      <c r="E192" s="253"/>
    </row>
    <row r="194" spans="1:5" ht="25.5" customHeight="1" x14ac:dyDescent="0.35">
      <c r="A194" s="293" t="s">
        <v>568</v>
      </c>
      <c r="B194" s="293"/>
      <c r="C194" s="293"/>
      <c r="D194" s="293"/>
      <c r="E194" s="293"/>
    </row>
    <row r="195" spans="1:5" ht="27.75" customHeight="1" x14ac:dyDescent="0.35">
      <c r="A195" s="61" t="s">
        <v>569</v>
      </c>
      <c r="B195" s="165"/>
      <c r="C195" s="253" t="s">
        <v>570</v>
      </c>
      <c r="D195" s="253"/>
      <c r="E195" s="253"/>
    </row>
    <row r="196" spans="1:5" ht="27.75" customHeight="1" x14ac:dyDescent="0.35">
      <c r="A196" s="61" t="s">
        <v>571</v>
      </c>
      <c r="B196" s="165"/>
      <c r="C196" s="253" t="s">
        <v>572</v>
      </c>
      <c r="D196" s="253"/>
      <c r="E196" s="253"/>
    </row>
    <row r="197" spans="1:5" ht="27.75" customHeight="1" x14ac:dyDescent="0.35">
      <c r="A197" s="61" t="s">
        <v>573</v>
      </c>
      <c r="B197" s="165"/>
      <c r="C197" s="253" t="s">
        <v>574</v>
      </c>
      <c r="D197" s="253"/>
      <c r="E197" s="253"/>
    </row>
    <row r="198" spans="1:5" ht="27.75" customHeight="1" x14ac:dyDescent="0.35">
      <c r="A198" s="61" t="s">
        <v>575</v>
      </c>
      <c r="B198" s="165"/>
      <c r="C198" s="253" t="s">
        <v>576</v>
      </c>
      <c r="D198" s="253"/>
      <c r="E198" s="253"/>
    </row>
    <row r="199" spans="1:5" ht="27.75" customHeight="1" x14ac:dyDescent="0.35">
      <c r="A199" s="61" t="s">
        <v>577</v>
      </c>
      <c r="B199" s="165"/>
      <c r="C199" s="253" t="s">
        <v>578</v>
      </c>
      <c r="D199" s="253"/>
      <c r="E199" s="253"/>
    </row>
    <row r="200" spans="1:5" ht="27.75" customHeight="1" x14ac:dyDescent="0.35">
      <c r="A200" s="61" t="s">
        <v>579</v>
      </c>
      <c r="B200" s="165"/>
      <c r="C200" s="253" t="s">
        <v>580</v>
      </c>
      <c r="D200" s="253"/>
      <c r="E200" s="253"/>
    </row>
    <row r="201" spans="1:5" ht="27.75" customHeight="1" x14ac:dyDescent="0.35">
      <c r="A201" s="61" t="s">
        <v>581</v>
      </c>
      <c r="B201" s="165"/>
      <c r="C201" s="253" t="s">
        <v>582</v>
      </c>
      <c r="D201" s="253"/>
      <c r="E201" s="253"/>
    </row>
    <row r="203" spans="1:5" ht="25.5" customHeight="1" x14ac:dyDescent="0.35">
      <c r="A203" s="272" t="s">
        <v>583</v>
      </c>
      <c r="B203" s="272"/>
      <c r="C203" s="272"/>
      <c r="D203" s="272"/>
      <c r="E203" s="272"/>
    </row>
    <row r="204" spans="1:5" ht="25.5" customHeight="1" x14ac:dyDescent="0.35">
      <c r="A204" s="96" t="s">
        <v>584</v>
      </c>
      <c r="B204" s="294" t="s">
        <v>585</v>
      </c>
      <c r="C204" s="294"/>
      <c r="D204" s="294"/>
      <c r="E204" s="294"/>
    </row>
    <row r="205" spans="1:5" ht="43.5" customHeight="1" x14ac:dyDescent="0.35">
      <c r="A205" s="202"/>
      <c r="B205" s="202"/>
      <c r="C205" s="202"/>
      <c r="D205" s="202"/>
      <c r="E205" s="202"/>
    </row>
    <row r="206" spans="1:5" ht="25.5" customHeight="1" x14ac:dyDescent="0.35">
      <c r="A206" s="96" t="s">
        <v>586</v>
      </c>
      <c r="B206" s="294" t="s">
        <v>587</v>
      </c>
      <c r="C206" s="294"/>
      <c r="D206" s="294"/>
      <c r="E206" s="294"/>
    </row>
    <row r="207" spans="1:5" ht="43.5" customHeight="1" x14ac:dyDescent="0.35">
      <c r="A207" s="202"/>
      <c r="B207" s="202"/>
      <c r="C207" s="202"/>
      <c r="D207" s="202"/>
      <c r="E207" s="202"/>
    </row>
    <row r="208" spans="1:5" ht="25.5" customHeight="1" x14ac:dyDescent="0.35">
      <c r="A208" s="96" t="s">
        <v>588</v>
      </c>
      <c r="B208" s="294" t="s">
        <v>589</v>
      </c>
      <c r="C208" s="294"/>
      <c r="D208" s="294"/>
      <c r="E208" s="294"/>
    </row>
    <row r="209" spans="1:5" ht="43.5" customHeight="1" x14ac:dyDescent="0.35">
      <c r="A209" s="202"/>
      <c r="B209" s="202"/>
      <c r="C209" s="202"/>
      <c r="D209" s="202"/>
      <c r="E209" s="202"/>
    </row>
    <row r="210" spans="1:5" ht="25.5" customHeight="1" x14ac:dyDescent="0.35">
      <c r="A210" s="96" t="s">
        <v>590</v>
      </c>
      <c r="B210" s="294" t="s">
        <v>591</v>
      </c>
      <c r="C210" s="294"/>
      <c r="D210" s="294"/>
      <c r="E210" s="294"/>
    </row>
    <row r="211" spans="1:5" ht="43.5" customHeight="1" x14ac:dyDescent="0.35">
      <c r="A211" s="202"/>
      <c r="B211" s="202"/>
      <c r="C211" s="202"/>
      <c r="D211" s="202"/>
      <c r="E211" s="202"/>
    </row>
  </sheetData>
  <mergeCells count="160">
    <mergeCell ref="A205:E205"/>
    <mergeCell ref="B206:E206"/>
    <mergeCell ref="A207:E207"/>
    <mergeCell ref="B208:E208"/>
    <mergeCell ref="A209:E209"/>
    <mergeCell ref="B210:E210"/>
    <mergeCell ref="A211:E211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A1:D1"/>
    <mergeCell ref="A2:D2"/>
    <mergeCell ref="A3:D3"/>
    <mergeCell ref="A5:D5"/>
    <mergeCell ref="C6:D6"/>
    <mergeCell ref="C7:D7"/>
    <mergeCell ref="C8:D8"/>
    <mergeCell ref="C9:D9"/>
    <mergeCell ref="C10:D10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Listas!$U$2:$U$8</xm:f>
          </x14:formula1>
          <x14:formula2>
            <xm:f>0</xm:f>
          </x14:formula2>
          <xm:sqref>B68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11"/>
  <sheetViews>
    <sheetView view="pageBreakPreview"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249" t="s">
        <v>604</v>
      </c>
      <c r="B1" s="249"/>
      <c r="C1" s="249"/>
      <c r="D1" s="249"/>
    </row>
    <row r="2" spans="1:4" ht="18" customHeight="1" x14ac:dyDescent="0.35">
      <c r="A2" s="250" t="s">
        <v>302</v>
      </c>
      <c r="B2" s="250"/>
      <c r="C2" s="250"/>
      <c r="D2" s="250"/>
    </row>
    <row r="3" spans="1:4" ht="19.5" customHeight="1" x14ac:dyDescent="0.35">
      <c r="A3" s="251" t="s">
        <v>303</v>
      </c>
      <c r="B3" s="251"/>
      <c r="C3" s="251"/>
      <c r="D3" s="251"/>
    </row>
    <row r="5" spans="1:4" ht="21.75" customHeight="1" x14ac:dyDescent="0.35">
      <c r="A5" s="252" t="s">
        <v>304</v>
      </c>
      <c r="B5" s="252"/>
      <c r="C5" s="252"/>
      <c r="D5" s="252"/>
    </row>
    <row r="6" spans="1:4" ht="24" customHeight="1" x14ac:dyDescent="0.35">
      <c r="A6" s="61" t="s">
        <v>305</v>
      </c>
      <c r="B6" s="140"/>
      <c r="C6" s="253" t="s">
        <v>306</v>
      </c>
      <c r="D6" s="253"/>
    </row>
    <row r="7" spans="1:4" ht="24" customHeight="1" x14ac:dyDescent="0.35">
      <c r="A7" s="61" t="s">
        <v>307</v>
      </c>
      <c r="B7" s="140"/>
      <c r="C7" s="253" t="s">
        <v>308</v>
      </c>
      <c r="D7" s="253"/>
    </row>
    <row r="8" spans="1:4" ht="24" customHeight="1" x14ac:dyDescent="0.35">
      <c r="A8" s="61" t="s">
        <v>309</v>
      </c>
      <c r="B8" s="140"/>
      <c r="C8" s="253" t="s">
        <v>310</v>
      </c>
      <c r="D8" s="253"/>
    </row>
    <row r="9" spans="1:4" ht="24" customHeight="1" x14ac:dyDescent="0.35">
      <c r="A9" s="61" t="s">
        <v>311</v>
      </c>
      <c r="B9" s="140"/>
      <c r="C9" s="253" t="s">
        <v>312</v>
      </c>
      <c r="D9" s="253"/>
    </row>
    <row r="10" spans="1:4" ht="24" customHeight="1" x14ac:dyDescent="0.35">
      <c r="A10" s="61" t="s">
        <v>313</v>
      </c>
      <c r="B10" s="140"/>
      <c r="C10" s="253" t="s">
        <v>314</v>
      </c>
      <c r="D10" s="253"/>
    </row>
    <row r="11" spans="1:4" ht="24" customHeight="1" x14ac:dyDescent="0.35">
      <c r="A11" s="61" t="s">
        <v>315</v>
      </c>
      <c r="B11" s="140"/>
      <c r="C11" s="253" t="s">
        <v>316</v>
      </c>
      <c r="D11" s="253"/>
    </row>
    <row r="13" spans="1:4" ht="21.75" customHeight="1" x14ac:dyDescent="0.35">
      <c r="A13" s="252" t="s">
        <v>317</v>
      </c>
      <c r="B13" s="252"/>
      <c r="C13" s="252"/>
      <c r="D13" s="252"/>
    </row>
    <row r="14" spans="1:4" ht="19.5" customHeight="1" x14ac:dyDescent="0.35">
      <c r="A14" s="138" t="s">
        <v>6</v>
      </c>
      <c r="B14" s="254" t="s">
        <v>318</v>
      </c>
      <c r="C14" s="254"/>
      <c r="D14" s="254"/>
    </row>
    <row r="15" spans="1:4" ht="21.75" customHeight="1" x14ac:dyDescent="0.35">
      <c r="A15" s="142" t="s">
        <v>9</v>
      </c>
      <c r="B15" s="255" t="s">
        <v>319</v>
      </c>
      <c r="C15" s="255"/>
      <c r="D15" s="255"/>
    </row>
    <row r="16" spans="1:4" ht="21.75" customHeight="1" x14ac:dyDescent="0.35">
      <c r="A16" s="143" t="s">
        <v>12</v>
      </c>
      <c r="B16" s="256" t="s">
        <v>320</v>
      </c>
      <c r="C16" s="256"/>
      <c r="D16" s="256"/>
    </row>
    <row r="17" spans="1:5" ht="21.75" customHeight="1" x14ac:dyDescent="0.35">
      <c r="A17" s="144" t="s">
        <v>15</v>
      </c>
      <c r="B17" s="257" t="s">
        <v>321</v>
      </c>
      <c r="C17" s="257"/>
      <c r="D17" s="257"/>
    </row>
    <row r="18" spans="1:5" ht="21.75" customHeight="1" x14ac:dyDescent="0.35">
      <c r="A18" s="145" t="s">
        <v>322</v>
      </c>
      <c r="B18" s="258" t="s">
        <v>323</v>
      </c>
      <c r="C18" s="258"/>
      <c r="D18" s="258"/>
    </row>
    <row r="19" spans="1:5" ht="21.75" customHeight="1" x14ac:dyDescent="0.35">
      <c r="A19" s="146" t="s">
        <v>21</v>
      </c>
      <c r="B19" s="259" t="s">
        <v>324</v>
      </c>
      <c r="C19" s="259"/>
      <c r="D19" s="259"/>
    </row>
    <row r="20" spans="1:5" ht="21.75" customHeight="1" x14ac:dyDescent="0.35">
      <c r="A20" s="147" t="s">
        <v>24</v>
      </c>
      <c r="B20" s="260" t="s">
        <v>325</v>
      </c>
      <c r="C20" s="260"/>
      <c r="D20" s="260"/>
    </row>
    <row r="22" spans="1:5" ht="30" customHeight="1" x14ac:dyDescent="0.35">
      <c r="A22" s="61" t="s">
        <v>326</v>
      </c>
      <c r="B22" s="148"/>
      <c r="C22" s="261" t="s">
        <v>327</v>
      </c>
      <c r="D22" s="261"/>
    </row>
    <row r="23" spans="1:5" ht="30" customHeight="1" x14ac:dyDescent="0.35">
      <c r="A23" s="149" t="s">
        <v>328</v>
      </c>
      <c r="B23" s="150" t="s">
        <v>322</v>
      </c>
      <c r="C23" s="262" t="s">
        <v>329</v>
      </c>
      <c r="D23" s="262"/>
    </row>
    <row r="24" spans="1:5" ht="39.75" customHeight="1" x14ac:dyDescent="0.35">
      <c r="A24" s="61" t="s">
        <v>330</v>
      </c>
      <c r="B24" s="263"/>
      <c r="C24" s="263"/>
      <c r="D24" s="263"/>
    </row>
    <row r="26" spans="1:5" ht="21.75" customHeight="1" x14ac:dyDescent="0.35">
      <c r="A26" s="252" t="s">
        <v>331</v>
      </c>
      <c r="B26" s="252"/>
      <c r="C26" s="252"/>
      <c r="D26" s="252"/>
    </row>
    <row r="27" spans="1:5" ht="21.75" customHeight="1" x14ac:dyDescent="0.35">
      <c r="A27" s="152" t="s">
        <v>332</v>
      </c>
      <c r="B27" s="152" t="s">
        <v>333</v>
      </c>
      <c r="C27" s="152" t="s">
        <v>334</v>
      </c>
      <c r="D27" s="152" t="s">
        <v>335</v>
      </c>
      <c r="E27" s="15" t="s">
        <v>336</v>
      </c>
    </row>
    <row r="28" spans="1:5" ht="18" customHeight="1" x14ac:dyDescent="0.35">
      <c r="A28" s="229" t="s">
        <v>230</v>
      </c>
      <c r="B28" s="229"/>
      <c r="C28" s="229"/>
      <c r="D28" s="229"/>
      <c r="E28" s="113"/>
    </row>
    <row r="29" spans="1:5" ht="30" customHeight="1" x14ac:dyDescent="0.35">
      <c r="A29" s="153" t="s">
        <v>337</v>
      </c>
      <c r="B29" s="154"/>
      <c r="C29" s="23" t="s">
        <v>15</v>
      </c>
      <c r="D29" s="155" t="s">
        <v>338</v>
      </c>
      <c r="E29" s="156"/>
    </row>
    <row r="30" spans="1:5" ht="30" customHeight="1" x14ac:dyDescent="0.35">
      <c r="A30" s="153" t="s">
        <v>339</v>
      </c>
      <c r="B30" s="154"/>
      <c r="C30" s="26" t="s">
        <v>322</v>
      </c>
      <c r="D30" s="155" t="s">
        <v>340</v>
      </c>
      <c r="E30" s="156"/>
    </row>
    <row r="31" spans="1:5" ht="18" customHeight="1" x14ac:dyDescent="0.35">
      <c r="A31" s="229" t="s">
        <v>233</v>
      </c>
      <c r="B31" s="229"/>
      <c r="C31" s="229"/>
      <c r="D31" s="229"/>
      <c r="E31" s="113"/>
    </row>
    <row r="32" spans="1:5" ht="30" customHeight="1" x14ac:dyDescent="0.35">
      <c r="A32" s="153" t="s">
        <v>341</v>
      </c>
      <c r="B32" s="154"/>
      <c r="C32" s="23" t="s">
        <v>15</v>
      </c>
      <c r="D32" s="155" t="s">
        <v>342</v>
      </c>
      <c r="E32" s="156"/>
    </row>
    <row r="33" spans="1:5" ht="30" customHeight="1" x14ac:dyDescent="0.35">
      <c r="A33" s="153" t="s">
        <v>343</v>
      </c>
      <c r="B33" s="154"/>
      <c r="C33" s="26" t="s">
        <v>322</v>
      </c>
      <c r="D33" s="155" t="s">
        <v>344</v>
      </c>
      <c r="E33" s="156"/>
    </row>
    <row r="34" spans="1:5" ht="30" customHeight="1" x14ac:dyDescent="0.35">
      <c r="A34" s="153" t="s">
        <v>345</v>
      </c>
      <c r="B34" s="154"/>
      <c r="C34" s="23" t="s">
        <v>15</v>
      </c>
      <c r="D34" s="155" t="s">
        <v>346</v>
      </c>
      <c r="E34" s="156"/>
    </row>
    <row r="35" spans="1:5" ht="30" customHeight="1" x14ac:dyDescent="0.35">
      <c r="A35" s="153" t="s">
        <v>347</v>
      </c>
      <c r="B35" s="154"/>
      <c r="C35" s="26" t="s">
        <v>322</v>
      </c>
      <c r="D35" s="155" t="s">
        <v>348</v>
      </c>
      <c r="E35" s="156"/>
    </row>
    <row r="36" spans="1:5" ht="18" customHeight="1" x14ac:dyDescent="0.35">
      <c r="A36" s="229" t="s">
        <v>238</v>
      </c>
      <c r="B36" s="229"/>
      <c r="C36" s="229"/>
      <c r="D36" s="229"/>
      <c r="E36" s="113"/>
    </row>
    <row r="37" spans="1:5" ht="30" customHeight="1" x14ac:dyDescent="0.35">
      <c r="A37" s="153" t="s">
        <v>349</v>
      </c>
      <c r="B37" s="154"/>
      <c r="C37" s="23" t="s">
        <v>15</v>
      </c>
      <c r="D37" s="155" t="s">
        <v>350</v>
      </c>
      <c r="E37" s="156"/>
    </row>
    <row r="38" spans="1:5" ht="30" customHeight="1" x14ac:dyDescent="0.35">
      <c r="A38" s="153" t="s">
        <v>351</v>
      </c>
      <c r="B38" s="154"/>
      <c r="C38" s="26" t="s">
        <v>322</v>
      </c>
      <c r="D38" s="155" t="s">
        <v>352</v>
      </c>
      <c r="E38" s="156"/>
    </row>
    <row r="39" spans="1:5" ht="30" customHeight="1" x14ac:dyDescent="0.35">
      <c r="A39" s="153" t="s">
        <v>353</v>
      </c>
      <c r="B39" s="154"/>
      <c r="C39" s="26" t="s">
        <v>322</v>
      </c>
      <c r="D39" s="155" t="s">
        <v>354</v>
      </c>
      <c r="E39" s="156"/>
    </row>
    <row r="40" spans="1:5" ht="30" customHeight="1" x14ac:dyDescent="0.35">
      <c r="A40" s="153" t="s">
        <v>355</v>
      </c>
      <c r="B40" s="154"/>
      <c r="C40" s="23" t="s">
        <v>15</v>
      </c>
      <c r="D40" s="155" t="s">
        <v>356</v>
      </c>
      <c r="E40" s="156"/>
    </row>
    <row r="41" spans="1:5" ht="18" customHeight="1" x14ac:dyDescent="0.35">
      <c r="A41" s="229" t="s">
        <v>243</v>
      </c>
      <c r="B41" s="229"/>
      <c r="C41" s="229"/>
      <c r="D41" s="229"/>
      <c r="E41" s="113"/>
    </row>
    <row r="42" spans="1:5" ht="30" customHeight="1" x14ac:dyDescent="0.35">
      <c r="A42" s="153" t="s">
        <v>357</v>
      </c>
      <c r="B42" s="154"/>
      <c r="C42" s="23" t="s">
        <v>15</v>
      </c>
      <c r="D42" s="155" t="s">
        <v>358</v>
      </c>
      <c r="E42" s="156"/>
    </row>
    <row r="43" spans="1:5" ht="30" customHeight="1" x14ac:dyDescent="0.35">
      <c r="A43" s="153" t="s">
        <v>359</v>
      </c>
      <c r="B43" s="154"/>
      <c r="C43" s="23" t="s">
        <v>15</v>
      </c>
      <c r="D43" s="155" t="s">
        <v>360</v>
      </c>
      <c r="E43" s="156"/>
    </row>
    <row r="44" spans="1:5" ht="30" customHeight="1" x14ac:dyDescent="0.35">
      <c r="A44" s="153" t="s">
        <v>361</v>
      </c>
      <c r="B44" s="154"/>
      <c r="C44" s="26" t="s">
        <v>322</v>
      </c>
      <c r="D44" s="155" t="s">
        <v>362</v>
      </c>
      <c r="E44" s="156"/>
    </row>
    <row r="45" spans="1:5" ht="30" customHeight="1" x14ac:dyDescent="0.35">
      <c r="A45" s="153" t="s">
        <v>363</v>
      </c>
      <c r="B45" s="154"/>
      <c r="C45" s="26" t="s">
        <v>322</v>
      </c>
      <c r="D45" s="155" t="s">
        <v>364</v>
      </c>
      <c r="E45" s="156"/>
    </row>
    <row r="46" spans="1:5" ht="30" customHeight="1" x14ac:dyDescent="0.35">
      <c r="A46" s="153" t="s">
        <v>365</v>
      </c>
      <c r="B46" s="154"/>
      <c r="C46" s="23" t="s">
        <v>15</v>
      </c>
      <c r="D46" s="155" t="s">
        <v>366</v>
      </c>
      <c r="E46" s="156"/>
    </row>
    <row r="47" spans="1:5" ht="30" customHeight="1" x14ac:dyDescent="0.35">
      <c r="A47" s="153" t="s">
        <v>367</v>
      </c>
      <c r="B47" s="154"/>
      <c r="C47" s="29" t="s">
        <v>21</v>
      </c>
      <c r="D47" s="155" t="s">
        <v>368</v>
      </c>
      <c r="E47" s="156"/>
    </row>
    <row r="48" spans="1:5" ht="30" customHeight="1" x14ac:dyDescent="0.35">
      <c r="A48" s="153" t="s">
        <v>369</v>
      </c>
      <c r="B48" s="154"/>
      <c r="C48" s="26" t="s">
        <v>322</v>
      </c>
      <c r="D48" s="155" t="s">
        <v>370</v>
      </c>
      <c r="E48" s="156"/>
    </row>
    <row r="50" spans="1:5" ht="21.75" customHeight="1" x14ac:dyDescent="0.35">
      <c r="A50" s="252" t="s">
        <v>371</v>
      </c>
      <c r="B50" s="252"/>
      <c r="C50" s="252"/>
      <c r="D50" s="252"/>
    </row>
    <row r="51" spans="1:5" ht="19.5" customHeight="1" x14ac:dyDescent="0.35">
      <c r="A51" s="226" t="s">
        <v>372</v>
      </c>
      <c r="B51" s="226"/>
      <c r="C51" s="226"/>
      <c r="D51" s="226"/>
    </row>
    <row r="52" spans="1:5" ht="21.75" customHeight="1" x14ac:dyDescent="0.35">
      <c r="A52" s="152" t="s">
        <v>373</v>
      </c>
      <c r="B52" s="152" t="s">
        <v>374</v>
      </c>
      <c r="C52" s="118" t="s">
        <v>375</v>
      </c>
      <c r="D52" s="118" t="s">
        <v>376</v>
      </c>
    </row>
    <row r="53" spans="1:5" ht="39.75" customHeight="1" x14ac:dyDescent="0.35">
      <c r="A53" s="85" t="s">
        <v>377</v>
      </c>
      <c r="B53" s="157"/>
      <c r="C53" s="158" t="s">
        <v>378</v>
      </c>
      <c r="D53" s="140"/>
    </row>
    <row r="54" spans="1:5" ht="39.75" customHeight="1" x14ac:dyDescent="0.35">
      <c r="A54" s="74" t="s">
        <v>379</v>
      </c>
      <c r="B54" s="157"/>
      <c r="C54" s="158" t="s">
        <v>380</v>
      </c>
      <c r="D54" s="140"/>
    </row>
    <row r="55" spans="1:5" ht="39.75" customHeight="1" x14ac:dyDescent="0.35">
      <c r="A55" s="85" t="s">
        <v>381</v>
      </c>
      <c r="B55" s="157"/>
      <c r="C55" s="158" t="s">
        <v>382</v>
      </c>
      <c r="D55" s="140"/>
    </row>
    <row r="56" spans="1:5" ht="39.75" customHeight="1" x14ac:dyDescent="0.35">
      <c r="A56" s="88" t="s">
        <v>383</v>
      </c>
      <c r="B56" s="157"/>
      <c r="C56" s="158" t="s">
        <v>384</v>
      </c>
      <c r="D56" s="140"/>
    </row>
    <row r="57" spans="1:5" ht="39.75" customHeight="1" x14ac:dyDescent="0.35">
      <c r="A57" s="89" t="s">
        <v>385</v>
      </c>
      <c r="B57" s="157"/>
      <c r="C57" s="158" t="s">
        <v>386</v>
      </c>
      <c r="D57" s="140"/>
    </row>
    <row r="58" spans="1:5" ht="39.75" customHeight="1" x14ac:dyDescent="0.35">
      <c r="A58" s="90" t="s">
        <v>387</v>
      </c>
      <c r="B58" s="157"/>
      <c r="C58" s="158" t="s">
        <v>388</v>
      </c>
      <c r="D58" s="140"/>
    </row>
    <row r="59" spans="1:5" ht="39.75" customHeight="1" x14ac:dyDescent="0.35">
      <c r="A59" s="91" t="s">
        <v>389</v>
      </c>
      <c r="B59" s="157"/>
      <c r="C59" s="158" t="s">
        <v>390</v>
      </c>
      <c r="D59" s="140"/>
    </row>
    <row r="60" spans="1:5" ht="36" customHeight="1" x14ac:dyDescent="0.35">
      <c r="A60" s="159" t="s">
        <v>391</v>
      </c>
      <c r="B60" s="160"/>
      <c r="C60" s="140"/>
      <c r="D60" s="140"/>
      <c r="E60" s="161"/>
    </row>
    <row r="61" spans="1:5" ht="36" customHeight="1" x14ac:dyDescent="0.35">
      <c r="A61" s="264" t="s">
        <v>392</v>
      </c>
      <c r="B61" s="264"/>
      <c r="C61" s="264"/>
      <c r="D61" s="264"/>
      <c r="E61" s="161"/>
    </row>
    <row r="62" spans="1:5" ht="36" customHeight="1" x14ac:dyDescent="0.35">
      <c r="A62" s="159" t="s">
        <v>393</v>
      </c>
      <c r="B62" s="160"/>
      <c r="C62" s="265"/>
      <c r="D62" s="265"/>
      <c r="E62" s="161"/>
    </row>
    <row r="63" spans="1:5" ht="36" customHeight="1" x14ac:dyDescent="0.35">
      <c r="A63" s="159" t="s">
        <v>394</v>
      </c>
      <c r="B63" s="160"/>
      <c r="C63" s="265"/>
      <c r="D63" s="265"/>
      <c r="E63" s="161"/>
    </row>
    <row r="64" spans="1:5" ht="36" customHeight="1" x14ac:dyDescent="0.35">
      <c r="A64" s="159" t="s">
        <v>395</v>
      </c>
      <c r="B64" s="160"/>
      <c r="C64" s="265"/>
      <c r="D64" s="265"/>
      <c r="E64" s="161"/>
    </row>
    <row r="65" spans="1:4" ht="27.75" customHeight="1" x14ac:dyDescent="0.35">
      <c r="C65" s="180"/>
      <c r="D65" s="180"/>
    </row>
    <row r="66" spans="1:4" ht="27.75" customHeight="1" x14ac:dyDescent="0.35">
      <c r="A66" s="139" t="s">
        <v>396</v>
      </c>
      <c r="C66" s="180"/>
      <c r="D66" s="180"/>
    </row>
    <row r="67" spans="1:4" ht="27.75" customHeight="1" x14ac:dyDescent="0.35">
      <c r="A67" s="61" t="s">
        <v>397</v>
      </c>
      <c r="B67" s="140"/>
      <c r="C67" s="253" t="s">
        <v>398</v>
      </c>
      <c r="D67" s="253"/>
    </row>
    <row r="68" spans="1:4" ht="27.75" customHeight="1" x14ac:dyDescent="0.35">
      <c r="A68" s="61" t="s">
        <v>399</v>
      </c>
      <c r="B68" s="140"/>
      <c r="C68" s="253" t="s">
        <v>400</v>
      </c>
      <c r="D68" s="253"/>
    </row>
    <row r="69" spans="1:4" ht="27.75" customHeight="1" x14ac:dyDescent="0.35">
      <c r="A69" s="61" t="s">
        <v>401</v>
      </c>
      <c r="B69" s="140"/>
      <c r="C69" s="253" t="s">
        <v>402</v>
      </c>
      <c r="D69" s="253"/>
    </row>
    <row r="70" spans="1:4" ht="27.75" customHeight="1" x14ac:dyDescent="0.35">
      <c r="A70" s="61" t="s">
        <v>403</v>
      </c>
      <c r="B70" s="140"/>
      <c r="C70" s="253" t="s">
        <v>404</v>
      </c>
      <c r="D70" s="253"/>
    </row>
    <row r="71" spans="1:4" ht="21.75" customHeight="1" x14ac:dyDescent="0.35">
      <c r="A71" s="61" t="s">
        <v>405</v>
      </c>
      <c r="B71" s="140"/>
      <c r="C71" s="141" t="s">
        <v>406</v>
      </c>
    </row>
    <row r="72" spans="1:4" ht="21.75" customHeight="1" x14ac:dyDescent="0.35">
      <c r="A72" s="266" t="s">
        <v>285</v>
      </c>
      <c r="B72" s="266"/>
      <c r="C72" s="266"/>
      <c r="D72" s="266"/>
    </row>
    <row r="73" spans="1:4" ht="25.5" customHeight="1" x14ac:dyDescent="0.35">
      <c r="A73" s="61" t="s">
        <v>407</v>
      </c>
      <c r="B73" s="140"/>
      <c r="C73" s="253" t="s">
        <v>408</v>
      </c>
      <c r="D73" s="253"/>
    </row>
    <row r="74" spans="1:4" ht="25.5" customHeight="1" x14ac:dyDescent="0.35">
      <c r="A74" s="61" t="s">
        <v>409</v>
      </c>
      <c r="B74" s="140"/>
      <c r="C74" s="253" t="s">
        <v>410</v>
      </c>
      <c r="D74" s="253"/>
    </row>
    <row r="75" spans="1:4" ht="25.5" customHeight="1" x14ac:dyDescent="0.35">
      <c r="A75" s="61" t="s">
        <v>411</v>
      </c>
      <c r="B75" s="140"/>
      <c r="C75" s="253" t="s">
        <v>412</v>
      </c>
      <c r="D75" s="253"/>
    </row>
    <row r="76" spans="1:4" ht="25.5" customHeight="1" x14ac:dyDescent="0.35">
      <c r="C76" s="180"/>
      <c r="D76" s="180"/>
    </row>
    <row r="77" spans="1:4" ht="25.5" customHeight="1" x14ac:dyDescent="0.35">
      <c r="A77" s="139" t="s">
        <v>413</v>
      </c>
      <c r="C77" s="180"/>
      <c r="D77" s="180"/>
    </row>
    <row r="78" spans="1:4" ht="25.5" customHeight="1" x14ac:dyDescent="0.35">
      <c r="A78" s="61" t="s">
        <v>414</v>
      </c>
      <c r="B78" s="140"/>
      <c r="C78" s="253" t="s">
        <v>415</v>
      </c>
      <c r="D78" s="253"/>
    </row>
    <row r="79" spans="1:4" ht="25.5" customHeight="1" x14ac:dyDescent="0.35">
      <c r="A79" s="61" t="s">
        <v>416</v>
      </c>
      <c r="B79" s="140"/>
      <c r="C79" s="253" t="s">
        <v>417</v>
      </c>
      <c r="D79" s="253"/>
    </row>
    <row r="80" spans="1:4" ht="25.5" customHeight="1" x14ac:dyDescent="0.35">
      <c r="A80" s="61" t="s">
        <v>418</v>
      </c>
      <c r="B80" s="140"/>
      <c r="C80" s="253" t="s">
        <v>419</v>
      </c>
      <c r="D80" s="253"/>
    </row>
    <row r="81" spans="1:4" ht="25.5" customHeight="1" x14ac:dyDescent="0.35">
      <c r="A81" s="61" t="s">
        <v>420</v>
      </c>
      <c r="B81" s="140"/>
      <c r="C81" s="253" t="s">
        <v>421</v>
      </c>
      <c r="D81" s="253"/>
    </row>
    <row r="82" spans="1:4" ht="34.5" customHeight="1" x14ac:dyDescent="0.35">
      <c r="A82" s="61" t="s">
        <v>422</v>
      </c>
      <c r="B82" s="140"/>
      <c r="C82" s="141" t="s">
        <v>423</v>
      </c>
    </row>
    <row r="83" spans="1:4" ht="24" customHeight="1" x14ac:dyDescent="0.35">
      <c r="A83" s="266" t="s">
        <v>424</v>
      </c>
      <c r="B83" s="266"/>
      <c r="C83" s="266"/>
      <c r="D83" s="266"/>
    </row>
    <row r="84" spans="1:4" ht="24" customHeight="1" x14ac:dyDescent="0.35">
      <c r="A84" s="61" t="s">
        <v>425</v>
      </c>
      <c r="B84" s="267"/>
      <c r="C84" s="267"/>
      <c r="D84" s="267"/>
    </row>
    <row r="85" spans="1:4" ht="43.5" customHeight="1" x14ac:dyDescent="0.35">
      <c r="A85" s="266" t="s">
        <v>426</v>
      </c>
      <c r="B85" s="266"/>
      <c r="C85" s="266"/>
      <c r="D85" s="266"/>
    </row>
    <row r="86" spans="1:4" ht="24" customHeight="1" x14ac:dyDescent="0.35">
      <c r="A86" s="61" t="s">
        <v>427</v>
      </c>
      <c r="B86" s="267"/>
      <c r="C86" s="267"/>
      <c r="D86" s="267"/>
    </row>
    <row r="87" spans="1:4" ht="43.5" customHeight="1" x14ac:dyDescent="0.35">
      <c r="A87" s="180"/>
      <c r="B87" s="180"/>
      <c r="C87" s="180"/>
      <c r="D87" s="180"/>
    </row>
    <row r="88" spans="1:4" ht="24" customHeight="1" x14ac:dyDescent="0.35">
      <c r="A88" s="162" t="s">
        <v>428</v>
      </c>
      <c r="B88" s="180"/>
      <c r="C88" s="180"/>
      <c r="D88" s="180"/>
    </row>
    <row r="89" spans="1:4" ht="43.5" customHeight="1" x14ac:dyDescent="0.35">
      <c r="A89" s="268" t="s">
        <v>429</v>
      </c>
      <c r="B89" s="268"/>
      <c r="C89" s="268"/>
      <c r="D89" s="268"/>
    </row>
    <row r="90" spans="1:4" ht="24" customHeight="1" x14ac:dyDescent="0.35">
      <c r="A90" s="151"/>
      <c r="B90" s="180"/>
      <c r="C90" s="180"/>
      <c r="D90" s="180"/>
    </row>
    <row r="91" spans="1:4" ht="43.5" customHeight="1" x14ac:dyDescent="0.35">
      <c r="A91" s="268" t="s">
        <v>430</v>
      </c>
      <c r="B91" s="268"/>
      <c r="C91" s="268"/>
      <c r="D91" s="268"/>
    </row>
    <row r="92" spans="1:4" ht="15" customHeight="1" x14ac:dyDescent="0.35">
      <c r="A92" s="151"/>
    </row>
    <row r="93" spans="1:4" ht="23.25" customHeight="1" x14ac:dyDescent="0.35">
      <c r="A93" s="96" t="s">
        <v>431</v>
      </c>
      <c r="B93" s="163" t="s">
        <v>432</v>
      </c>
    </row>
    <row r="94" spans="1:4" ht="15" customHeight="1" x14ac:dyDescent="0.35">
      <c r="A94" s="151"/>
    </row>
    <row r="95" spans="1:4" ht="23.25" customHeight="1" x14ac:dyDescent="0.35">
      <c r="A95" s="96" t="s">
        <v>433</v>
      </c>
      <c r="B95" s="163" t="s">
        <v>434</v>
      </c>
    </row>
    <row r="96" spans="1:4" ht="15" customHeight="1" x14ac:dyDescent="0.35">
      <c r="A96" s="151"/>
    </row>
    <row r="99" spans="1:5" ht="33.75" customHeight="1" x14ac:dyDescent="0.35">
      <c r="A99" s="269" t="s">
        <v>605</v>
      </c>
      <c r="B99" s="269"/>
      <c r="C99" s="269"/>
      <c r="D99" s="269"/>
      <c r="E99" s="269"/>
    </row>
    <row r="100" spans="1:5" ht="24" customHeight="1" x14ac:dyDescent="0.35">
      <c r="A100" s="270" t="s">
        <v>436</v>
      </c>
      <c r="B100" s="270"/>
      <c r="C100" s="270"/>
      <c r="D100" s="270"/>
      <c r="E100" s="270"/>
    </row>
    <row r="101" spans="1:5" ht="25.5" customHeight="1" x14ac:dyDescent="0.35">
      <c r="A101" s="271" t="s">
        <v>437</v>
      </c>
      <c r="B101" s="271"/>
      <c r="C101" s="271"/>
      <c r="D101" s="271"/>
      <c r="E101" s="271"/>
    </row>
    <row r="102" spans="1:5" ht="27.75" customHeight="1" x14ac:dyDescent="0.35">
      <c r="A102" s="61" t="s">
        <v>438</v>
      </c>
      <c r="B102" s="164"/>
      <c r="C102" s="253" t="s">
        <v>439</v>
      </c>
      <c r="D102" s="253"/>
      <c r="E102" s="253"/>
    </row>
    <row r="103" spans="1:5" ht="27.75" customHeight="1" x14ac:dyDescent="0.35">
      <c r="A103" s="61" t="s">
        <v>440</v>
      </c>
      <c r="B103" s="164"/>
      <c r="C103" s="253" t="s">
        <v>441</v>
      </c>
      <c r="D103" s="253"/>
      <c r="E103" s="253"/>
    </row>
    <row r="104" spans="1:5" ht="27.75" customHeight="1" x14ac:dyDescent="0.35">
      <c r="A104" s="61" t="s">
        <v>442</v>
      </c>
      <c r="B104" s="165"/>
      <c r="C104" s="253" t="s">
        <v>443</v>
      </c>
      <c r="D104" s="253"/>
      <c r="E104" s="253"/>
    </row>
    <row r="105" spans="1:5" ht="27.75" customHeight="1" x14ac:dyDescent="0.35">
      <c r="A105" s="61" t="s">
        <v>444</v>
      </c>
      <c r="B105" s="164"/>
      <c r="C105" s="253" t="s">
        <v>445</v>
      </c>
      <c r="D105" s="253"/>
      <c r="E105" s="253"/>
    </row>
    <row r="106" spans="1:5" ht="27.75" customHeight="1" x14ac:dyDescent="0.35">
      <c r="A106" s="61" t="s">
        <v>446</v>
      </c>
      <c r="B106" s="165"/>
      <c r="C106" s="253" t="s">
        <v>447</v>
      </c>
      <c r="D106" s="253"/>
      <c r="E106" s="253"/>
    </row>
    <row r="107" spans="1:5" ht="27.75" customHeight="1" x14ac:dyDescent="0.35">
      <c r="A107" s="61" t="s">
        <v>448</v>
      </c>
      <c r="B107" s="164"/>
      <c r="C107" s="253" t="s">
        <v>449</v>
      </c>
      <c r="D107" s="253"/>
      <c r="E107" s="253"/>
    </row>
    <row r="108" spans="1:5" ht="27.75" customHeight="1" x14ac:dyDescent="0.35">
      <c r="A108" s="61" t="s">
        <v>450</v>
      </c>
      <c r="B108" s="165"/>
      <c r="C108" s="253" t="s">
        <v>451</v>
      </c>
      <c r="D108" s="253"/>
      <c r="E108" s="253"/>
    </row>
    <row r="109" spans="1:5" ht="27.75" customHeight="1" x14ac:dyDescent="0.35">
      <c r="A109" s="61" t="s">
        <v>452</v>
      </c>
      <c r="B109" s="164"/>
      <c r="C109" s="253" t="s">
        <v>453</v>
      </c>
      <c r="D109" s="253"/>
      <c r="E109" s="253"/>
    </row>
    <row r="110" spans="1:5" ht="27.75" customHeight="1" x14ac:dyDescent="0.35">
      <c r="A110" s="61" t="s">
        <v>454</v>
      </c>
      <c r="B110" s="165"/>
      <c r="C110" s="253" t="s">
        <v>455</v>
      </c>
      <c r="D110" s="253"/>
      <c r="E110" s="253"/>
    </row>
    <row r="111" spans="1:5" ht="27.75" customHeight="1" x14ac:dyDescent="0.35">
      <c r="A111" s="61" t="s">
        <v>456</v>
      </c>
      <c r="B111" s="165"/>
      <c r="C111" s="253" t="s">
        <v>457</v>
      </c>
      <c r="D111" s="253"/>
      <c r="E111" s="253"/>
    </row>
    <row r="113" spans="1:5" ht="25.5" customHeight="1" x14ac:dyDescent="0.35">
      <c r="A113" s="272" t="s">
        <v>458</v>
      </c>
      <c r="B113" s="272"/>
      <c r="C113" s="272"/>
      <c r="D113" s="272"/>
      <c r="E113" s="272"/>
    </row>
    <row r="114" spans="1:5" ht="21.75" customHeight="1" x14ac:dyDescent="0.35">
      <c r="A114" s="273" t="s">
        <v>459</v>
      </c>
      <c r="B114" s="273"/>
      <c r="C114" s="273"/>
      <c r="D114" s="273"/>
      <c r="E114" s="273"/>
    </row>
    <row r="115" spans="1:5" ht="25.5" customHeight="1" x14ac:dyDescent="0.35">
      <c r="A115" s="96" t="s">
        <v>460</v>
      </c>
      <c r="B115" s="274" t="s">
        <v>461</v>
      </c>
      <c r="C115" s="274"/>
      <c r="D115" s="274"/>
      <c r="E115" s="274"/>
    </row>
    <row r="116" spans="1:5" ht="43.5" customHeight="1" x14ac:dyDescent="0.35">
      <c r="A116" s="275"/>
      <c r="B116" s="275"/>
      <c r="C116" s="275"/>
      <c r="D116" s="275"/>
      <c r="E116" s="275"/>
    </row>
    <row r="117" spans="1:5" ht="25.5" customHeight="1" x14ac:dyDescent="0.35">
      <c r="A117" s="96" t="s">
        <v>462</v>
      </c>
      <c r="B117" s="274" t="s">
        <v>463</v>
      </c>
      <c r="C117" s="274"/>
      <c r="D117" s="274"/>
      <c r="E117" s="274"/>
    </row>
    <row r="118" spans="1:5" ht="43.5" customHeight="1" x14ac:dyDescent="0.35">
      <c r="A118" s="275"/>
      <c r="B118" s="275"/>
      <c r="C118" s="275"/>
      <c r="D118" s="275"/>
      <c r="E118" s="275"/>
    </row>
    <row r="119" spans="1:5" ht="25.5" customHeight="1" x14ac:dyDescent="0.35">
      <c r="A119" s="96" t="s">
        <v>464</v>
      </c>
      <c r="B119" s="274" t="s">
        <v>465</v>
      </c>
      <c r="C119" s="274"/>
      <c r="D119" s="274"/>
      <c r="E119" s="274"/>
    </row>
    <row r="120" spans="1:5" ht="43.5" customHeight="1" x14ac:dyDescent="0.35">
      <c r="A120" s="275"/>
      <c r="B120" s="275"/>
      <c r="C120" s="275"/>
      <c r="D120" s="275"/>
      <c r="E120" s="275"/>
    </row>
    <row r="121" spans="1:5" ht="25.5" customHeight="1" x14ac:dyDescent="0.35">
      <c r="A121" s="96" t="s">
        <v>466</v>
      </c>
      <c r="B121" s="274" t="s">
        <v>467</v>
      </c>
      <c r="C121" s="274"/>
      <c r="D121" s="274"/>
      <c r="E121" s="274"/>
    </row>
    <row r="122" spans="1:5" ht="43.5" customHeight="1" x14ac:dyDescent="0.35">
      <c r="A122" s="275"/>
      <c r="B122" s="275"/>
      <c r="C122" s="275"/>
      <c r="D122" s="275"/>
      <c r="E122" s="275"/>
    </row>
    <row r="123" spans="1:5" ht="25.5" customHeight="1" x14ac:dyDescent="0.35">
      <c r="A123" s="96" t="s">
        <v>468</v>
      </c>
      <c r="B123" s="274" t="s">
        <v>469</v>
      </c>
      <c r="C123" s="274"/>
      <c r="D123" s="274"/>
      <c r="E123" s="274"/>
    </row>
    <row r="124" spans="1:5" ht="43.5" customHeight="1" x14ac:dyDescent="0.35">
      <c r="A124" s="275"/>
      <c r="B124" s="275"/>
      <c r="C124" s="275"/>
      <c r="D124" s="275"/>
      <c r="E124" s="275"/>
    </row>
    <row r="125" spans="1:5" ht="25.5" customHeight="1" x14ac:dyDescent="0.35">
      <c r="A125" s="96" t="s">
        <v>470</v>
      </c>
      <c r="B125" s="274" t="s">
        <v>471</v>
      </c>
      <c r="C125" s="274"/>
      <c r="D125" s="274"/>
      <c r="E125" s="274"/>
    </row>
    <row r="126" spans="1:5" ht="43.5" customHeight="1" x14ac:dyDescent="0.35">
      <c r="A126" s="275"/>
      <c r="B126" s="275"/>
      <c r="C126" s="275"/>
      <c r="D126" s="275"/>
      <c r="E126" s="275"/>
    </row>
    <row r="128" spans="1:5" ht="25.5" customHeight="1" x14ac:dyDescent="0.35">
      <c r="A128" s="276" t="s">
        <v>472</v>
      </c>
      <c r="B128" s="276"/>
      <c r="C128" s="276"/>
      <c r="D128" s="276"/>
      <c r="E128" s="276"/>
    </row>
    <row r="129" spans="1:5" ht="21.75" customHeight="1" x14ac:dyDescent="0.35">
      <c r="A129" s="277" t="s">
        <v>473</v>
      </c>
      <c r="B129" s="277"/>
      <c r="C129" s="277"/>
      <c r="D129" s="277"/>
      <c r="E129" s="277"/>
    </row>
    <row r="130" spans="1:5" ht="27.75" customHeight="1" x14ac:dyDescent="0.35">
      <c r="A130" s="74" t="s">
        <v>474</v>
      </c>
      <c r="B130" s="165"/>
      <c r="C130" s="253" t="s">
        <v>475</v>
      </c>
      <c r="D130" s="253"/>
      <c r="E130" s="253"/>
    </row>
    <row r="131" spans="1:5" ht="27.75" customHeight="1" x14ac:dyDescent="0.35">
      <c r="A131" s="74" t="s">
        <v>476</v>
      </c>
      <c r="B131" s="165"/>
      <c r="C131" s="253" t="s">
        <v>477</v>
      </c>
      <c r="D131" s="253"/>
      <c r="E131" s="253"/>
    </row>
    <row r="132" spans="1:5" ht="27.75" customHeight="1" x14ac:dyDescent="0.35">
      <c r="A132" s="74" t="s">
        <v>478</v>
      </c>
      <c r="B132" s="164"/>
      <c r="C132" s="253" t="s">
        <v>479</v>
      </c>
      <c r="D132" s="253"/>
      <c r="E132" s="253"/>
    </row>
    <row r="133" spans="1:5" ht="27.75" customHeight="1" x14ac:dyDescent="0.35">
      <c r="A133" s="74" t="s">
        <v>480</v>
      </c>
      <c r="B133" s="164"/>
      <c r="C133" s="253" t="s">
        <v>481</v>
      </c>
      <c r="D133" s="253"/>
      <c r="E133" s="253"/>
    </row>
    <row r="134" spans="1:5" ht="27.75" customHeight="1" x14ac:dyDescent="0.35">
      <c r="A134" s="74" t="s">
        <v>482</v>
      </c>
      <c r="B134" s="164"/>
      <c r="C134" s="253" t="s">
        <v>483</v>
      </c>
      <c r="D134" s="253"/>
      <c r="E134" s="253"/>
    </row>
    <row r="135" spans="1:5" ht="27.75" customHeight="1" x14ac:dyDescent="0.35">
      <c r="A135" s="74" t="s">
        <v>484</v>
      </c>
      <c r="B135" s="164"/>
      <c r="C135" s="253" t="s">
        <v>485</v>
      </c>
      <c r="D135" s="253"/>
      <c r="E135" s="253"/>
    </row>
    <row r="136" spans="1:5" ht="27.75" customHeight="1" x14ac:dyDescent="0.35">
      <c r="A136" s="74" t="s">
        <v>486</v>
      </c>
      <c r="B136" s="164"/>
      <c r="C136" s="253" t="s">
        <v>487</v>
      </c>
      <c r="D136" s="253"/>
      <c r="E136" s="253"/>
    </row>
    <row r="137" spans="1:5" ht="27.75" customHeight="1" x14ac:dyDescent="0.35">
      <c r="A137" s="74" t="s">
        <v>488</v>
      </c>
      <c r="B137" s="165"/>
      <c r="C137" s="253" t="s">
        <v>489</v>
      </c>
      <c r="D137" s="253"/>
      <c r="E137" s="253"/>
    </row>
    <row r="139" spans="1:5" ht="25.5" customHeight="1" x14ac:dyDescent="0.35">
      <c r="A139" s="278" t="s">
        <v>490</v>
      </c>
      <c r="B139" s="278"/>
      <c r="C139" s="278"/>
      <c r="D139" s="278"/>
      <c r="E139" s="278"/>
    </row>
    <row r="140" spans="1:5" ht="27.75" customHeight="1" x14ac:dyDescent="0.35">
      <c r="A140" s="166" t="s">
        <v>491</v>
      </c>
      <c r="B140" s="164"/>
      <c r="C140" s="253" t="s">
        <v>492</v>
      </c>
      <c r="D140" s="253"/>
      <c r="E140" s="253"/>
    </row>
    <row r="141" spans="1:5" ht="27.75" customHeight="1" x14ac:dyDescent="0.35">
      <c r="A141" s="166" t="s">
        <v>493</v>
      </c>
      <c r="B141" s="164"/>
      <c r="C141" s="253" t="s">
        <v>494</v>
      </c>
      <c r="D141" s="253"/>
      <c r="E141" s="253"/>
    </row>
    <row r="142" spans="1:5" ht="27.75" customHeight="1" x14ac:dyDescent="0.35">
      <c r="A142" s="166" t="s">
        <v>495</v>
      </c>
      <c r="B142" s="164"/>
      <c r="C142" s="253" t="s">
        <v>496</v>
      </c>
      <c r="D142" s="253"/>
      <c r="E142" s="253"/>
    </row>
    <row r="143" spans="1:5" ht="27.75" customHeight="1" x14ac:dyDescent="0.35">
      <c r="A143" s="166" t="s">
        <v>497</v>
      </c>
      <c r="B143" s="165"/>
      <c r="C143" s="253" t="s">
        <v>498</v>
      </c>
      <c r="D143" s="253"/>
      <c r="E143" s="253"/>
    </row>
    <row r="144" spans="1:5" ht="27.75" customHeight="1" x14ac:dyDescent="0.35">
      <c r="A144" s="166" t="s">
        <v>499</v>
      </c>
      <c r="B144" s="164"/>
      <c r="C144" s="253" t="s">
        <v>500</v>
      </c>
      <c r="D144" s="253"/>
      <c r="E144" s="253"/>
    </row>
    <row r="145" spans="1:5" ht="27.75" customHeight="1" x14ac:dyDescent="0.35">
      <c r="A145" s="166" t="s">
        <v>501</v>
      </c>
      <c r="B145" s="164"/>
      <c r="C145" s="253" t="s">
        <v>502</v>
      </c>
      <c r="D145" s="253"/>
      <c r="E145" s="253"/>
    </row>
    <row r="146" spans="1:5" ht="27.75" customHeight="1" x14ac:dyDescent="0.35">
      <c r="A146" s="166" t="s">
        <v>503</v>
      </c>
      <c r="B146" s="165"/>
      <c r="C146" s="253" t="s">
        <v>504</v>
      </c>
      <c r="D146" s="253"/>
      <c r="E146" s="253"/>
    </row>
    <row r="148" spans="1:5" ht="25.5" customHeight="1" x14ac:dyDescent="0.35">
      <c r="A148" s="279" t="s">
        <v>505</v>
      </c>
      <c r="B148" s="279"/>
      <c r="C148" s="279"/>
      <c r="D148" s="279"/>
      <c r="E148" s="279"/>
    </row>
    <row r="149" spans="1:5" ht="21.75" customHeight="1" x14ac:dyDescent="0.35">
      <c r="A149" s="280" t="s">
        <v>506</v>
      </c>
      <c r="B149" s="280"/>
      <c r="C149" s="280"/>
      <c r="D149" s="280"/>
      <c r="E149" s="280"/>
    </row>
    <row r="150" spans="1:5" ht="25.5" customHeight="1" x14ac:dyDescent="0.35">
      <c r="A150" s="167" t="s">
        <v>507</v>
      </c>
      <c r="B150" s="281" t="s">
        <v>508</v>
      </c>
      <c r="C150" s="281"/>
      <c r="D150" s="281"/>
      <c r="E150" s="281"/>
    </row>
    <row r="151" spans="1:5" ht="43.5" customHeight="1" x14ac:dyDescent="0.35">
      <c r="A151" s="282"/>
      <c r="B151" s="282"/>
      <c r="C151" s="282"/>
      <c r="D151" s="282"/>
      <c r="E151" s="282"/>
    </row>
    <row r="152" spans="1:5" ht="25.5" customHeight="1" x14ac:dyDescent="0.35">
      <c r="A152" s="167" t="s">
        <v>509</v>
      </c>
      <c r="B152" s="281" t="s">
        <v>510</v>
      </c>
      <c r="C152" s="281"/>
      <c r="D152" s="281"/>
      <c r="E152" s="281"/>
    </row>
    <row r="153" spans="1:5" ht="43.5" customHeight="1" x14ac:dyDescent="0.35">
      <c r="A153" s="282"/>
      <c r="B153" s="282"/>
      <c r="C153" s="282"/>
      <c r="D153" s="282"/>
      <c r="E153" s="282"/>
    </row>
    <row r="154" spans="1:5" ht="25.5" customHeight="1" x14ac:dyDescent="0.35">
      <c r="A154" s="167" t="s">
        <v>511</v>
      </c>
      <c r="B154" s="281" t="s">
        <v>512</v>
      </c>
      <c r="C154" s="281"/>
      <c r="D154" s="281"/>
      <c r="E154" s="281"/>
    </row>
    <row r="155" spans="1:5" ht="43.5" customHeight="1" x14ac:dyDescent="0.35">
      <c r="A155" s="282"/>
      <c r="B155" s="282"/>
      <c r="C155" s="282"/>
      <c r="D155" s="282"/>
      <c r="E155" s="282"/>
    </row>
    <row r="156" spans="1:5" ht="25.5" customHeight="1" x14ac:dyDescent="0.35">
      <c r="A156" s="167" t="s">
        <v>513</v>
      </c>
      <c r="B156" s="281" t="s">
        <v>514</v>
      </c>
      <c r="C156" s="281"/>
      <c r="D156" s="281"/>
      <c r="E156" s="281"/>
    </row>
    <row r="157" spans="1:5" ht="43.5" customHeight="1" x14ac:dyDescent="0.35">
      <c r="A157" s="282"/>
      <c r="B157" s="282"/>
      <c r="C157" s="282"/>
      <c r="D157" s="282"/>
      <c r="E157" s="282"/>
    </row>
    <row r="158" spans="1:5" ht="25.5" customHeight="1" x14ac:dyDescent="0.35">
      <c r="A158" s="167" t="s">
        <v>515</v>
      </c>
      <c r="B158" s="281" t="s">
        <v>516</v>
      </c>
      <c r="C158" s="281"/>
      <c r="D158" s="281"/>
      <c r="E158" s="281"/>
    </row>
    <row r="159" spans="1:5" ht="43.5" customHeight="1" x14ac:dyDescent="0.35">
      <c r="A159" s="282"/>
      <c r="B159" s="282"/>
      <c r="C159" s="282"/>
      <c r="D159" s="282"/>
      <c r="E159" s="282"/>
    </row>
    <row r="160" spans="1:5" ht="25.5" customHeight="1" x14ac:dyDescent="0.35">
      <c r="A160" s="167" t="s">
        <v>517</v>
      </c>
      <c r="B160" s="281" t="s">
        <v>518</v>
      </c>
      <c r="C160" s="281"/>
      <c r="D160" s="281"/>
      <c r="E160" s="281"/>
    </row>
    <row r="161" spans="1:5" ht="43.5" customHeight="1" x14ac:dyDescent="0.35">
      <c r="A161" s="282"/>
      <c r="B161" s="282"/>
      <c r="C161" s="282"/>
      <c r="D161" s="282"/>
      <c r="E161" s="282"/>
    </row>
    <row r="164" spans="1:5" ht="33.75" customHeight="1" x14ac:dyDescent="0.35">
      <c r="A164" s="283" t="s">
        <v>606</v>
      </c>
      <c r="B164" s="283"/>
      <c r="C164" s="283"/>
      <c r="D164" s="283"/>
      <c r="E164" s="283"/>
    </row>
    <row r="165" spans="1:5" ht="24" customHeight="1" x14ac:dyDescent="0.35">
      <c r="A165" s="284" t="s">
        <v>520</v>
      </c>
      <c r="B165" s="284"/>
      <c r="C165" s="284"/>
      <c r="D165" s="284"/>
      <c r="E165" s="284"/>
    </row>
    <row r="166" spans="1:5" ht="25.5" customHeight="1" x14ac:dyDescent="0.35">
      <c r="A166" s="279" t="s">
        <v>521</v>
      </c>
      <c r="B166" s="279"/>
      <c r="C166" s="279"/>
      <c r="D166" s="279"/>
      <c r="E166" s="279"/>
    </row>
    <row r="167" spans="1:5" ht="21.75" customHeight="1" x14ac:dyDescent="0.35">
      <c r="A167" s="168" t="s">
        <v>522</v>
      </c>
      <c r="B167" s="285" t="s">
        <v>523</v>
      </c>
      <c r="C167" s="285"/>
      <c r="D167" s="285"/>
      <c r="E167" s="285"/>
    </row>
    <row r="168" spans="1:5" ht="27.75" customHeight="1" x14ac:dyDescent="0.35">
      <c r="A168" s="169" t="s">
        <v>524</v>
      </c>
      <c r="B168" s="286" t="s">
        <v>525</v>
      </c>
      <c r="C168" s="286"/>
      <c r="D168" s="286"/>
      <c r="E168" s="286"/>
    </row>
    <row r="169" spans="1:5" ht="27.75" customHeight="1" x14ac:dyDescent="0.35">
      <c r="A169" s="170" t="s">
        <v>526</v>
      </c>
      <c r="B169" s="287" t="s">
        <v>527</v>
      </c>
      <c r="C169" s="287"/>
      <c r="D169" s="287"/>
      <c r="E169" s="287"/>
    </row>
    <row r="170" spans="1:5" ht="27.75" customHeight="1" x14ac:dyDescent="0.35">
      <c r="A170" s="171" t="s">
        <v>528</v>
      </c>
      <c r="B170" s="288" t="s">
        <v>529</v>
      </c>
      <c r="C170" s="288"/>
      <c r="D170" s="288"/>
      <c r="E170" s="288"/>
    </row>
    <row r="171" spans="1:5" ht="27.75" customHeight="1" x14ac:dyDescent="0.35">
      <c r="A171" s="172" t="s">
        <v>530</v>
      </c>
      <c r="B171" s="289" t="s">
        <v>531</v>
      </c>
      <c r="C171" s="289"/>
      <c r="D171" s="289"/>
      <c r="E171" s="289"/>
    </row>
    <row r="172" spans="1:5" ht="27.75" customHeight="1" x14ac:dyDescent="0.35">
      <c r="A172" s="173" t="s">
        <v>532</v>
      </c>
      <c r="B172" s="290" t="s">
        <v>533</v>
      </c>
      <c r="C172" s="290"/>
      <c r="D172" s="290"/>
      <c r="E172" s="290"/>
    </row>
    <row r="174" spans="1:5" ht="30" customHeight="1" x14ac:dyDescent="0.35">
      <c r="A174" s="61" t="s">
        <v>534</v>
      </c>
      <c r="B174" s="164"/>
      <c r="C174" s="253" t="s">
        <v>535</v>
      </c>
      <c r="D174" s="253"/>
      <c r="E174" s="253"/>
    </row>
    <row r="175" spans="1:5" ht="30" customHeight="1" x14ac:dyDescent="0.35">
      <c r="A175" s="61" t="s">
        <v>536</v>
      </c>
      <c r="B175" s="164"/>
      <c r="C175" s="253" t="s">
        <v>537</v>
      </c>
      <c r="D175" s="253"/>
      <c r="E175" s="253"/>
    </row>
    <row r="176" spans="1:5" ht="30" customHeight="1" x14ac:dyDescent="0.35">
      <c r="A176" s="61" t="s">
        <v>538</v>
      </c>
      <c r="B176" s="164"/>
      <c r="C176" s="253" t="s">
        <v>539</v>
      </c>
      <c r="D176" s="253"/>
      <c r="E176" s="253"/>
    </row>
    <row r="177" spans="1:5" ht="30" customHeight="1" x14ac:dyDescent="0.35">
      <c r="A177" s="61" t="s">
        <v>540</v>
      </c>
      <c r="B177" s="164"/>
      <c r="C177" s="253" t="s">
        <v>541</v>
      </c>
      <c r="D177" s="253"/>
      <c r="E177" s="253"/>
    </row>
    <row r="179" spans="1:5" ht="25.5" customHeight="1" x14ac:dyDescent="0.35">
      <c r="A179" s="291" t="s">
        <v>542</v>
      </c>
      <c r="B179" s="291"/>
      <c r="C179" s="291"/>
      <c r="D179" s="291"/>
      <c r="E179" s="291"/>
    </row>
    <row r="180" spans="1:5" ht="19.5" customHeight="1" x14ac:dyDescent="0.35">
      <c r="A180" s="292" t="s">
        <v>543</v>
      </c>
      <c r="B180" s="292"/>
      <c r="C180" s="292"/>
      <c r="D180" s="292"/>
      <c r="E180" s="292"/>
    </row>
    <row r="181" spans="1:5" ht="30" customHeight="1" x14ac:dyDescent="0.35">
      <c r="A181" s="74" t="s">
        <v>544</v>
      </c>
      <c r="B181" s="174"/>
      <c r="C181" s="253" t="s">
        <v>545</v>
      </c>
      <c r="D181" s="253"/>
      <c r="E181" s="253"/>
    </row>
    <row r="182" spans="1:5" ht="30" customHeight="1" x14ac:dyDescent="0.35">
      <c r="A182" s="74" t="s">
        <v>546</v>
      </c>
      <c r="B182" s="174"/>
      <c r="C182" s="253" t="s">
        <v>547</v>
      </c>
      <c r="D182" s="253"/>
      <c r="E182" s="253"/>
    </row>
    <row r="183" spans="1:5" ht="30" customHeight="1" x14ac:dyDescent="0.35">
      <c r="A183" s="74" t="s">
        <v>548</v>
      </c>
      <c r="B183" s="174"/>
      <c r="C183" s="253" t="s">
        <v>549</v>
      </c>
      <c r="D183" s="253"/>
      <c r="E183" s="253"/>
    </row>
    <row r="184" spans="1:5" ht="30" customHeight="1" x14ac:dyDescent="0.35">
      <c r="A184" s="74" t="s">
        <v>550</v>
      </c>
      <c r="B184" s="174"/>
      <c r="C184" s="253" t="s">
        <v>551</v>
      </c>
      <c r="D184" s="253"/>
      <c r="E184" s="253"/>
    </row>
    <row r="185" spans="1:5" ht="30" customHeight="1" x14ac:dyDescent="0.35">
      <c r="A185" s="74" t="s">
        <v>552</v>
      </c>
      <c r="B185" s="174"/>
      <c r="C185" s="253" t="s">
        <v>553</v>
      </c>
      <c r="D185" s="253"/>
      <c r="E185" s="253"/>
    </row>
    <row r="186" spans="1:5" ht="30" customHeight="1" x14ac:dyDescent="0.35">
      <c r="A186" s="74" t="s">
        <v>554</v>
      </c>
      <c r="B186" s="174"/>
      <c r="C186" s="253" t="s">
        <v>555</v>
      </c>
      <c r="D186" s="253"/>
      <c r="E186" s="253"/>
    </row>
    <row r="187" spans="1:5" ht="30" customHeight="1" x14ac:dyDescent="0.35">
      <c r="A187" s="74" t="s">
        <v>556</v>
      </c>
      <c r="B187" s="174"/>
      <c r="C187" s="253" t="s">
        <v>557</v>
      </c>
      <c r="D187" s="253"/>
      <c r="E187" s="253"/>
    </row>
    <row r="188" spans="1:5" ht="30" customHeight="1" x14ac:dyDescent="0.35">
      <c r="A188" s="74" t="s">
        <v>558</v>
      </c>
      <c r="B188" s="174"/>
      <c r="C188" s="253" t="s">
        <v>559</v>
      </c>
      <c r="D188" s="253"/>
      <c r="E188" s="253"/>
    </row>
    <row r="189" spans="1:5" ht="30" customHeight="1" x14ac:dyDescent="0.35">
      <c r="A189" s="74" t="s">
        <v>560</v>
      </c>
      <c r="B189" s="174"/>
      <c r="C189" s="253" t="s">
        <v>561</v>
      </c>
      <c r="D189" s="253"/>
      <c r="E189" s="253"/>
    </row>
    <row r="190" spans="1:5" ht="30" customHeight="1" x14ac:dyDescent="0.35">
      <c r="A190" s="74" t="s">
        <v>562</v>
      </c>
      <c r="B190" s="174"/>
      <c r="C190" s="253" t="s">
        <v>563</v>
      </c>
      <c r="D190" s="253"/>
      <c r="E190" s="253"/>
    </row>
    <row r="191" spans="1:5" ht="30" customHeight="1" x14ac:dyDescent="0.35">
      <c r="A191" s="74" t="s">
        <v>564</v>
      </c>
      <c r="B191" s="174"/>
      <c r="C191" s="253" t="s">
        <v>565</v>
      </c>
      <c r="D191" s="253"/>
      <c r="E191" s="253"/>
    </row>
    <row r="192" spans="1:5" ht="30" customHeight="1" x14ac:dyDescent="0.35">
      <c r="A192" s="74" t="s">
        <v>566</v>
      </c>
      <c r="B192" s="174"/>
      <c r="C192" s="253" t="s">
        <v>567</v>
      </c>
      <c r="D192" s="253"/>
      <c r="E192" s="253"/>
    </row>
    <row r="194" spans="1:5" ht="25.5" customHeight="1" x14ac:dyDescent="0.35">
      <c r="A194" s="293" t="s">
        <v>568</v>
      </c>
      <c r="B194" s="293"/>
      <c r="C194" s="293"/>
      <c r="D194" s="293"/>
      <c r="E194" s="293"/>
    </row>
    <row r="195" spans="1:5" ht="27.75" customHeight="1" x14ac:dyDescent="0.35">
      <c r="A195" s="61" t="s">
        <v>569</v>
      </c>
      <c r="B195" s="165"/>
      <c r="C195" s="253" t="s">
        <v>570</v>
      </c>
      <c r="D195" s="253"/>
      <c r="E195" s="253"/>
    </row>
    <row r="196" spans="1:5" ht="27.75" customHeight="1" x14ac:dyDescent="0.35">
      <c r="A196" s="61" t="s">
        <v>571</v>
      </c>
      <c r="B196" s="165"/>
      <c r="C196" s="253" t="s">
        <v>572</v>
      </c>
      <c r="D196" s="253"/>
      <c r="E196" s="253"/>
    </row>
    <row r="197" spans="1:5" ht="27.75" customHeight="1" x14ac:dyDescent="0.35">
      <c r="A197" s="61" t="s">
        <v>573</v>
      </c>
      <c r="B197" s="165"/>
      <c r="C197" s="253" t="s">
        <v>574</v>
      </c>
      <c r="D197" s="253"/>
      <c r="E197" s="253"/>
    </row>
    <row r="198" spans="1:5" ht="27.75" customHeight="1" x14ac:dyDescent="0.35">
      <c r="A198" s="61" t="s">
        <v>575</v>
      </c>
      <c r="B198" s="165"/>
      <c r="C198" s="253" t="s">
        <v>576</v>
      </c>
      <c r="D198" s="253"/>
      <c r="E198" s="253"/>
    </row>
    <row r="199" spans="1:5" ht="27.75" customHeight="1" x14ac:dyDescent="0.35">
      <c r="A199" s="61" t="s">
        <v>577</v>
      </c>
      <c r="B199" s="165"/>
      <c r="C199" s="253" t="s">
        <v>578</v>
      </c>
      <c r="D199" s="253"/>
      <c r="E199" s="253"/>
    </row>
    <row r="200" spans="1:5" ht="27.75" customHeight="1" x14ac:dyDescent="0.35">
      <c r="A200" s="61" t="s">
        <v>579</v>
      </c>
      <c r="B200" s="165"/>
      <c r="C200" s="253" t="s">
        <v>580</v>
      </c>
      <c r="D200" s="253"/>
      <c r="E200" s="253"/>
    </row>
    <row r="201" spans="1:5" ht="27.75" customHeight="1" x14ac:dyDescent="0.35">
      <c r="A201" s="61" t="s">
        <v>581</v>
      </c>
      <c r="B201" s="165"/>
      <c r="C201" s="253" t="s">
        <v>582</v>
      </c>
      <c r="D201" s="253"/>
      <c r="E201" s="253"/>
    </row>
    <row r="203" spans="1:5" ht="25.5" customHeight="1" x14ac:dyDescent="0.35">
      <c r="A203" s="272" t="s">
        <v>583</v>
      </c>
      <c r="B203" s="272"/>
      <c r="C203" s="272"/>
      <c r="D203" s="272"/>
      <c r="E203" s="272"/>
    </row>
    <row r="204" spans="1:5" ht="25.5" customHeight="1" x14ac:dyDescent="0.35">
      <c r="A204" s="96" t="s">
        <v>584</v>
      </c>
      <c r="B204" s="294" t="s">
        <v>585</v>
      </c>
      <c r="C204" s="294"/>
      <c r="D204" s="294"/>
      <c r="E204" s="294"/>
    </row>
    <row r="205" spans="1:5" ht="43.5" customHeight="1" x14ac:dyDescent="0.35">
      <c r="A205" s="202"/>
      <c r="B205" s="202"/>
      <c r="C205" s="202"/>
      <c r="D205" s="202"/>
      <c r="E205" s="202"/>
    </row>
    <row r="206" spans="1:5" ht="25.5" customHeight="1" x14ac:dyDescent="0.35">
      <c r="A206" s="96" t="s">
        <v>586</v>
      </c>
      <c r="B206" s="294" t="s">
        <v>587</v>
      </c>
      <c r="C206" s="294"/>
      <c r="D206" s="294"/>
      <c r="E206" s="294"/>
    </row>
    <row r="207" spans="1:5" ht="43.5" customHeight="1" x14ac:dyDescent="0.35">
      <c r="A207" s="202"/>
      <c r="B207" s="202"/>
      <c r="C207" s="202"/>
      <c r="D207" s="202"/>
      <c r="E207" s="202"/>
    </row>
    <row r="208" spans="1:5" ht="25.5" customHeight="1" x14ac:dyDescent="0.35">
      <c r="A208" s="96" t="s">
        <v>588</v>
      </c>
      <c r="B208" s="294" t="s">
        <v>589</v>
      </c>
      <c r="C208" s="294"/>
      <c r="D208" s="294"/>
      <c r="E208" s="294"/>
    </row>
    <row r="209" spans="1:5" ht="43.5" customHeight="1" x14ac:dyDescent="0.35">
      <c r="A209" s="202"/>
      <c r="B209" s="202"/>
      <c r="C209" s="202"/>
      <c r="D209" s="202"/>
      <c r="E209" s="202"/>
    </row>
    <row r="210" spans="1:5" ht="25.5" customHeight="1" x14ac:dyDescent="0.35">
      <c r="A210" s="96" t="s">
        <v>590</v>
      </c>
      <c r="B210" s="294" t="s">
        <v>591</v>
      </c>
      <c r="C210" s="294"/>
      <c r="D210" s="294"/>
      <c r="E210" s="294"/>
    </row>
    <row r="211" spans="1:5" ht="43.5" customHeight="1" x14ac:dyDescent="0.35">
      <c r="A211" s="202"/>
      <c r="B211" s="202"/>
      <c r="C211" s="202"/>
      <c r="D211" s="202"/>
      <c r="E211" s="202"/>
    </row>
  </sheetData>
  <mergeCells count="160">
    <mergeCell ref="A205:E205"/>
    <mergeCell ref="B206:E206"/>
    <mergeCell ref="A207:E207"/>
    <mergeCell ref="B208:E208"/>
    <mergeCell ref="A209:E209"/>
    <mergeCell ref="B210:E210"/>
    <mergeCell ref="A211:E211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A1:D1"/>
    <mergeCell ref="A2:D2"/>
    <mergeCell ref="A3:D3"/>
    <mergeCell ref="A5:D5"/>
    <mergeCell ref="C6:D6"/>
    <mergeCell ref="C7:D7"/>
    <mergeCell ref="C8:D8"/>
    <mergeCell ref="C9:D9"/>
    <mergeCell ref="C10:D10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0000000}">
          <x14:formula1>
            <xm:f>Listas!$U$2:$U$8</xm:f>
          </x14:formula1>
          <x14:formula2>
            <xm:f>0</xm:f>
          </x14:formula2>
          <xm:sqref>B68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11"/>
  <sheetViews>
    <sheetView view="pageBreakPreview"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249" t="s">
        <v>607</v>
      </c>
      <c r="B1" s="249"/>
      <c r="C1" s="249"/>
      <c r="D1" s="249"/>
    </row>
    <row r="2" spans="1:4" ht="18" customHeight="1" x14ac:dyDescent="0.35">
      <c r="A2" s="250" t="s">
        <v>302</v>
      </c>
      <c r="B2" s="250"/>
      <c r="C2" s="250"/>
      <c r="D2" s="250"/>
    </row>
    <row r="3" spans="1:4" ht="19.5" customHeight="1" x14ac:dyDescent="0.35">
      <c r="A3" s="251" t="s">
        <v>303</v>
      </c>
      <c r="B3" s="251"/>
      <c r="C3" s="251"/>
      <c r="D3" s="251"/>
    </row>
    <row r="5" spans="1:4" ht="21.75" customHeight="1" x14ac:dyDescent="0.35">
      <c r="A5" s="252" t="s">
        <v>304</v>
      </c>
      <c r="B5" s="252"/>
      <c r="C5" s="252"/>
      <c r="D5" s="252"/>
    </row>
    <row r="6" spans="1:4" ht="24" customHeight="1" x14ac:dyDescent="0.35">
      <c r="A6" s="61" t="s">
        <v>305</v>
      </c>
      <c r="B6" s="140"/>
      <c r="C6" s="253" t="s">
        <v>306</v>
      </c>
      <c r="D6" s="253"/>
    </row>
    <row r="7" spans="1:4" ht="24" customHeight="1" x14ac:dyDescent="0.35">
      <c r="A7" s="61" t="s">
        <v>307</v>
      </c>
      <c r="B7" s="140"/>
      <c r="C7" s="253" t="s">
        <v>308</v>
      </c>
      <c r="D7" s="253"/>
    </row>
    <row r="8" spans="1:4" ht="24" customHeight="1" x14ac:dyDescent="0.35">
      <c r="A8" s="61" t="s">
        <v>309</v>
      </c>
      <c r="B8" s="140"/>
      <c r="C8" s="253" t="s">
        <v>310</v>
      </c>
      <c r="D8" s="253"/>
    </row>
    <row r="9" spans="1:4" ht="24" customHeight="1" x14ac:dyDescent="0.35">
      <c r="A9" s="61" t="s">
        <v>311</v>
      </c>
      <c r="B9" s="140"/>
      <c r="C9" s="253" t="s">
        <v>312</v>
      </c>
      <c r="D9" s="253"/>
    </row>
    <row r="10" spans="1:4" ht="24" customHeight="1" x14ac:dyDescent="0.35">
      <c r="A10" s="61" t="s">
        <v>313</v>
      </c>
      <c r="B10" s="140"/>
      <c r="C10" s="253" t="s">
        <v>314</v>
      </c>
      <c r="D10" s="253"/>
    </row>
    <row r="11" spans="1:4" ht="24" customHeight="1" x14ac:dyDescent="0.35">
      <c r="A11" s="61" t="s">
        <v>315</v>
      </c>
      <c r="B11" s="140"/>
      <c r="C11" s="253" t="s">
        <v>316</v>
      </c>
      <c r="D11" s="253"/>
    </row>
    <row r="13" spans="1:4" ht="21.75" customHeight="1" x14ac:dyDescent="0.35">
      <c r="A13" s="252" t="s">
        <v>317</v>
      </c>
      <c r="B13" s="252"/>
      <c r="C13" s="252"/>
      <c r="D13" s="252"/>
    </row>
    <row r="14" spans="1:4" ht="19.5" customHeight="1" x14ac:dyDescent="0.35">
      <c r="A14" s="138" t="s">
        <v>6</v>
      </c>
      <c r="B14" s="254" t="s">
        <v>318</v>
      </c>
      <c r="C14" s="254"/>
      <c r="D14" s="254"/>
    </row>
    <row r="15" spans="1:4" ht="21.75" customHeight="1" x14ac:dyDescent="0.35">
      <c r="A15" s="142" t="s">
        <v>9</v>
      </c>
      <c r="B15" s="255" t="s">
        <v>319</v>
      </c>
      <c r="C15" s="255"/>
      <c r="D15" s="255"/>
    </row>
    <row r="16" spans="1:4" ht="21.75" customHeight="1" x14ac:dyDescent="0.35">
      <c r="A16" s="143" t="s">
        <v>12</v>
      </c>
      <c r="B16" s="256" t="s">
        <v>320</v>
      </c>
      <c r="C16" s="256"/>
      <c r="D16" s="256"/>
    </row>
    <row r="17" spans="1:5" ht="21.75" customHeight="1" x14ac:dyDescent="0.35">
      <c r="A17" s="144" t="s">
        <v>15</v>
      </c>
      <c r="B17" s="257" t="s">
        <v>321</v>
      </c>
      <c r="C17" s="257"/>
      <c r="D17" s="257"/>
    </row>
    <row r="18" spans="1:5" ht="21.75" customHeight="1" x14ac:dyDescent="0.35">
      <c r="A18" s="145" t="s">
        <v>322</v>
      </c>
      <c r="B18" s="258" t="s">
        <v>323</v>
      </c>
      <c r="C18" s="258"/>
      <c r="D18" s="258"/>
    </row>
    <row r="19" spans="1:5" ht="21.75" customHeight="1" x14ac:dyDescent="0.35">
      <c r="A19" s="146" t="s">
        <v>21</v>
      </c>
      <c r="B19" s="259" t="s">
        <v>324</v>
      </c>
      <c r="C19" s="259"/>
      <c r="D19" s="259"/>
    </row>
    <row r="20" spans="1:5" ht="21.75" customHeight="1" x14ac:dyDescent="0.35">
      <c r="A20" s="147" t="s">
        <v>24</v>
      </c>
      <c r="B20" s="260" t="s">
        <v>325</v>
      </c>
      <c r="C20" s="260"/>
      <c r="D20" s="260"/>
    </row>
    <row r="22" spans="1:5" ht="30" customHeight="1" x14ac:dyDescent="0.35">
      <c r="A22" s="61" t="s">
        <v>326</v>
      </c>
      <c r="B22" s="148"/>
      <c r="C22" s="261" t="s">
        <v>327</v>
      </c>
      <c r="D22" s="261"/>
    </row>
    <row r="23" spans="1:5" ht="30" customHeight="1" x14ac:dyDescent="0.35">
      <c r="A23" s="149" t="s">
        <v>328</v>
      </c>
      <c r="B23" s="150" t="s">
        <v>322</v>
      </c>
      <c r="C23" s="262" t="s">
        <v>329</v>
      </c>
      <c r="D23" s="262"/>
    </row>
    <row r="24" spans="1:5" ht="39.75" customHeight="1" x14ac:dyDescent="0.35">
      <c r="A24" s="61" t="s">
        <v>330</v>
      </c>
      <c r="B24" s="263"/>
      <c r="C24" s="263"/>
      <c r="D24" s="263"/>
    </row>
    <row r="26" spans="1:5" ht="21.75" customHeight="1" x14ac:dyDescent="0.35">
      <c r="A26" s="252" t="s">
        <v>331</v>
      </c>
      <c r="B26" s="252"/>
      <c r="C26" s="252"/>
      <c r="D26" s="252"/>
    </row>
    <row r="27" spans="1:5" ht="21.75" customHeight="1" x14ac:dyDescent="0.35">
      <c r="A27" s="152" t="s">
        <v>332</v>
      </c>
      <c r="B27" s="152" t="s">
        <v>333</v>
      </c>
      <c r="C27" s="152" t="s">
        <v>334</v>
      </c>
      <c r="D27" s="152" t="s">
        <v>335</v>
      </c>
      <c r="E27" s="15" t="s">
        <v>336</v>
      </c>
    </row>
    <row r="28" spans="1:5" ht="18" customHeight="1" x14ac:dyDescent="0.35">
      <c r="A28" s="229" t="s">
        <v>230</v>
      </c>
      <c r="B28" s="229"/>
      <c r="C28" s="229"/>
      <c r="D28" s="229"/>
      <c r="E28" s="113"/>
    </row>
    <row r="29" spans="1:5" ht="30" customHeight="1" x14ac:dyDescent="0.35">
      <c r="A29" s="153" t="s">
        <v>337</v>
      </c>
      <c r="B29" s="154"/>
      <c r="C29" s="23" t="s">
        <v>15</v>
      </c>
      <c r="D29" s="155" t="s">
        <v>338</v>
      </c>
      <c r="E29" s="156"/>
    </row>
    <row r="30" spans="1:5" ht="30" customHeight="1" x14ac:dyDescent="0.35">
      <c r="A30" s="153" t="s">
        <v>339</v>
      </c>
      <c r="B30" s="154"/>
      <c r="C30" s="26" t="s">
        <v>322</v>
      </c>
      <c r="D30" s="155" t="s">
        <v>340</v>
      </c>
      <c r="E30" s="156"/>
    </row>
    <row r="31" spans="1:5" ht="18" customHeight="1" x14ac:dyDescent="0.35">
      <c r="A31" s="229" t="s">
        <v>233</v>
      </c>
      <c r="B31" s="229"/>
      <c r="C31" s="229"/>
      <c r="D31" s="229"/>
      <c r="E31" s="113"/>
    </row>
    <row r="32" spans="1:5" ht="30" customHeight="1" x14ac:dyDescent="0.35">
      <c r="A32" s="153" t="s">
        <v>341</v>
      </c>
      <c r="B32" s="154"/>
      <c r="C32" s="23" t="s">
        <v>15</v>
      </c>
      <c r="D32" s="155" t="s">
        <v>342</v>
      </c>
      <c r="E32" s="156"/>
    </row>
    <row r="33" spans="1:5" ht="30" customHeight="1" x14ac:dyDescent="0.35">
      <c r="A33" s="153" t="s">
        <v>343</v>
      </c>
      <c r="B33" s="154"/>
      <c r="C33" s="26" t="s">
        <v>322</v>
      </c>
      <c r="D33" s="155" t="s">
        <v>344</v>
      </c>
      <c r="E33" s="156"/>
    </row>
    <row r="34" spans="1:5" ht="30" customHeight="1" x14ac:dyDescent="0.35">
      <c r="A34" s="153" t="s">
        <v>345</v>
      </c>
      <c r="B34" s="154"/>
      <c r="C34" s="23" t="s">
        <v>15</v>
      </c>
      <c r="D34" s="155" t="s">
        <v>346</v>
      </c>
      <c r="E34" s="156"/>
    </row>
    <row r="35" spans="1:5" ht="30" customHeight="1" x14ac:dyDescent="0.35">
      <c r="A35" s="153" t="s">
        <v>347</v>
      </c>
      <c r="B35" s="154"/>
      <c r="C35" s="26" t="s">
        <v>322</v>
      </c>
      <c r="D35" s="155" t="s">
        <v>348</v>
      </c>
      <c r="E35" s="156"/>
    </row>
    <row r="36" spans="1:5" ht="18" customHeight="1" x14ac:dyDescent="0.35">
      <c r="A36" s="229" t="s">
        <v>238</v>
      </c>
      <c r="B36" s="229"/>
      <c r="C36" s="229"/>
      <c r="D36" s="229"/>
      <c r="E36" s="113"/>
    </row>
    <row r="37" spans="1:5" ht="30" customHeight="1" x14ac:dyDescent="0.35">
      <c r="A37" s="153" t="s">
        <v>349</v>
      </c>
      <c r="B37" s="154"/>
      <c r="C37" s="23" t="s">
        <v>15</v>
      </c>
      <c r="D37" s="155" t="s">
        <v>350</v>
      </c>
      <c r="E37" s="156"/>
    </row>
    <row r="38" spans="1:5" ht="30" customHeight="1" x14ac:dyDescent="0.35">
      <c r="A38" s="153" t="s">
        <v>351</v>
      </c>
      <c r="B38" s="154"/>
      <c r="C38" s="26" t="s">
        <v>322</v>
      </c>
      <c r="D38" s="155" t="s">
        <v>352</v>
      </c>
      <c r="E38" s="156"/>
    </row>
    <row r="39" spans="1:5" ht="30" customHeight="1" x14ac:dyDescent="0.35">
      <c r="A39" s="153" t="s">
        <v>353</v>
      </c>
      <c r="B39" s="154"/>
      <c r="C39" s="26" t="s">
        <v>322</v>
      </c>
      <c r="D39" s="155" t="s">
        <v>354</v>
      </c>
      <c r="E39" s="156"/>
    </row>
    <row r="40" spans="1:5" ht="30" customHeight="1" x14ac:dyDescent="0.35">
      <c r="A40" s="153" t="s">
        <v>355</v>
      </c>
      <c r="B40" s="154"/>
      <c r="C40" s="23" t="s">
        <v>15</v>
      </c>
      <c r="D40" s="155" t="s">
        <v>356</v>
      </c>
      <c r="E40" s="156"/>
    </row>
    <row r="41" spans="1:5" ht="18" customHeight="1" x14ac:dyDescent="0.35">
      <c r="A41" s="229" t="s">
        <v>243</v>
      </c>
      <c r="B41" s="229"/>
      <c r="C41" s="229"/>
      <c r="D41" s="229"/>
      <c r="E41" s="113"/>
    </row>
    <row r="42" spans="1:5" ht="30" customHeight="1" x14ac:dyDescent="0.35">
      <c r="A42" s="153" t="s">
        <v>357</v>
      </c>
      <c r="B42" s="154"/>
      <c r="C42" s="23" t="s">
        <v>15</v>
      </c>
      <c r="D42" s="155" t="s">
        <v>358</v>
      </c>
      <c r="E42" s="156"/>
    </row>
    <row r="43" spans="1:5" ht="30" customHeight="1" x14ac:dyDescent="0.35">
      <c r="A43" s="153" t="s">
        <v>359</v>
      </c>
      <c r="B43" s="154"/>
      <c r="C43" s="23" t="s">
        <v>15</v>
      </c>
      <c r="D43" s="155" t="s">
        <v>360</v>
      </c>
      <c r="E43" s="156"/>
    </row>
    <row r="44" spans="1:5" ht="30" customHeight="1" x14ac:dyDescent="0.35">
      <c r="A44" s="153" t="s">
        <v>361</v>
      </c>
      <c r="B44" s="154"/>
      <c r="C44" s="26" t="s">
        <v>322</v>
      </c>
      <c r="D44" s="155" t="s">
        <v>362</v>
      </c>
      <c r="E44" s="156"/>
    </row>
    <row r="45" spans="1:5" ht="30" customHeight="1" x14ac:dyDescent="0.35">
      <c r="A45" s="153" t="s">
        <v>363</v>
      </c>
      <c r="B45" s="154"/>
      <c r="C45" s="26" t="s">
        <v>322</v>
      </c>
      <c r="D45" s="155" t="s">
        <v>364</v>
      </c>
      <c r="E45" s="156"/>
    </row>
    <row r="46" spans="1:5" ht="30" customHeight="1" x14ac:dyDescent="0.35">
      <c r="A46" s="153" t="s">
        <v>365</v>
      </c>
      <c r="B46" s="154"/>
      <c r="C46" s="23" t="s">
        <v>15</v>
      </c>
      <c r="D46" s="155" t="s">
        <v>366</v>
      </c>
      <c r="E46" s="156"/>
    </row>
    <row r="47" spans="1:5" ht="30" customHeight="1" x14ac:dyDescent="0.35">
      <c r="A47" s="153" t="s">
        <v>367</v>
      </c>
      <c r="B47" s="154"/>
      <c r="C47" s="29" t="s">
        <v>21</v>
      </c>
      <c r="D47" s="155" t="s">
        <v>368</v>
      </c>
      <c r="E47" s="156"/>
    </row>
    <row r="48" spans="1:5" ht="30" customHeight="1" x14ac:dyDescent="0.35">
      <c r="A48" s="153" t="s">
        <v>369</v>
      </c>
      <c r="B48" s="154"/>
      <c r="C48" s="26" t="s">
        <v>322</v>
      </c>
      <c r="D48" s="155" t="s">
        <v>370</v>
      </c>
      <c r="E48" s="156"/>
    </row>
    <row r="50" spans="1:5" ht="21.75" customHeight="1" x14ac:dyDescent="0.35">
      <c r="A50" s="252" t="s">
        <v>371</v>
      </c>
      <c r="B50" s="252"/>
      <c r="C50" s="252"/>
      <c r="D50" s="252"/>
    </row>
    <row r="51" spans="1:5" ht="19.5" customHeight="1" x14ac:dyDescent="0.35">
      <c r="A51" s="226" t="s">
        <v>372</v>
      </c>
      <c r="B51" s="226"/>
      <c r="C51" s="226"/>
      <c r="D51" s="226"/>
    </row>
    <row r="52" spans="1:5" ht="21.75" customHeight="1" x14ac:dyDescent="0.35">
      <c r="A52" s="152" t="s">
        <v>373</v>
      </c>
      <c r="B52" s="152" t="s">
        <v>374</v>
      </c>
      <c r="C52" s="118" t="s">
        <v>375</v>
      </c>
      <c r="D52" s="118" t="s">
        <v>376</v>
      </c>
    </row>
    <row r="53" spans="1:5" ht="39.75" customHeight="1" x14ac:dyDescent="0.35">
      <c r="A53" s="85" t="s">
        <v>377</v>
      </c>
      <c r="B53" s="157"/>
      <c r="C53" s="158" t="s">
        <v>378</v>
      </c>
      <c r="D53" s="140"/>
    </row>
    <row r="54" spans="1:5" ht="39.75" customHeight="1" x14ac:dyDescent="0.35">
      <c r="A54" s="74" t="s">
        <v>379</v>
      </c>
      <c r="B54" s="157"/>
      <c r="C54" s="158" t="s">
        <v>380</v>
      </c>
      <c r="D54" s="140"/>
    </row>
    <row r="55" spans="1:5" ht="39.75" customHeight="1" x14ac:dyDescent="0.35">
      <c r="A55" s="85" t="s">
        <v>381</v>
      </c>
      <c r="B55" s="157"/>
      <c r="C55" s="158" t="s">
        <v>382</v>
      </c>
      <c r="D55" s="140"/>
    </row>
    <row r="56" spans="1:5" ht="39.75" customHeight="1" x14ac:dyDescent="0.35">
      <c r="A56" s="88" t="s">
        <v>383</v>
      </c>
      <c r="B56" s="157"/>
      <c r="C56" s="158" t="s">
        <v>384</v>
      </c>
      <c r="D56" s="140"/>
    </row>
    <row r="57" spans="1:5" ht="39.75" customHeight="1" x14ac:dyDescent="0.35">
      <c r="A57" s="89" t="s">
        <v>385</v>
      </c>
      <c r="B57" s="157"/>
      <c r="C57" s="158" t="s">
        <v>386</v>
      </c>
      <c r="D57" s="140"/>
    </row>
    <row r="58" spans="1:5" ht="39.75" customHeight="1" x14ac:dyDescent="0.35">
      <c r="A58" s="90" t="s">
        <v>387</v>
      </c>
      <c r="B58" s="157"/>
      <c r="C58" s="158" t="s">
        <v>388</v>
      </c>
      <c r="D58" s="140"/>
    </row>
    <row r="59" spans="1:5" ht="39.75" customHeight="1" x14ac:dyDescent="0.35">
      <c r="A59" s="91" t="s">
        <v>389</v>
      </c>
      <c r="B59" s="157"/>
      <c r="C59" s="158" t="s">
        <v>390</v>
      </c>
      <c r="D59" s="140"/>
    </row>
    <row r="60" spans="1:5" ht="36" customHeight="1" x14ac:dyDescent="0.35">
      <c r="A60" s="159" t="s">
        <v>391</v>
      </c>
      <c r="B60" s="160"/>
      <c r="C60" s="140"/>
      <c r="D60" s="140"/>
      <c r="E60" s="161"/>
    </row>
    <row r="61" spans="1:5" ht="36" customHeight="1" x14ac:dyDescent="0.35">
      <c r="A61" s="264" t="s">
        <v>392</v>
      </c>
      <c r="B61" s="264"/>
      <c r="C61" s="264"/>
      <c r="D61" s="264"/>
      <c r="E61" s="161"/>
    </row>
    <row r="62" spans="1:5" ht="36" customHeight="1" x14ac:dyDescent="0.35">
      <c r="A62" s="159" t="s">
        <v>393</v>
      </c>
      <c r="B62" s="160"/>
      <c r="C62" s="265"/>
      <c r="D62" s="265"/>
      <c r="E62" s="161"/>
    </row>
    <row r="63" spans="1:5" ht="36" customHeight="1" x14ac:dyDescent="0.35">
      <c r="A63" s="159" t="s">
        <v>394</v>
      </c>
      <c r="B63" s="160"/>
      <c r="C63" s="265"/>
      <c r="D63" s="265"/>
      <c r="E63" s="161"/>
    </row>
    <row r="64" spans="1:5" ht="36" customHeight="1" x14ac:dyDescent="0.35">
      <c r="A64" s="159" t="s">
        <v>395</v>
      </c>
      <c r="B64" s="160"/>
      <c r="C64" s="265"/>
      <c r="D64" s="265"/>
      <c r="E64" s="161"/>
    </row>
    <row r="65" spans="1:4" ht="27.75" customHeight="1" x14ac:dyDescent="0.35">
      <c r="C65" s="180"/>
      <c r="D65" s="180"/>
    </row>
    <row r="66" spans="1:4" ht="27.75" customHeight="1" x14ac:dyDescent="0.35">
      <c r="A66" s="139" t="s">
        <v>396</v>
      </c>
      <c r="C66" s="180"/>
      <c r="D66" s="180"/>
    </row>
    <row r="67" spans="1:4" ht="27.75" customHeight="1" x14ac:dyDescent="0.35">
      <c r="A67" s="61" t="s">
        <v>397</v>
      </c>
      <c r="B67" s="140"/>
      <c r="C67" s="253" t="s">
        <v>398</v>
      </c>
      <c r="D67" s="253"/>
    </row>
    <row r="68" spans="1:4" ht="27.75" customHeight="1" x14ac:dyDescent="0.35">
      <c r="A68" s="61" t="s">
        <v>399</v>
      </c>
      <c r="B68" s="140"/>
      <c r="C68" s="253" t="s">
        <v>400</v>
      </c>
      <c r="D68" s="253"/>
    </row>
    <row r="69" spans="1:4" ht="27.75" customHeight="1" x14ac:dyDescent="0.35">
      <c r="A69" s="61" t="s">
        <v>401</v>
      </c>
      <c r="B69" s="140"/>
      <c r="C69" s="253" t="s">
        <v>402</v>
      </c>
      <c r="D69" s="253"/>
    </row>
    <row r="70" spans="1:4" ht="27.75" customHeight="1" x14ac:dyDescent="0.35">
      <c r="A70" s="61" t="s">
        <v>403</v>
      </c>
      <c r="B70" s="140"/>
      <c r="C70" s="253" t="s">
        <v>404</v>
      </c>
      <c r="D70" s="253"/>
    </row>
    <row r="71" spans="1:4" ht="21.75" customHeight="1" x14ac:dyDescent="0.35">
      <c r="A71" s="61" t="s">
        <v>405</v>
      </c>
      <c r="B71" s="140"/>
      <c r="C71" s="141" t="s">
        <v>406</v>
      </c>
    </row>
    <row r="72" spans="1:4" ht="21.75" customHeight="1" x14ac:dyDescent="0.35">
      <c r="A72" s="266" t="s">
        <v>285</v>
      </c>
      <c r="B72" s="266"/>
      <c r="C72" s="266"/>
      <c r="D72" s="266"/>
    </row>
    <row r="73" spans="1:4" ht="25.5" customHeight="1" x14ac:dyDescent="0.35">
      <c r="A73" s="61" t="s">
        <v>407</v>
      </c>
      <c r="B73" s="140"/>
      <c r="C73" s="253" t="s">
        <v>408</v>
      </c>
      <c r="D73" s="253"/>
    </row>
    <row r="74" spans="1:4" ht="25.5" customHeight="1" x14ac:dyDescent="0.35">
      <c r="A74" s="61" t="s">
        <v>409</v>
      </c>
      <c r="B74" s="140"/>
      <c r="C74" s="253" t="s">
        <v>410</v>
      </c>
      <c r="D74" s="253"/>
    </row>
    <row r="75" spans="1:4" ht="25.5" customHeight="1" x14ac:dyDescent="0.35">
      <c r="A75" s="61" t="s">
        <v>411</v>
      </c>
      <c r="B75" s="140"/>
      <c r="C75" s="253" t="s">
        <v>412</v>
      </c>
      <c r="D75" s="253"/>
    </row>
    <row r="76" spans="1:4" ht="25.5" customHeight="1" x14ac:dyDescent="0.35">
      <c r="C76" s="180"/>
      <c r="D76" s="180"/>
    </row>
    <row r="77" spans="1:4" ht="25.5" customHeight="1" x14ac:dyDescent="0.35">
      <c r="A77" s="139" t="s">
        <v>413</v>
      </c>
      <c r="C77" s="180"/>
      <c r="D77" s="180"/>
    </row>
    <row r="78" spans="1:4" ht="25.5" customHeight="1" x14ac:dyDescent="0.35">
      <c r="A78" s="61" t="s">
        <v>414</v>
      </c>
      <c r="B78" s="140"/>
      <c r="C78" s="253" t="s">
        <v>415</v>
      </c>
      <c r="D78" s="253"/>
    </row>
    <row r="79" spans="1:4" ht="25.5" customHeight="1" x14ac:dyDescent="0.35">
      <c r="A79" s="61" t="s">
        <v>416</v>
      </c>
      <c r="B79" s="140"/>
      <c r="C79" s="253" t="s">
        <v>417</v>
      </c>
      <c r="D79" s="253"/>
    </row>
    <row r="80" spans="1:4" ht="25.5" customHeight="1" x14ac:dyDescent="0.35">
      <c r="A80" s="61" t="s">
        <v>418</v>
      </c>
      <c r="B80" s="140"/>
      <c r="C80" s="253" t="s">
        <v>419</v>
      </c>
      <c r="D80" s="253"/>
    </row>
    <row r="81" spans="1:4" ht="25.5" customHeight="1" x14ac:dyDescent="0.35">
      <c r="A81" s="61" t="s">
        <v>420</v>
      </c>
      <c r="B81" s="140"/>
      <c r="C81" s="253" t="s">
        <v>421</v>
      </c>
      <c r="D81" s="253"/>
    </row>
    <row r="82" spans="1:4" ht="34.5" customHeight="1" x14ac:dyDescent="0.35">
      <c r="A82" s="61" t="s">
        <v>422</v>
      </c>
      <c r="B82" s="140"/>
      <c r="C82" s="141" t="s">
        <v>423</v>
      </c>
    </row>
    <row r="83" spans="1:4" ht="24" customHeight="1" x14ac:dyDescent="0.35">
      <c r="A83" s="266" t="s">
        <v>424</v>
      </c>
      <c r="B83" s="266"/>
      <c r="C83" s="266"/>
      <c r="D83" s="266"/>
    </row>
    <row r="84" spans="1:4" ht="24" customHeight="1" x14ac:dyDescent="0.35">
      <c r="A84" s="61" t="s">
        <v>425</v>
      </c>
      <c r="B84" s="267"/>
      <c r="C84" s="267"/>
      <c r="D84" s="267"/>
    </row>
    <row r="85" spans="1:4" ht="43.5" customHeight="1" x14ac:dyDescent="0.35">
      <c r="A85" s="266" t="s">
        <v>426</v>
      </c>
      <c r="B85" s="266"/>
      <c r="C85" s="266"/>
      <c r="D85" s="266"/>
    </row>
    <row r="86" spans="1:4" ht="24" customHeight="1" x14ac:dyDescent="0.35">
      <c r="A86" s="61" t="s">
        <v>427</v>
      </c>
      <c r="B86" s="267"/>
      <c r="C86" s="267"/>
      <c r="D86" s="267"/>
    </row>
    <row r="87" spans="1:4" ht="43.5" customHeight="1" x14ac:dyDescent="0.35">
      <c r="A87" s="180"/>
      <c r="B87" s="180"/>
      <c r="C87" s="180"/>
      <c r="D87" s="180"/>
    </row>
    <row r="88" spans="1:4" ht="24" customHeight="1" x14ac:dyDescent="0.35">
      <c r="A88" s="162" t="s">
        <v>428</v>
      </c>
      <c r="B88" s="180"/>
      <c r="C88" s="180"/>
      <c r="D88" s="180"/>
    </row>
    <row r="89" spans="1:4" ht="43.5" customHeight="1" x14ac:dyDescent="0.35">
      <c r="A89" s="268" t="s">
        <v>429</v>
      </c>
      <c r="B89" s="268"/>
      <c r="C89" s="268"/>
      <c r="D89" s="268"/>
    </row>
    <row r="90" spans="1:4" ht="24" customHeight="1" x14ac:dyDescent="0.35">
      <c r="A90" s="151"/>
      <c r="B90" s="180"/>
      <c r="C90" s="180"/>
      <c r="D90" s="180"/>
    </row>
    <row r="91" spans="1:4" ht="43.5" customHeight="1" x14ac:dyDescent="0.35">
      <c r="A91" s="268" t="s">
        <v>430</v>
      </c>
      <c r="B91" s="268"/>
      <c r="C91" s="268"/>
      <c r="D91" s="268"/>
    </row>
    <row r="92" spans="1:4" ht="15" customHeight="1" x14ac:dyDescent="0.35">
      <c r="A92" s="151"/>
    </row>
    <row r="93" spans="1:4" ht="23.25" customHeight="1" x14ac:dyDescent="0.35">
      <c r="A93" s="96" t="s">
        <v>431</v>
      </c>
      <c r="B93" s="163" t="s">
        <v>432</v>
      </c>
    </row>
    <row r="94" spans="1:4" ht="15" customHeight="1" x14ac:dyDescent="0.35">
      <c r="A94" s="151"/>
    </row>
    <row r="95" spans="1:4" ht="23.25" customHeight="1" x14ac:dyDescent="0.35">
      <c r="A95" s="96" t="s">
        <v>433</v>
      </c>
      <c r="B95" s="163" t="s">
        <v>434</v>
      </c>
    </row>
    <row r="96" spans="1:4" ht="15" customHeight="1" x14ac:dyDescent="0.35">
      <c r="A96" s="151"/>
    </row>
    <row r="99" spans="1:5" ht="33.75" customHeight="1" x14ac:dyDescent="0.35">
      <c r="A99" s="269" t="s">
        <v>608</v>
      </c>
      <c r="B99" s="269"/>
      <c r="C99" s="269"/>
      <c r="D99" s="269"/>
      <c r="E99" s="269"/>
    </row>
    <row r="100" spans="1:5" ht="24" customHeight="1" x14ac:dyDescent="0.35">
      <c r="A100" s="270" t="s">
        <v>436</v>
      </c>
      <c r="B100" s="270"/>
      <c r="C100" s="270"/>
      <c r="D100" s="270"/>
      <c r="E100" s="270"/>
    </row>
    <row r="101" spans="1:5" ht="25.5" customHeight="1" x14ac:dyDescent="0.35">
      <c r="A101" s="271" t="s">
        <v>437</v>
      </c>
      <c r="B101" s="271"/>
      <c r="C101" s="271"/>
      <c r="D101" s="271"/>
      <c r="E101" s="271"/>
    </row>
    <row r="102" spans="1:5" ht="27.75" customHeight="1" x14ac:dyDescent="0.35">
      <c r="A102" s="61" t="s">
        <v>438</v>
      </c>
      <c r="B102" s="164"/>
      <c r="C102" s="253" t="s">
        <v>439</v>
      </c>
      <c r="D102" s="253"/>
      <c r="E102" s="253"/>
    </row>
    <row r="103" spans="1:5" ht="27.75" customHeight="1" x14ac:dyDescent="0.35">
      <c r="A103" s="61" t="s">
        <v>440</v>
      </c>
      <c r="B103" s="164"/>
      <c r="C103" s="253" t="s">
        <v>441</v>
      </c>
      <c r="D103" s="253"/>
      <c r="E103" s="253"/>
    </row>
    <row r="104" spans="1:5" ht="27.75" customHeight="1" x14ac:dyDescent="0.35">
      <c r="A104" s="61" t="s">
        <v>442</v>
      </c>
      <c r="B104" s="165"/>
      <c r="C104" s="253" t="s">
        <v>443</v>
      </c>
      <c r="D104" s="253"/>
      <c r="E104" s="253"/>
    </row>
    <row r="105" spans="1:5" ht="27.75" customHeight="1" x14ac:dyDescent="0.35">
      <c r="A105" s="61" t="s">
        <v>444</v>
      </c>
      <c r="B105" s="164"/>
      <c r="C105" s="253" t="s">
        <v>445</v>
      </c>
      <c r="D105" s="253"/>
      <c r="E105" s="253"/>
    </row>
    <row r="106" spans="1:5" ht="27.75" customHeight="1" x14ac:dyDescent="0.35">
      <c r="A106" s="61" t="s">
        <v>446</v>
      </c>
      <c r="B106" s="165"/>
      <c r="C106" s="253" t="s">
        <v>447</v>
      </c>
      <c r="D106" s="253"/>
      <c r="E106" s="253"/>
    </row>
    <row r="107" spans="1:5" ht="27.75" customHeight="1" x14ac:dyDescent="0.35">
      <c r="A107" s="61" t="s">
        <v>448</v>
      </c>
      <c r="B107" s="164"/>
      <c r="C107" s="253" t="s">
        <v>449</v>
      </c>
      <c r="D107" s="253"/>
      <c r="E107" s="253"/>
    </row>
    <row r="108" spans="1:5" ht="27.75" customHeight="1" x14ac:dyDescent="0.35">
      <c r="A108" s="61" t="s">
        <v>450</v>
      </c>
      <c r="B108" s="165"/>
      <c r="C108" s="253" t="s">
        <v>451</v>
      </c>
      <c r="D108" s="253"/>
      <c r="E108" s="253"/>
    </row>
    <row r="109" spans="1:5" ht="27.75" customHeight="1" x14ac:dyDescent="0.35">
      <c r="A109" s="61" t="s">
        <v>452</v>
      </c>
      <c r="B109" s="164"/>
      <c r="C109" s="253" t="s">
        <v>453</v>
      </c>
      <c r="D109" s="253"/>
      <c r="E109" s="253"/>
    </row>
    <row r="110" spans="1:5" ht="27.75" customHeight="1" x14ac:dyDescent="0.35">
      <c r="A110" s="61" t="s">
        <v>454</v>
      </c>
      <c r="B110" s="165"/>
      <c r="C110" s="253" t="s">
        <v>455</v>
      </c>
      <c r="D110" s="253"/>
      <c r="E110" s="253"/>
    </row>
    <row r="111" spans="1:5" ht="27.75" customHeight="1" x14ac:dyDescent="0.35">
      <c r="A111" s="61" t="s">
        <v>456</v>
      </c>
      <c r="B111" s="165"/>
      <c r="C111" s="253" t="s">
        <v>457</v>
      </c>
      <c r="D111" s="253"/>
      <c r="E111" s="253"/>
    </row>
    <row r="113" spans="1:5" ht="25.5" customHeight="1" x14ac:dyDescent="0.35">
      <c r="A113" s="272" t="s">
        <v>458</v>
      </c>
      <c r="B113" s="272"/>
      <c r="C113" s="272"/>
      <c r="D113" s="272"/>
      <c r="E113" s="272"/>
    </row>
    <row r="114" spans="1:5" ht="21.75" customHeight="1" x14ac:dyDescent="0.35">
      <c r="A114" s="273" t="s">
        <v>459</v>
      </c>
      <c r="B114" s="273"/>
      <c r="C114" s="273"/>
      <c r="D114" s="273"/>
      <c r="E114" s="273"/>
    </row>
    <row r="115" spans="1:5" ht="25.5" customHeight="1" x14ac:dyDescent="0.35">
      <c r="A115" s="96" t="s">
        <v>460</v>
      </c>
      <c r="B115" s="274" t="s">
        <v>461</v>
      </c>
      <c r="C115" s="274"/>
      <c r="D115" s="274"/>
      <c r="E115" s="274"/>
    </row>
    <row r="116" spans="1:5" ht="43.5" customHeight="1" x14ac:dyDescent="0.35">
      <c r="A116" s="275"/>
      <c r="B116" s="275"/>
      <c r="C116" s="275"/>
      <c r="D116" s="275"/>
      <c r="E116" s="275"/>
    </row>
    <row r="117" spans="1:5" ht="25.5" customHeight="1" x14ac:dyDescent="0.35">
      <c r="A117" s="96" t="s">
        <v>462</v>
      </c>
      <c r="B117" s="274" t="s">
        <v>463</v>
      </c>
      <c r="C117" s="274"/>
      <c r="D117" s="274"/>
      <c r="E117" s="274"/>
    </row>
    <row r="118" spans="1:5" ht="43.5" customHeight="1" x14ac:dyDescent="0.35">
      <c r="A118" s="275"/>
      <c r="B118" s="275"/>
      <c r="C118" s="275"/>
      <c r="D118" s="275"/>
      <c r="E118" s="275"/>
    </row>
    <row r="119" spans="1:5" ht="25.5" customHeight="1" x14ac:dyDescent="0.35">
      <c r="A119" s="96" t="s">
        <v>464</v>
      </c>
      <c r="B119" s="274" t="s">
        <v>465</v>
      </c>
      <c r="C119" s="274"/>
      <c r="D119" s="274"/>
      <c r="E119" s="274"/>
    </row>
    <row r="120" spans="1:5" ht="43.5" customHeight="1" x14ac:dyDescent="0.35">
      <c r="A120" s="275"/>
      <c r="B120" s="275"/>
      <c r="C120" s="275"/>
      <c r="D120" s="275"/>
      <c r="E120" s="275"/>
    </row>
    <row r="121" spans="1:5" ht="25.5" customHeight="1" x14ac:dyDescent="0.35">
      <c r="A121" s="96" t="s">
        <v>466</v>
      </c>
      <c r="B121" s="274" t="s">
        <v>467</v>
      </c>
      <c r="C121" s="274"/>
      <c r="D121" s="274"/>
      <c r="E121" s="274"/>
    </row>
    <row r="122" spans="1:5" ht="43.5" customHeight="1" x14ac:dyDescent="0.35">
      <c r="A122" s="275"/>
      <c r="B122" s="275"/>
      <c r="C122" s="275"/>
      <c r="D122" s="275"/>
      <c r="E122" s="275"/>
    </row>
    <row r="123" spans="1:5" ht="25.5" customHeight="1" x14ac:dyDescent="0.35">
      <c r="A123" s="96" t="s">
        <v>468</v>
      </c>
      <c r="B123" s="274" t="s">
        <v>469</v>
      </c>
      <c r="C123" s="274"/>
      <c r="D123" s="274"/>
      <c r="E123" s="274"/>
    </row>
    <row r="124" spans="1:5" ht="43.5" customHeight="1" x14ac:dyDescent="0.35">
      <c r="A124" s="275"/>
      <c r="B124" s="275"/>
      <c r="C124" s="275"/>
      <c r="D124" s="275"/>
      <c r="E124" s="275"/>
    </row>
    <row r="125" spans="1:5" ht="25.5" customHeight="1" x14ac:dyDescent="0.35">
      <c r="A125" s="96" t="s">
        <v>470</v>
      </c>
      <c r="B125" s="274" t="s">
        <v>471</v>
      </c>
      <c r="C125" s="274"/>
      <c r="D125" s="274"/>
      <c r="E125" s="274"/>
    </row>
    <row r="126" spans="1:5" ht="43.5" customHeight="1" x14ac:dyDescent="0.35">
      <c r="A126" s="275"/>
      <c r="B126" s="275"/>
      <c r="C126" s="275"/>
      <c r="D126" s="275"/>
      <c r="E126" s="275"/>
    </row>
    <row r="128" spans="1:5" ht="25.5" customHeight="1" x14ac:dyDescent="0.35">
      <c r="A128" s="276" t="s">
        <v>472</v>
      </c>
      <c r="B128" s="276"/>
      <c r="C128" s="276"/>
      <c r="D128" s="276"/>
      <c r="E128" s="276"/>
    </row>
    <row r="129" spans="1:5" ht="21.75" customHeight="1" x14ac:dyDescent="0.35">
      <c r="A129" s="277" t="s">
        <v>473</v>
      </c>
      <c r="B129" s="277"/>
      <c r="C129" s="277"/>
      <c r="D129" s="277"/>
      <c r="E129" s="277"/>
    </row>
    <row r="130" spans="1:5" ht="27.75" customHeight="1" x14ac:dyDescent="0.35">
      <c r="A130" s="74" t="s">
        <v>474</v>
      </c>
      <c r="B130" s="165"/>
      <c r="C130" s="253" t="s">
        <v>475</v>
      </c>
      <c r="D130" s="253"/>
      <c r="E130" s="253"/>
    </row>
    <row r="131" spans="1:5" ht="27.75" customHeight="1" x14ac:dyDescent="0.35">
      <c r="A131" s="74" t="s">
        <v>476</v>
      </c>
      <c r="B131" s="165"/>
      <c r="C131" s="253" t="s">
        <v>477</v>
      </c>
      <c r="D131" s="253"/>
      <c r="E131" s="253"/>
    </row>
    <row r="132" spans="1:5" ht="27.75" customHeight="1" x14ac:dyDescent="0.35">
      <c r="A132" s="74" t="s">
        <v>478</v>
      </c>
      <c r="B132" s="164"/>
      <c r="C132" s="253" t="s">
        <v>479</v>
      </c>
      <c r="D132" s="253"/>
      <c r="E132" s="253"/>
    </row>
    <row r="133" spans="1:5" ht="27.75" customHeight="1" x14ac:dyDescent="0.35">
      <c r="A133" s="74" t="s">
        <v>480</v>
      </c>
      <c r="B133" s="164"/>
      <c r="C133" s="253" t="s">
        <v>481</v>
      </c>
      <c r="D133" s="253"/>
      <c r="E133" s="253"/>
    </row>
    <row r="134" spans="1:5" ht="27.75" customHeight="1" x14ac:dyDescent="0.35">
      <c r="A134" s="74" t="s">
        <v>482</v>
      </c>
      <c r="B134" s="164"/>
      <c r="C134" s="253" t="s">
        <v>483</v>
      </c>
      <c r="D134" s="253"/>
      <c r="E134" s="253"/>
    </row>
    <row r="135" spans="1:5" ht="27.75" customHeight="1" x14ac:dyDescent="0.35">
      <c r="A135" s="74" t="s">
        <v>484</v>
      </c>
      <c r="B135" s="164"/>
      <c r="C135" s="253" t="s">
        <v>485</v>
      </c>
      <c r="D135" s="253"/>
      <c r="E135" s="253"/>
    </row>
    <row r="136" spans="1:5" ht="27.75" customHeight="1" x14ac:dyDescent="0.35">
      <c r="A136" s="74" t="s">
        <v>486</v>
      </c>
      <c r="B136" s="164"/>
      <c r="C136" s="253" t="s">
        <v>487</v>
      </c>
      <c r="D136" s="253"/>
      <c r="E136" s="253"/>
    </row>
    <row r="137" spans="1:5" ht="27.75" customHeight="1" x14ac:dyDescent="0.35">
      <c r="A137" s="74" t="s">
        <v>488</v>
      </c>
      <c r="B137" s="165"/>
      <c r="C137" s="253" t="s">
        <v>489</v>
      </c>
      <c r="D137" s="253"/>
      <c r="E137" s="253"/>
    </row>
    <row r="139" spans="1:5" ht="25.5" customHeight="1" x14ac:dyDescent="0.35">
      <c r="A139" s="278" t="s">
        <v>490</v>
      </c>
      <c r="B139" s="278"/>
      <c r="C139" s="278"/>
      <c r="D139" s="278"/>
      <c r="E139" s="278"/>
    </row>
    <row r="140" spans="1:5" ht="27.75" customHeight="1" x14ac:dyDescent="0.35">
      <c r="A140" s="166" t="s">
        <v>491</v>
      </c>
      <c r="B140" s="164"/>
      <c r="C140" s="253" t="s">
        <v>492</v>
      </c>
      <c r="D140" s="253"/>
      <c r="E140" s="253"/>
    </row>
    <row r="141" spans="1:5" ht="27.75" customHeight="1" x14ac:dyDescent="0.35">
      <c r="A141" s="166" t="s">
        <v>493</v>
      </c>
      <c r="B141" s="164"/>
      <c r="C141" s="253" t="s">
        <v>494</v>
      </c>
      <c r="D141" s="253"/>
      <c r="E141" s="253"/>
    </row>
    <row r="142" spans="1:5" ht="27.75" customHeight="1" x14ac:dyDescent="0.35">
      <c r="A142" s="166" t="s">
        <v>495</v>
      </c>
      <c r="B142" s="164"/>
      <c r="C142" s="253" t="s">
        <v>496</v>
      </c>
      <c r="D142" s="253"/>
      <c r="E142" s="253"/>
    </row>
    <row r="143" spans="1:5" ht="27.75" customHeight="1" x14ac:dyDescent="0.35">
      <c r="A143" s="166" t="s">
        <v>497</v>
      </c>
      <c r="B143" s="165"/>
      <c r="C143" s="253" t="s">
        <v>498</v>
      </c>
      <c r="D143" s="253"/>
      <c r="E143" s="253"/>
    </row>
    <row r="144" spans="1:5" ht="27.75" customHeight="1" x14ac:dyDescent="0.35">
      <c r="A144" s="166" t="s">
        <v>499</v>
      </c>
      <c r="B144" s="164"/>
      <c r="C144" s="253" t="s">
        <v>500</v>
      </c>
      <c r="D144" s="253"/>
      <c r="E144" s="253"/>
    </row>
    <row r="145" spans="1:5" ht="27.75" customHeight="1" x14ac:dyDescent="0.35">
      <c r="A145" s="166" t="s">
        <v>501</v>
      </c>
      <c r="B145" s="164"/>
      <c r="C145" s="253" t="s">
        <v>502</v>
      </c>
      <c r="D145" s="253"/>
      <c r="E145" s="253"/>
    </row>
    <row r="146" spans="1:5" ht="27.75" customHeight="1" x14ac:dyDescent="0.35">
      <c r="A146" s="166" t="s">
        <v>503</v>
      </c>
      <c r="B146" s="165"/>
      <c r="C146" s="253" t="s">
        <v>504</v>
      </c>
      <c r="D146" s="253"/>
      <c r="E146" s="253"/>
    </row>
    <row r="148" spans="1:5" ht="25.5" customHeight="1" x14ac:dyDescent="0.35">
      <c r="A148" s="279" t="s">
        <v>505</v>
      </c>
      <c r="B148" s="279"/>
      <c r="C148" s="279"/>
      <c r="D148" s="279"/>
      <c r="E148" s="279"/>
    </row>
    <row r="149" spans="1:5" ht="21.75" customHeight="1" x14ac:dyDescent="0.35">
      <c r="A149" s="280" t="s">
        <v>506</v>
      </c>
      <c r="B149" s="280"/>
      <c r="C149" s="280"/>
      <c r="D149" s="280"/>
      <c r="E149" s="280"/>
    </row>
    <row r="150" spans="1:5" ht="25.5" customHeight="1" x14ac:dyDescent="0.35">
      <c r="A150" s="167" t="s">
        <v>507</v>
      </c>
      <c r="B150" s="281" t="s">
        <v>508</v>
      </c>
      <c r="C150" s="281"/>
      <c r="D150" s="281"/>
      <c r="E150" s="281"/>
    </row>
    <row r="151" spans="1:5" ht="43.5" customHeight="1" x14ac:dyDescent="0.35">
      <c r="A151" s="282"/>
      <c r="B151" s="282"/>
      <c r="C151" s="282"/>
      <c r="D151" s="282"/>
      <c r="E151" s="282"/>
    </row>
    <row r="152" spans="1:5" ht="25.5" customHeight="1" x14ac:dyDescent="0.35">
      <c r="A152" s="167" t="s">
        <v>509</v>
      </c>
      <c r="B152" s="281" t="s">
        <v>510</v>
      </c>
      <c r="C152" s="281"/>
      <c r="D152" s="281"/>
      <c r="E152" s="281"/>
    </row>
    <row r="153" spans="1:5" ht="43.5" customHeight="1" x14ac:dyDescent="0.35">
      <c r="A153" s="282"/>
      <c r="B153" s="282"/>
      <c r="C153" s="282"/>
      <c r="D153" s="282"/>
      <c r="E153" s="282"/>
    </row>
    <row r="154" spans="1:5" ht="25.5" customHeight="1" x14ac:dyDescent="0.35">
      <c r="A154" s="167" t="s">
        <v>511</v>
      </c>
      <c r="B154" s="281" t="s">
        <v>512</v>
      </c>
      <c r="C154" s="281"/>
      <c r="D154" s="281"/>
      <c r="E154" s="281"/>
    </row>
    <row r="155" spans="1:5" ht="43.5" customHeight="1" x14ac:dyDescent="0.35">
      <c r="A155" s="282"/>
      <c r="B155" s="282"/>
      <c r="C155" s="282"/>
      <c r="D155" s="282"/>
      <c r="E155" s="282"/>
    </row>
    <row r="156" spans="1:5" ht="25.5" customHeight="1" x14ac:dyDescent="0.35">
      <c r="A156" s="167" t="s">
        <v>513</v>
      </c>
      <c r="B156" s="281" t="s">
        <v>514</v>
      </c>
      <c r="C156" s="281"/>
      <c r="D156" s="281"/>
      <c r="E156" s="281"/>
    </row>
    <row r="157" spans="1:5" ht="43.5" customHeight="1" x14ac:dyDescent="0.35">
      <c r="A157" s="282"/>
      <c r="B157" s="282"/>
      <c r="C157" s="282"/>
      <c r="D157" s="282"/>
      <c r="E157" s="282"/>
    </row>
    <row r="158" spans="1:5" ht="25.5" customHeight="1" x14ac:dyDescent="0.35">
      <c r="A158" s="167" t="s">
        <v>515</v>
      </c>
      <c r="B158" s="281" t="s">
        <v>516</v>
      </c>
      <c r="C158" s="281"/>
      <c r="D158" s="281"/>
      <c r="E158" s="281"/>
    </row>
    <row r="159" spans="1:5" ht="43.5" customHeight="1" x14ac:dyDescent="0.35">
      <c r="A159" s="282"/>
      <c r="B159" s="282"/>
      <c r="C159" s="282"/>
      <c r="D159" s="282"/>
      <c r="E159" s="282"/>
    </row>
    <row r="160" spans="1:5" ht="25.5" customHeight="1" x14ac:dyDescent="0.35">
      <c r="A160" s="167" t="s">
        <v>517</v>
      </c>
      <c r="B160" s="281" t="s">
        <v>518</v>
      </c>
      <c r="C160" s="281"/>
      <c r="D160" s="281"/>
      <c r="E160" s="281"/>
    </row>
    <row r="161" spans="1:5" ht="43.5" customHeight="1" x14ac:dyDescent="0.35">
      <c r="A161" s="282"/>
      <c r="B161" s="282"/>
      <c r="C161" s="282"/>
      <c r="D161" s="282"/>
      <c r="E161" s="282"/>
    </row>
    <row r="164" spans="1:5" ht="33.75" customHeight="1" x14ac:dyDescent="0.35">
      <c r="A164" s="283" t="s">
        <v>609</v>
      </c>
      <c r="B164" s="283"/>
      <c r="C164" s="283"/>
      <c r="D164" s="283"/>
      <c r="E164" s="283"/>
    </row>
    <row r="165" spans="1:5" ht="24" customHeight="1" x14ac:dyDescent="0.35">
      <c r="A165" s="284" t="s">
        <v>520</v>
      </c>
      <c r="B165" s="284"/>
      <c r="C165" s="284"/>
      <c r="D165" s="284"/>
      <c r="E165" s="284"/>
    </row>
    <row r="166" spans="1:5" ht="25.5" customHeight="1" x14ac:dyDescent="0.35">
      <c r="A166" s="279" t="s">
        <v>521</v>
      </c>
      <c r="B166" s="279"/>
      <c r="C166" s="279"/>
      <c r="D166" s="279"/>
      <c r="E166" s="279"/>
    </row>
    <row r="167" spans="1:5" ht="21.75" customHeight="1" x14ac:dyDescent="0.35">
      <c r="A167" s="168" t="s">
        <v>522</v>
      </c>
      <c r="B167" s="285" t="s">
        <v>523</v>
      </c>
      <c r="C167" s="285"/>
      <c r="D167" s="285"/>
      <c r="E167" s="285"/>
    </row>
    <row r="168" spans="1:5" ht="27.75" customHeight="1" x14ac:dyDescent="0.35">
      <c r="A168" s="169" t="s">
        <v>524</v>
      </c>
      <c r="B168" s="286" t="s">
        <v>525</v>
      </c>
      <c r="C168" s="286"/>
      <c r="D168" s="286"/>
      <c r="E168" s="286"/>
    </row>
    <row r="169" spans="1:5" ht="27.75" customHeight="1" x14ac:dyDescent="0.35">
      <c r="A169" s="170" t="s">
        <v>526</v>
      </c>
      <c r="B169" s="287" t="s">
        <v>527</v>
      </c>
      <c r="C169" s="287"/>
      <c r="D169" s="287"/>
      <c r="E169" s="287"/>
    </row>
    <row r="170" spans="1:5" ht="27.75" customHeight="1" x14ac:dyDescent="0.35">
      <c r="A170" s="171" t="s">
        <v>528</v>
      </c>
      <c r="B170" s="288" t="s">
        <v>529</v>
      </c>
      <c r="C170" s="288"/>
      <c r="D170" s="288"/>
      <c r="E170" s="288"/>
    </row>
    <row r="171" spans="1:5" ht="27.75" customHeight="1" x14ac:dyDescent="0.35">
      <c r="A171" s="172" t="s">
        <v>530</v>
      </c>
      <c r="B171" s="289" t="s">
        <v>531</v>
      </c>
      <c r="C171" s="289"/>
      <c r="D171" s="289"/>
      <c r="E171" s="289"/>
    </row>
    <row r="172" spans="1:5" ht="27.75" customHeight="1" x14ac:dyDescent="0.35">
      <c r="A172" s="173" t="s">
        <v>532</v>
      </c>
      <c r="B172" s="290" t="s">
        <v>533</v>
      </c>
      <c r="C172" s="290"/>
      <c r="D172" s="290"/>
      <c r="E172" s="290"/>
    </row>
    <row r="174" spans="1:5" ht="30" customHeight="1" x14ac:dyDescent="0.35">
      <c r="A174" s="61" t="s">
        <v>534</v>
      </c>
      <c r="B174" s="164"/>
      <c r="C174" s="253" t="s">
        <v>535</v>
      </c>
      <c r="D174" s="253"/>
      <c r="E174" s="253"/>
    </row>
    <row r="175" spans="1:5" ht="30" customHeight="1" x14ac:dyDescent="0.35">
      <c r="A175" s="61" t="s">
        <v>536</v>
      </c>
      <c r="B175" s="164"/>
      <c r="C175" s="253" t="s">
        <v>537</v>
      </c>
      <c r="D175" s="253"/>
      <c r="E175" s="253"/>
    </row>
    <row r="176" spans="1:5" ht="30" customHeight="1" x14ac:dyDescent="0.35">
      <c r="A176" s="61" t="s">
        <v>538</v>
      </c>
      <c r="B176" s="164"/>
      <c r="C176" s="253" t="s">
        <v>539</v>
      </c>
      <c r="D176" s="253"/>
      <c r="E176" s="253"/>
    </row>
    <row r="177" spans="1:5" ht="30" customHeight="1" x14ac:dyDescent="0.35">
      <c r="A177" s="61" t="s">
        <v>540</v>
      </c>
      <c r="B177" s="164"/>
      <c r="C177" s="253" t="s">
        <v>541</v>
      </c>
      <c r="D177" s="253"/>
      <c r="E177" s="253"/>
    </row>
    <row r="179" spans="1:5" ht="25.5" customHeight="1" x14ac:dyDescent="0.35">
      <c r="A179" s="291" t="s">
        <v>542</v>
      </c>
      <c r="B179" s="291"/>
      <c r="C179" s="291"/>
      <c r="D179" s="291"/>
      <c r="E179" s="291"/>
    </row>
    <row r="180" spans="1:5" ht="19.5" customHeight="1" x14ac:dyDescent="0.35">
      <c r="A180" s="292" t="s">
        <v>543</v>
      </c>
      <c r="B180" s="292"/>
      <c r="C180" s="292"/>
      <c r="D180" s="292"/>
      <c r="E180" s="292"/>
    </row>
    <row r="181" spans="1:5" ht="30" customHeight="1" x14ac:dyDescent="0.35">
      <c r="A181" s="74" t="s">
        <v>544</v>
      </c>
      <c r="B181" s="174"/>
      <c r="C181" s="253" t="s">
        <v>545</v>
      </c>
      <c r="D181" s="253"/>
      <c r="E181" s="253"/>
    </row>
    <row r="182" spans="1:5" ht="30" customHeight="1" x14ac:dyDescent="0.35">
      <c r="A182" s="74" t="s">
        <v>546</v>
      </c>
      <c r="B182" s="174"/>
      <c r="C182" s="253" t="s">
        <v>547</v>
      </c>
      <c r="D182" s="253"/>
      <c r="E182" s="253"/>
    </row>
    <row r="183" spans="1:5" ht="30" customHeight="1" x14ac:dyDescent="0.35">
      <c r="A183" s="74" t="s">
        <v>548</v>
      </c>
      <c r="B183" s="174"/>
      <c r="C183" s="253" t="s">
        <v>549</v>
      </c>
      <c r="D183" s="253"/>
      <c r="E183" s="253"/>
    </row>
    <row r="184" spans="1:5" ht="30" customHeight="1" x14ac:dyDescent="0.35">
      <c r="A184" s="74" t="s">
        <v>550</v>
      </c>
      <c r="B184" s="174"/>
      <c r="C184" s="253" t="s">
        <v>551</v>
      </c>
      <c r="D184" s="253"/>
      <c r="E184" s="253"/>
    </row>
    <row r="185" spans="1:5" ht="30" customHeight="1" x14ac:dyDescent="0.35">
      <c r="A185" s="74" t="s">
        <v>552</v>
      </c>
      <c r="B185" s="174"/>
      <c r="C185" s="253" t="s">
        <v>553</v>
      </c>
      <c r="D185" s="253"/>
      <c r="E185" s="253"/>
    </row>
    <row r="186" spans="1:5" ht="30" customHeight="1" x14ac:dyDescent="0.35">
      <c r="A186" s="74" t="s">
        <v>554</v>
      </c>
      <c r="B186" s="174"/>
      <c r="C186" s="253" t="s">
        <v>555</v>
      </c>
      <c r="D186" s="253"/>
      <c r="E186" s="253"/>
    </row>
    <row r="187" spans="1:5" ht="30" customHeight="1" x14ac:dyDescent="0.35">
      <c r="A187" s="74" t="s">
        <v>556</v>
      </c>
      <c r="B187" s="174"/>
      <c r="C187" s="253" t="s">
        <v>557</v>
      </c>
      <c r="D187" s="253"/>
      <c r="E187" s="253"/>
    </row>
    <row r="188" spans="1:5" ht="30" customHeight="1" x14ac:dyDescent="0.35">
      <c r="A188" s="74" t="s">
        <v>558</v>
      </c>
      <c r="B188" s="174"/>
      <c r="C188" s="253" t="s">
        <v>559</v>
      </c>
      <c r="D188" s="253"/>
      <c r="E188" s="253"/>
    </row>
    <row r="189" spans="1:5" ht="30" customHeight="1" x14ac:dyDescent="0.35">
      <c r="A189" s="74" t="s">
        <v>560</v>
      </c>
      <c r="B189" s="174"/>
      <c r="C189" s="253" t="s">
        <v>561</v>
      </c>
      <c r="D189" s="253"/>
      <c r="E189" s="253"/>
    </row>
    <row r="190" spans="1:5" ht="30" customHeight="1" x14ac:dyDescent="0.35">
      <c r="A190" s="74" t="s">
        <v>562</v>
      </c>
      <c r="B190" s="174"/>
      <c r="C190" s="253" t="s">
        <v>563</v>
      </c>
      <c r="D190" s="253"/>
      <c r="E190" s="253"/>
    </row>
    <row r="191" spans="1:5" ht="30" customHeight="1" x14ac:dyDescent="0.35">
      <c r="A191" s="74" t="s">
        <v>564</v>
      </c>
      <c r="B191" s="174"/>
      <c r="C191" s="253" t="s">
        <v>565</v>
      </c>
      <c r="D191" s="253"/>
      <c r="E191" s="253"/>
    </row>
    <row r="192" spans="1:5" ht="30" customHeight="1" x14ac:dyDescent="0.35">
      <c r="A192" s="74" t="s">
        <v>566</v>
      </c>
      <c r="B192" s="174"/>
      <c r="C192" s="253" t="s">
        <v>567</v>
      </c>
      <c r="D192" s="253"/>
      <c r="E192" s="253"/>
    </row>
    <row r="194" spans="1:5" ht="25.5" customHeight="1" x14ac:dyDescent="0.35">
      <c r="A194" s="293" t="s">
        <v>568</v>
      </c>
      <c r="B194" s="293"/>
      <c r="C194" s="293"/>
      <c r="D194" s="293"/>
      <c r="E194" s="293"/>
    </row>
    <row r="195" spans="1:5" ht="27.75" customHeight="1" x14ac:dyDescent="0.35">
      <c r="A195" s="61" t="s">
        <v>569</v>
      </c>
      <c r="B195" s="165"/>
      <c r="C195" s="253" t="s">
        <v>570</v>
      </c>
      <c r="D195" s="253"/>
      <c r="E195" s="253"/>
    </row>
    <row r="196" spans="1:5" ht="27.75" customHeight="1" x14ac:dyDescent="0.35">
      <c r="A196" s="61" t="s">
        <v>571</v>
      </c>
      <c r="B196" s="165"/>
      <c r="C196" s="253" t="s">
        <v>572</v>
      </c>
      <c r="D196" s="253"/>
      <c r="E196" s="253"/>
    </row>
    <row r="197" spans="1:5" ht="27.75" customHeight="1" x14ac:dyDescent="0.35">
      <c r="A197" s="61" t="s">
        <v>573</v>
      </c>
      <c r="B197" s="165"/>
      <c r="C197" s="253" t="s">
        <v>574</v>
      </c>
      <c r="D197" s="253"/>
      <c r="E197" s="253"/>
    </row>
    <row r="198" spans="1:5" ht="27.75" customHeight="1" x14ac:dyDescent="0.35">
      <c r="A198" s="61" t="s">
        <v>575</v>
      </c>
      <c r="B198" s="165"/>
      <c r="C198" s="253" t="s">
        <v>576</v>
      </c>
      <c r="D198" s="253"/>
      <c r="E198" s="253"/>
    </row>
    <row r="199" spans="1:5" ht="27.75" customHeight="1" x14ac:dyDescent="0.35">
      <c r="A199" s="61" t="s">
        <v>577</v>
      </c>
      <c r="B199" s="165"/>
      <c r="C199" s="253" t="s">
        <v>578</v>
      </c>
      <c r="D199" s="253"/>
      <c r="E199" s="253"/>
    </row>
    <row r="200" spans="1:5" ht="27.75" customHeight="1" x14ac:dyDescent="0.35">
      <c r="A200" s="61" t="s">
        <v>579</v>
      </c>
      <c r="B200" s="165"/>
      <c r="C200" s="253" t="s">
        <v>580</v>
      </c>
      <c r="D200" s="253"/>
      <c r="E200" s="253"/>
    </row>
    <row r="201" spans="1:5" ht="27.75" customHeight="1" x14ac:dyDescent="0.35">
      <c r="A201" s="61" t="s">
        <v>581</v>
      </c>
      <c r="B201" s="165"/>
      <c r="C201" s="253" t="s">
        <v>582</v>
      </c>
      <c r="D201" s="253"/>
      <c r="E201" s="253"/>
    </row>
    <row r="203" spans="1:5" ht="25.5" customHeight="1" x14ac:dyDescent="0.35">
      <c r="A203" s="272" t="s">
        <v>583</v>
      </c>
      <c r="B203" s="272"/>
      <c r="C203" s="272"/>
      <c r="D203" s="272"/>
      <c r="E203" s="272"/>
    </row>
    <row r="204" spans="1:5" ht="25.5" customHeight="1" x14ac:dyDescent="0.35">
      <c r="A204" s="96" t="s">
        <v>584</v>
      </c>
      <c r="B204" s="294" t="s">
        <v>585</v>
      </c>
      <c r="C204" s="294"/>
      <c r="D204" s="294"/>
      <c r="E204" s="294"/>
    </row>
    <row r="205" spans="1:5" ht="43.5" customHeight="1" x14ac:dyDescent="0.35">
      <c r="A205" s="202"/>
      <c r="B205" s="202"/>
      <c r="C205" s="202"/>
      <c r="D205" s="202"/>
      <c r="E205" s="202"/>
    </row>
    <row r="206" spans="1:5" ht="25.5" customHeight="1" x14ac:dyDescent="0.35">
      <c r="A206" s="96" t="s">
        <v>586</v>
      </c>
      <c r="B206" s="294" t="s">
        <v>587</v>
      </c>
      <c r="C206" s="294"/>
      <c r="D206" s="294"/>
      <c r="E206" s="294"/>
    </row>
    <row r="207" spans="1:5" ht="43.5" customHeight="1" x14ac:dyDescent="0.35">
      <c r="A207" s="202"/>
      <c r="B207" s="202"/>
      <c r="C207" s="202"/>
      <c r="D207" s="202"/>
      <c r="E207" s="202"/>
    </row>
    <row r="208" spans="1:5" ht="25.5" customHeight="1" x14ac:dyDescent="0.35">
      <c r="A208" s="96" t="s">
        <v>588</v>
      </c>
      <c r="B208" s="294" t="s">
        <v>589</v>
      </c>
      <c r="C208" s="294"/>
      <c r="D208" s="294"/>
      <c r="E208" s="294"/>
    </row>
    <row r="209" spans="1:5" ht="43.5" customHeight="1" x14ac:dyDescent="0.35">
      <c r="A209" s="202"/>
      <c r="B209" s="202"/>
      <c r="C209" s="202"/>
      <c r="D209" s="202"/>
      <c r="E209" s="202"/>
    </row>
    <row r="210" spans="1:5" ht="25.5" customHeight="1" x14ac:dyDescent="0.35">
      <c r="A210" s="96" t="s">
        <v>590</v>
      </c>
      <c r="B210" s="294" t="s">
        <v>591</v>
      </c>
      <c r="C210" s="294"/>
      <c r="D210" s="294"/>
      <c r="E210" s="294"/>
    </row>
    <row r="211" spans="1:5" ht="43.5" customHeight="1" x14ac:dyDescent="0.35">
      <c r="A211" s="202"/>
      <c r="B211" s="202"/>
      <c r="C211" s="202"/>
      <c r="D211" s="202"/>
      <c r="E211" s="202"/>
    </row>
  </sheetData>
  <mergeCells count="160">
    <mergeCell ref="A205:E205"/>
    <mergeCell ref="B206:E206"/>
    <mergeCell ref="A207:E207"/>
    <mergeCell ref="B208:E208"/>
    <mergeCell ref="A209:E209"/>
    <mergeCell ref="B210:E210"/>
    <mergeCell ref="A211:E211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A1:D1"/>
    <mergeCell ref="A2:D2"/>
    <mergeCell ref="A3:D3"/>
    <mergeCell ref="A5:D5"/>
    <mergeCell ref="C6:D6"/>
    <mergeCell ref="C7:D7"/>
    <mergeCell ref="C8:D8"/>
    <mergeCell ref="C9:D9"/>
    <mergeCell ref="C10:D10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Listas!$U$2:$U$8</xm:f>
          </x14:formula1>
          <x14:formula2>
            <xm:f>0</xm:f>
          </x14:formula2>
          <xm:sqref>B68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11"/>
  <sheetViews>
    <sheetView view="pageBreakPreview"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249" t="s">
        <v>610</v>
      </c>
      <c r="B1" s="249"/>
      <c r="C1" s="249"/>
      <c r="D1" s="249"/>
    </row>
    <row r="2" spans="1:4" ht="18" customHeight="1" x14ac:dyDescent="0.35">
      <c r="A2" s="250" t="s">
        <v>302</v>
      </c>
      <c r="B2" s="250"/>
      <c r="C2" s="250"/>
      <c r="D2" s="250"/>
    </row>
    <row r="3" spans="1:4" ht="19.5" customHeight="1" x14ac:dyDescent="0.35">
      <c r="A3" s="251" t="s">
        <v>303</v>
      </c>
      <c r="B3" s="251"/>
      <c r="C3" s="251"/>
      <c r="D3" s="251"/>
    </row>
    <row r="5" spans="1:4" ht="21.75" customHeight="1" x14ac:dyDescent="0.35">
      <c r="A5" s="252" t="s">
        <v>304</v>
      </c>
      <c r="B5" s="252"/>
      <c r="C5" s="252"/>
      <c r="D5" s="252"/>
    </row>
    <row r="6" spans="1:4" ht="24" customHeight="1" x14ac:dyDescent="0.35">
      <c r="A6" s="61" t="s">
        <v>305</v>
      </c>
      <c r="B6" s="140"/>
      <c r="C6" s="253" t="s">
        <v>306</v>
      </c>
      <c r="D6" s="253"/>
    </row>
    <row r="7" spans="1:4" ht="24" customHeight="1" x14ac:dyDescent="0.35">
      <c r="A7" s="61" t="s">
        <v>307</v>
      </c>
      <c r="B7" s="140"/>
      <c r="C7" s="253" t="s">
        <v>308</v>
      </c>
      <c r="D7" s="253"/>
    </row>
    <row r="8" spans="1:4" ht="24" customHeight="1" x14ac:dyDescent="0.35">
      <c r="A8" s="61" t="s">
        <v>309</v>
      </c>
      <c r="B8" s="140"/>
      <c r="C8" s="253" t="s">
        <v>310</v>
      </c>
      <c r="D8" s="253"/>
    </row>
    <row r="9" spans="1:4" ht="24" customHeight="1" x14ac:dyDescent="0.35">
      <c r="A9" s="61" t="s">
        <v>311</v>
      </c>
      <c r="B9" s="140"/>
      <c r="C9" s="253" t="s">
        <v>312</v>
      </c>
      <c r="D9" s="253"/>
    </row>
    <row r="10" spans="1:4" ht="24" customHeight="1" x14ac:dyDescent="0.35">
      <c r="A10" s="61" t="s">
        <v>313</v>
      </c>
      <c r="B10" s="140"/>
      <c r="C10" s="253" t="s">
        <v>314</v>
      </c>
      <c r="D10" s="253"/>
    </row>
    <row r="11" spans="1:4" ht="24" customHeight="1" x14ac:dyDescent="0.35">
      <c r="A11" s="61" t="s">
        <v>315</v>
      </c>
      <c r="B11" s="140"/>
      <c r="C11" s="253" t="s">
        <v>316</v>
      </c>
      <c r="D11" s="253"/>
    </row>
    <row r="13" spans="1:4" ht="21.75" customHeight="1" x14ac:dyDescent="0.35">
      <c r="A13" s="252" t="s">
        <v>317</v>
      </c>
      <c r="B13" s="252"/>
      <c r="C13" s="252"/>
      <c r="D13" s="252"/>
    </row>
    <row r="14" spans="1:4" ht="19.5" customHeight="1" x14ac:dyDescent="0.35">
      <c r="A14" s="138" t="s">
        <v>6</v>
      </c>
      <c r="B14" s="254" t="s">
        <v>318</v>
      </c>
      <c r="C14" s="254"/>
      <c r="D14" s="254"/>
    </row>
    <row r="15" spans="1:4" ht="21.75" customHeight="1" x14ac:dyDescent="0.35">
      <c r="A15" s="142" t="s">
        <v>9</v>
      </c>
      <c r="B15" s="255" t="s">
        <v>319</v>
      </c>
      <c r="C15" s="255"/>
      <c r="D15" s="255"/>
    </row>
    <row r="16" spans="1:4" ht="21.75" customHeight="1" x14ac:dyDescent="0.35">
      <c r="A16" s="143" t="s">
        <v>12</v>
      </c>
      <c r="B16" s="256" t="s">
        <v>320</v>
      </c>
      <c r="C16" s="256"/>
      <c r="D16" s="256"/>
    </row>
    <row r="17" spans="1:5" ht="21.75" customHeight="1" x14ac:dyDescent="0.35">
      <c r="A17" s="144" t="s">
        <v>15</v>
      </c>
      <c r="B17" s="257" t="s">
        <v>321</v>
      </c>
      <c r="C17" s="257"/>
      <c r="D17" s="257"/>
    </row>
    <row r="18" spans="1:5" ht="21.75" customHeight="1" x14ac:dyDescent="0.35">
      <c r="A18" s="145" t="s">
        <v>322</v>
      </c>
      <c r="B18" s="258" t="s">
        <v>323</v>
      </c>
      <c r="C18" s="258"/>
      <c r="D18" s="258"/>
    </row>
    <row r="19" spans="1:5" ht="21.75" customHeight="1" x14ac:dyDescent="0.35">
      <c r="A19" s="146" t="s">
        <v>21</v>
      </c>
      <c r="B19" s="259" t="s">
        <v>324</v>
      </c>
      <c r="C19" s="259"/>
      <c r="D19" s="259"/>
    </row>
    <row r="20" spans="1:5" ht="21.75" customHeight="1" x14ac:dyDescent="0.35">
      <c r="A20" s="147" t="s">
        <v>24</v>
      </c>
      <c r="B20" s="260" t="s">
        <v>325</v>
      </c>
      <c r="C20" s="260"/>
      <c r="D20" s="260"/>
    </row>
    <row r="22" spans="1:5" ht="30" customHeight="1" x14ac:dyDescent="0.35">
      <c r="A22" s="61" t="s">
        <v>326</v>
      </c>
      <c r="B22" s="148"/>
      <c r="C22" s="261" t="s">
        <v>327</v>
      </c>
      <c r="D22" s="261"/>
    </row>
    <row r="23" spans="1:5" ht="30" customHeight="1" x14ac:dyDescent="0.35">
      <c r="A23" s="149" t="s">
        <v>328</v>
      </c>
      <c r="B23" s="150" t="s">
        <v>322</v>
      </c>
      <c r="C23" s="262" t="s">
        <v>329</v>
      </c>
      <c r="D23" s="262"/>
    </row>
    <row r="24" spans="1:5" ht="39.75" customHeight="1" x14ac:dyDescent="0.35">
      <c r="A24" s="61" t="s">
        <v>330</v>
      </c>
      <c r="B24" s="263"/>
      <c r="C24" s="263"/>
      <c r="D24" s="263"/>
    </row>
    <row r="26" spans="1:5" ht="21.75" customHeight="1" x14ac:dyDescent="0.35">
      <c r="A26" s="252" t="s">
        <v>331</v>
      </c>
      <c r="B26" s="252"/>
      <c r="C26" s="252"/>
      <c r="D26" s="252"/>
    </row>
    <row r="27" spans="1:5" ht="21.75" customHeight="1" x14ac:dyDescent="0.35">
      <c r="A27" s="152" t="s">
        <v>332</v>
      </c>
      <c r="B27" s="152" t="s">
        <v>333</v>
      </c>
      <c r="C27" s="152" t="s">
        <v>334</v>
      </c>
      <c r="D27" s="152" t="s">
        <v>335</v>
      </c>
      <c r="E27" s="15" t="s">
        <v>336</v>
      </c>
    </row>
    <row r="28" spans="1:5" ht="18" customHeight="1" x14ac:dyDescent="0.35">
      <c r="A28" s="229" t="s">
        <v>230</v>
      </c>
      <c r="B28" s="229"/>
      <c r="C28" s="229"/>
      <c r="D28" s="229"/>
      <c r="E28" s="113"/>
    </row>
    <row r="29" spans="1:5" ht="30" customHeight="1" x14ac:dyDescent="0.35">
      <c r="A29" s="153" t="s">
        <v>337</v>
      </c>
      <c r="B29" s="154"/>
      <c r="C29" s="23" t="s">
        <v>15</v>
      </c>
      <c r="D29" s="155" t="s">
        <v>338</v>
      </c>
      <c r="E29" s="156"/>
    </row>
    <row r="30" spans="1:5" ht="30" customHeight="1" x14ac:dyDescent="0.35">
      <c r="A30" s="153" t="s">
        <v>339</v>
      </c>
      <c r="B30" s="154"/>
      <c r="C30" s="26" t="s">
        <v>322</v>
      </c>
      <c r="D30" s="155" t="s">
        <v>340</v>
      </c>
      <c r="E30" s="156"/>
    </row>
    <row r="31" spans="1:5" ht="18" customHeight="1" x14ac:dyDescent="0.35">
      <c r="A31" s="229" t="s">
        <v>233</v>
      </c>
      <c r="B31" s="229"/>
      <c r="C31" s="229"/>
      <c r="D31" s="229"/>
      <c r="E31" s="113"/>
    </row>
    <row r="32" spans="1:5" ht="30" customHeight="1" x14ac:dyDescent="0.35">
      <c r="A32" s="153" t="s">
        <v>341</v>
      </c>
      <c r="B32" s="154"/>
      <c r="C32" s="23" t="s">
        <v>15</v>
      </c>
      <c r="D32" s="155" t="s">
        <v>342</v>
      </c>
      <c r="E32" s="156"/>
    </row>
    <row r="33" spans="1:5" ht="30" customHeight="1" x14ac:dyDescent="0.35">
      <c r="A33" s="153" t="s">
        <v>343</v>
      </c>
      <c r="B33" s="154"/>
      <c r="C33" s="26" t="s">
        <v>322</v>
      </c>
      <c r="D33" s="155" t="s">
        <v>344</v>
      </c>
      <c r="E33" s="156"/>
    </row>
    <row r="34" spans="1:5" ht="30" customHeight="1" x14ac:dyDescent="0.35">
      <c r="A34" s="153" t="s">
        <v>345</v>
      </c>
      <c r="B34" s="154"/>
      <c r="C34" s="23" t="s">
        <v>15</v>
      </c>
      <c r="D34" s="155" t="s">
        <v>346</v>
      </c>
      <c r="E34" s="156"/>
    </row>
    <row r="35" spans="1:5" ht="30" customHeight="1" x14ac:dyDescent="0.35">
      <c r="A35" s="153" t="s">
        <v>347</v>
      </c>
      <c r="B35" s="154"/>
      <c r="C35" s="26" t="s">
        <v>322</v>
      </c>
      <c r="D35" s="155" t="s">
        <v>348</v>
      </c>
      <c r="E35" s="156"/>
    </row>
    <row r="36" spans="1:5" ht="18" customHeight="1" x14ac:dyDescent="0.35">
      <c r="A36" s="229" t="s">
        <v>238</v>
      </c>
      <c r="B36" s="229"/>
      <c r="C36" s="229"/>
      <c r="D36" s="229"/>
      <c r="E36" s="113"/>
    </row>
    <row r="37" spans="1:5" ht="30" customHeight="1" x14ac:dyDescent="0.35">
      <c r="A37" s="153" t="s">
        <v>349</v>
      </c>
      <c r="B37" s="154"/>
      <c r="C37" s="23" t="s">
        <v>15</v>
      </c>
      <c r="D37" s="155" t="s">
        <v>350</v>
      </c>
      <c r="E37" s="156"/>
    </row>
    <row r="38" spans="1:5" ht="30" customHeight="1" x14ac:dyDescent="0.35">
      <c r="A38" s="153" t="s">
        <v>351</v>
      </c>
      <c r="B38" s="154"/>
      <c r="C38" s="26" t="s">
        <v>322</v>
      </c>
      <c r="D38" s="155" t="s">
        <v>352</v>
      </c>
      <c r="E38" s="156"/>
    </row>
    <row r="39" spans="1:5" ht="30" customHeight="1" x14ac:dyDescent="0.35">
      <c r="A39" s="153" t="s">
        <v>353</v>
      </c>
      <c r="B39" s="154"/>
      <c r="C39" s="26" t="s">
        <v>322</v>
      </c>
      <c r="D39" s="155" t="s">
        <v>354</v>
      </c>
      <c r="E39" s="156"/>
    </row>
    <row r="40" spans="1:5" ht="30" customHeight="1" x14ac:dyDescent="0.35">
      <c r="A40" s="153" t="s">
        <v>355</v>
      </c>
      <c r="B40" s="154"/>
      <c r="C40" s="23" t="s">
        <v>15</v>
      </c>
      <c r="D40" s="155" t="s">
        <v>356</v>
      </c>
      <c r="E40" s="156"/>
    </row>
    <row r="41" spans="1:5" ht="18" customHeight="1" x14ac:dyDescent="0.35">
      <c r="A41" s="229" t="s">
        <v>243</v>
      </c>
      <c r="B41" s="229"/>
      <c r="C41" s="229"/>
      <c r="D41" s="229"/>
      <c r="E41" s="113"/>
    </row>
    <row r="42" spans="1:5" ht="30" customHeight="1" x14ac:dyDescent="0.35">
      <c r="A42" s="153" t="s">
        <v>357</v>
      </c>
      <c r="B42" s="154"/>
      <c r="C42" s="23" t="s">
        <v>15</v>
      </c>
      <c r="D42" s="155" t="s">
        <v>358</v>
      </c>
      <c r="E42" s="156"/>
    </row>
    <row r="43" spans="1:5" ht="30" customHeight="1" x14ac:dyDescent="0.35">
      <c r="A43" s="153" t="s">
        <v>359</v>
      </c>
      <c r="B43" s="154"/>
      <c r="C43" s="23" t="s">
        <v>15</v>
      </c>
      <c r="D43" s="155" t="s">
        <v>360</v>
      </c>
      <c r="E43" s="156"/>
    </row>
    <row r="44" spans="1:5" ht="30" customHeight="1" x14ac:dyDescent="0.35">
      <c r="A44" s="153" t="s">
        <v>361</v>
      </c>
      <c r="B44" s="154"/>
      <c r="C44" s="26" t="s">
        <v>322</v>
      </c>
      <c r="D44" s="155" t="s">
        <v>362</v>
      </c>
      <c r="E44" s="156"/>
    </row>
    <row r="45" spans="1:5" ht="30" customHeight="1" x14ac:dyDescent="0.35">
      <c r="A45" s="153" t="s">
        <v>363</v>
      </c>
      <c r="B45" s="154"/>
      <c r="C45" s="26" t="s">
        <v>322</v>
      </c>
      <c r="D45" s="155" t="s">
        <v>364</v>
      </c>
      <c r="E45" s="156"/>
    </row>
    <row r="46" spans="1:5" ht="30" customHeight="1" x14ac:dyDescent="0.35">
      <c r="A46" s="153" t="s">
        <v>365</v>
      </c>
      <c r="B46" s="154"/>
      <c r="C46" s="23" t="s">
        <v>15</v>
      </c>
      <c r="D46" s="155" t="s">
        <v>366</v>
      </c>
      <c r="E46" s="156"/>
    </row>
    <row r="47" spans="1:5" ht="30" customHeight="1" x14ac:dyDescent="0.35">
      <c r="A47" s="153" t="s">
        <v>367</v>
      </c>
      <c r="B47" s="154"/>
      <c r="C47" s="29" t="s">
        <v>21</v>
      </c>
      <c r="D47" s="155" t="s">
        <v>368</v>
      </c>
      <c r="E47" s="156"/>
    </row>
    <row r="48" spans="1:5" ht="30" customHeight="1" x14ac:dyDescent="0.35">
      <c r="A48" s="153" t="s">
        <v>369</v>
      </c>
      <c r="B48" s="154"/>
      <c r="C48" s="26" t="s">
        <v>322</v>
      </c>
      <c r="D48" s="155" t="s">
        <v>370</v>
      </c>
      <c r="E48" s="156"/>
    </row>
    <row r="50" spans="1:5" ht="21.75" customHeight="1" x14ac:dyDescent="0.35">
      <c r="A50" s="252" t="s">
        <v>371</v>
      </c>
      <c r="B50" s="252"/>
      <c r="C50" s="252"/>
      <c r="D50" s="252"/>
    </row>
    <row r="51" spans="1:5" ht="19.5" customHeight="1" x14ac:dyDescent="0.35">
      <c r="A51" s="226" t="s">
        <v>372</v>
      </c>
      <c r="B51" s="226"/>
      <c r="C51" s="226"/>
      <c r="D51" s="226"/>
    </row>
    <row r="52" spans="1:5" ht="21.75" customHeight="1" x14ac:dyDescent="0.35">
      <c r="A52" s="152" t="s">
        <v>373</v>
      </c>
      <c r="B52" s="152" t="s">
        <v>374</v>
      </c>
      <c r="C52" s="118" t="s">
        <v>375</v>
      </c>
      <c r="D52" s="118" t="s">
        <v>376</v>
      </c>
    </row>
    <row r="53" spans="1:5" ht="39.75" customHeight="1" x14ac:dyDescent="0.35">
      <c r="A53" s="85" t="s">
        <v>377</v>
      </c>
      <c r="B53" s="157"/>
      <c r="C53" s="158" t="s">
        <v>378</v>
      </c>
      <c r="D53" s="140"/>
    </row>
    <row r="54" spans="1:5" ht="39.75" customHeight="1" x14ac:dyDescent="0.35">
      <c r="A54" s="74" t="s">
        <v>379</v>
      </c>
      <c r="B54" s="157"/>
      <c r="C54" s="158" t="s">
        <v>380</v>
      </c>
      <c r="D54" s="140"/>
    </row>
    <row r="55" spans="1:5" ht="39.75" customHeight="1" x14ac:dyDescent="0.35">
      <c r="A55" s="85" t="s">
        <v>381</v>
      </c>
      <c r="B55" s="157"/>
      <c r="C55" s="158" t="s">
        <v>382</v>
      </c>
      <c r="D55" s="140"/>
    </row>
    <row r="56" spans="1:5" ht="39.75" customHeight="1" x14ac:dyDescent="0.35">
      <c r="A56" s="88" t="s">
        <v>383</v>
      </c>
      <c r="B56" s="157"/>
      <c r="C56" s="158" t="s">
        <v>384</v>
      </c>
      <c r="D56" s="140"/>
    </row>
    <row r="57" spans="1:5" ht="39.75" customHeight="1" x14ac:dyDescent="0.35">
      <c r="A57" s="89" t="s">
        <v>385</v>
      </c>
      <c r="B57" s="157"/>
      <c r="C57" s="158" t="s">
        <v>386</v>
      </c>
      <c r="D57" s="140"/>
    </row>
    <row r="58" spans="1:5" ht="39.75" customHeight="1" x14ac:dyDescent="0.35">
      <c r="A58" s="90" t="s">
        <v>387</v>
      </c>
      <c r="B58" s="157"/>
      <c r="C58" s="158" t="s">
        <v>388</v>
      </c>
      <c r="D58" s="140"/>
    </row>
    <row r="59" spans="1:5" ht="39.75" customHeight="1" x14ac:dyDescent="0.35">
      <c r="A59" s="91" t="s">
        <v>389</v>
      </c>
      <c r="B59" s="157"/>
      <c r="C59" s="158" t="s">
        <v>390</v>
      </c>
      <c r="D59" s="140"/>
    </row>
    <row r="60" spans="1:5" ht="36" customHeight="1" x14ac:dyDescent="0.35">
      <c r="A60" s="159" t="s">
        <v>391</v>
      </c>
      <c r="B60" s="160"/>
      <c r="C60" s="140"/>
      <c r="D60" s="140"/>
      <c r="E60" s="161"/>
    </row>
    <row r="61" spans="1:5" ht="36" customHeight="1" x14ac:dyDescent="0.35">
      <c r="A61" s="264" t="s">
        <v>392</v>
      </c>
      <c r="B61" s="264"/>
      <c r="C61" s="264"/>
      <c r="D61" s="264"/>
      <c r="E61" s="161"/>
    </row>
    <row r="62" spans="1:5" ht="36" customHeight="1" x14ac:dyDescent="0.35">
      <c r="A62" s="159" t="s">
        <v>393</v>
      </c>
      <c r="B62" s="160"/>
      <c r="C62" s="265"/>
      <c r="D62" s="265"/>
      <c r="E62" s="161"/>
    </row>
    <row r="63" spans="1:5" ht="36" customHeight="1" x14ac:dyDescent="0.35">
      <c r="A63" s="159" t="s">
        <v>394</v>
      </c>
      <c r="B63" s="160"/>
      <c r="C63" s="265"/>
      <c r="D63" s="265"/>
      <c r="E63" s="161"/>
    </row>
    <row r="64" spans="1:5" ht="36" customHeight="1" x14ac:dyDescent="0.35">
      <c r="A64" s="159" t="s">
        <v>395</v>
      </c>
      <c r="B64" s="160"/>
      <c r="C64" s="265"/>
      <c r="D64" s="265"/>
      <c r="E64" s="161"/>
    </row>
    <row r="65" spans="1:4" ht="27.75" customHeight="1" x14ac:dyDescent="0.35">
      <c r="C65" s="180"/>
      <c r="D65" s="180"/>
    </row>
    <row r="66" spans="1:4" ht="27.75" customHeight="1" x14ac:dyDescent="0.35">
      <c r="A66" s="139" t="s">
        <v>396</v>
      </c>
      <c r="C66" s="180"/>
      <c r="D66" s="180"/>
    </row>
    <row r="67" spans="1:4" ht="27.75" customHeight="1" x14ac:dyDescent="0.35">
      <c r="A67" s="61" t="s">
        <v>397</v>
      </c>
      <c r="B67" s="140"/>
      <c r="C67" s="253" t="s">
        <v>398</v>
      </c>
      <c r="D67" s="253"/>
    </row>
    <row r="68" spans="1:4" ht="27.75" customHeight="1" x14ac:dyDescent="0.35">
      <c r="A68" s="61" t="s">
        <v>399</v>
      </c>
      <c r="B68" s="140"/>
      <c r="C68" s="253" t="s">
        <v>400</v>
      </c>
      <c r="D68" s="253"/>
    </row>
    <row r="69" spans="1:4" ht="27.75" customHeight="1" x14ac:dyDescent="0.35">
      <c r="A69" s="61" t="s">
        <v>401</v>
      </c>
      <c r="B69" s="140"/>
      <c r="C69" s="253" t="s">
        <v>402</v>
      </c>
      <c r="D69" s="253"/>
    </row>
    <row r="70" spans="1:4" ht="27.75" customHeight="1" x14ac:dyDescent="0.35">
      <c r="A70" s="61" t="s">
        <v>403</v>
      </c>
      <c r="B70" s="140"/>
      <c r="C70" s="253" t="s">
        <v>404</v>
      </c>
      <c r="D70" s="253"/>
    </row>
    <row r="71" spans="1:4" ht="21.75" customHeight="1" x14ac:dyDescent="0.35">
      <c r="A71" s="61" t="s">
        <v>405</v>
      </c>
      <c r="B71" s="140"/>
      <c r="C71" s="141" t="s">
        <v>406</v>
      </c>
    </row>
    <row r="72" spans="1:4" ht="21.75" customHeight="1" x14ac:dyDescent="0.35">
      <c r="A72" s="266" t="s">
        <v>285</v>
      </c>
      <c r="B72" s="266"/>
      <c r="C72" s="266"/>
      <c r="D72" s="266"/>
    </row>
    <row r="73" spans="1:4" ht="25.5" customHeight="1" x14ac:dyDescent="0.35">
      <c r="A73" s="61" t="s">
        <v>407</v>
      </c>
      <c r="B73" s="140"/>
      <c r="C73" s="253" t="s">
        <v>408</v>
      </c>
      <c r="D73" s="253"/>
    </row>
    <row r="74" spans="1:4" ht="25.5" customHeight="1" x14ac:dyDescent="0.35">
      <c r="A74" s="61" t="s">
        <v>409</v>
      </c>
      <c r="B74" s="140"/>
      <c r="C74" s="253" t="s">
        <v>410</v>
      </c>
      <c r="D74" s="253"/>
    </row>
    <row r="75" spans="1:4" ht="25.5" customHeight="1" x14ac:dyDescent="0.35">
      <c r="A75" s="61" t="s">
        <v>411</v>
      </c>
      <c r="B75" s="140"/>
      <c r="C75" s="253" t="s">
        <v>412</v>
      </c>
      <c r="D75" s="253"/>
    </row>
    <row r="76" spans="1:4" ht="25.5" customHeight="1" x14ac:dyDescent="0.35">
      <c r="C76" s="180"/>
      <c r="D76" s="180"/>
    </row>
    <row r="77" spans="1:4" ht="25.5" customHeight="1" x14ac:dyDescent="0.35">
      <c r="A77" s="139" t="s">
        <v>413</v>
      </c>
      <c r="C77" s="180"/>
      <c r="D77" s="180"/>
    </row>
    <row r="78" spans="1:4" ht="25.5" customHeight="1" x14ac:dyDescent="0.35">
      <c r="A78" s="61" t="s">
        <v>414</v>
      </c>
      <c r="B78" s="140"/>
      <c r="C78" s="253" t="s">
        <v>415</v>
      </c>
      <c r="D78" s="253"/>
    </row>
    <row r="79" spans="1:4" ht="25.5" customHeight="1" x14ac:dyDescent="0.35">
      <c r="A79" s="61" t="s">
        <v>416</v>
      </c>
      <c r="B79" s="140"/>
      <c r="C79" s="253" t="s">
        <v>417</v>
      </c>
      <c r="D79" s="253"/>
    </row>
    <row r="80" spans="1:4" ht="25.5" customHeight="1" x14ac:dyDescent="0.35">
      <c r="A80" s="61" t="s">
        <v>418</v>
      </c>
      <c r="B80" s="140"/>
      <c r="C80" s="253" t="s">
        <v>419</v>
      </c>
      <c r="D80" s="253"/>
    </row>
    <row r="81" spans="1:4" ht="25.5" customHeight="1" x14ac:dyDescent="0.35">
      <c r="A81" s="61" t="s">
        <v>420</v>
      </c>
      <c r="B81" s="140"/>
      <c r="C81" s="253" t="s">
        <v>421</v>
      </c>
      <c r="D81" s="253"/>
    </row>
    <row r="82" spans="1:4" ht="34.5" customHeight="1" x14ac:dyDescent="0.35">
      <c r="A82" s="61" t="s">
        <v>422</v>
      </c>
      <c r="B82" s="140"/>
      <c r="C82" s="141" t="s">
        <v>423</v>
      </c>
    </row>
    <row r="83" spans="1:4" ht="24" customHeight="1" x14ac:dyDescent="0.35">
      <c r="A83" s="266" t="s">
        <v>424</v>
      </c>
      <c r="B83" s="266"/>
      <c r="C83" s="266"/>
      <c r="D83" s="266"/>
    </row>
    <row r="84" spans="1:4" ht="24" customHeight="1" x14ac:dyDescent="0.35">
      <c r="A84" s="61" t="s">
        <v>425</v>
      </c>
      <c r="B84" s="267"/>
      <c r="C84" s="267"/>
      <c r="D84" s="267"/>
    </row>
    <row r="85" spans="1:4" ht="43.5" customHeight="1" x14ac:dyDescent="0.35">
      <c r="A85" s="266" t="s">
        <v>426</v>
      </c>
      <c r="B85" s="266"/>
      <c r="C85" s="266"/>
      <c r="D85" s="266"/>
    </row>
    <row r="86" spans="1:4" ht="24" customHeight="1" x14ac:dyDescent="0.35">
      <c r="A86" s="61" t="s">
        <v>427</v>
      </c>
      <c r="B86" s="267"/>
      <c r="C86" s="267"/>
      <c r="D86" s="267"/>
    </row>
    <row r="87" spans="1:4" ht="43.5" customHeight="1" x14ac:dyDescent="0.35">
      <c r="A87" s="180"/>
      <c r="B87" s="180"/>
      <c r="C87" s="180"/>
      <c r="D87" s="180"/>
    </row>
    <row r="88" spans="1:4" ht="24" customHeight="1" x14ac:dyDescent="0.35">
      <c r="A88" s="162" t="s">
        <v>428</v>
      </c>
      <c r="B88" s="180"/>
      <c r="C88" s="180"/>
      <c r="D88" s="180"/>
    </row>
    <row r="89" spans="1:4" ht="43.5" customHeight="1" x14ac:dyDescent="0.35">
      <c r="A89" s="268" t="s">
        <v>429</v>
      </c>
      <c r="B89" s="268"/>
      <c r="C89" s="268"/>
      <c r="D89" s="268"/>
    </row>
    <row r="90" spans="1:4" ht="24" customHeight="1" x14ac:dyDescent="0.35">
      <c r="A90" s="151"/>
      <c r="B90" s="180"/>
      <c r="C90" s="180"/>
      <c r="D90" s="180"/>
    </row>
    <row r="91" spans="1:4" ht="43.5" customHeight="1" x14ac:dyDescent="0.35">
      <c r="A91" s="268" t="s">
        <v>430</v>
      </c>
      <c r="B91" s="268"/>
      <c r="C91" s="268"/>
      <c r="D91" s="268"/>
    </row>
    <row r="92" spans="1:4" ht="15" customHeight="1" x14ac:dyDescent="0.35">
      <c r="A92" s="151"/>
    </row>
    <row r="93" spans="1:4" ht="23.25" customHeight="1" x14ac:dyDescent="0.35">
      <c r="A93" s="96" t="s">
        <v>431</v>
      </c>
      <c r="B93" s="163" t="s">
        <v>432</v>
      </c>
    </row>
    <row r="94" spans="1:4" ht="15" customHeight="1" x14ac:dyDescent="0.35">
      <c r="A94" s="151"/>
    </row>
    <row r="95" spans="1:4" ht="23.25" customHeight="1" x14ac:dyDescent="0.35">
      <c r="A95" s="96" t="s">
        <v>433</v>
      </c>
      <c r="B95" s="163" t="s">
        <v>434</v>
      </c>
    </row>
    <row r="96" spans="1:4" ht="15" customHeight="1" x14ac:dyDescent="0.35">
      <c r="A96" s="151"/>
    </row>
    <row r="99" spans="1:5" ht="33.75" customHeight="1" x14ac:dyDescent="0.35">
      <c r="A99" s="269" t="s">
        <v>611</v>
      </c>
      <c r="B99" s="269"/>
      <c r="C99" s="269"/>
      <c r="D99" s="269"/>
      <c r="E99" s="269"/>
    </row>
    <row r="100" spans="1:5" ht="24" customHeight="1" x14ac:dyDescent="0.35">
      <c r="A100" s="270" t="s">
        <v>436</v>
      </c>
      <c r="B100" s="270"/>
      <c r="C100" s="270"/>
      <c r="D100" s="270"/>
      <c r="E100" s="270"/>
    </row>
    <row r="101" spans="1:5" ht="25.5" customHeight="1" x14ac:dyDescent="0.35">
      <c r="A101" s="271" t="s">
        <v>437</v>
      </c>
      <c r="B101" s="271"/>
      <c r="C101" s="271"/>
      <c r="D101" s="271"/>
      <c r="E101" s="271"/>
    </row>
    <row r="102" spans="1:5" ht="27.75" customHeight="1" x14ac:dyDescent="0.35">
      <c r="A102" s="61" t="s">
        <v>438</v>
      </c>
      <c r="B102" s="164"/>
      <c r="C102" s="253" t="s">
        <v>439</v>
      </c>
      <c r="D102" s="253"/>
      <c r="E102" s="253"/>
    </row>
    <row r="103" spans="1:5" ht="27.75" customHeight="1" x14ac:dyDescent="0.35">
      <c r="A103" s="61" t="s">
        <v>440</v>
      </c>
      <c r="B103" s="164"/>
      <c r="C103" s="253" t="s">
        <v>441</v>
      </c>
      <c r="D103" s="253"/>
      <c r="E103" s="253"/>
    </row>
    <row r="104" spans="1:5" ht="27.75" customHeight="1" x14ac:dyDescent="0.35">
      <c r="A104" s="61" t="s">
        <v>442</v>
      </c>
      <c r="B104" s="165"/>
      <c r="C104" s="253" t="s">
        <v>443</v>
      </c>
      <c r="D104" s="253"/>
      <c r="E104" s="253"/>
    </row>
    <row r="105" spans="1:5" ht="27.75" customHeight="1" x14ac:dyDescent="0.35">
      <c r="A105" s="61" t="s">
        <v>444</v>
      </c>
      <c r="B105" s="164"/>
      <c r="C105" s="253" t="s">
        <v>445</v>
      </c>
      <c r="D105" s="253"/>
      <c r="E105" s="253"/>
    </row>
    <row r="106" spans="1:5" ht="27.75" customHeight="1" x14ac:dyDescent="0.35">
      <c r="A106" s="61" t="s">
        <v>446</v>
      </c>
      <c r="B106" s="165"/>
      <c r="C106" s="253" t="s">
        <v>447</v>
      </c>
      <c r="D106" s="253"/>
      <c r="E106" s="253"/>
    </row>
    <row r="107" spans="1:5" ht="27.75" customHeight="1" x14ac:dyDescent="0.35">
      <c r="A107" s="61" t="s">
        <v>448</v>
      </c>
      <c r="B107" s="164"/>
      <c r="C107" s="253" t="s">
        <v>449</v>
      </c>
      <c r="D107" s="253"/>
      <c r="E107" s="253"/>
    </row>
    <row r="108" spans="1:5" ht="27.75" customHeight="1" x14ac:dyDescent="0.35">
      <c r="A108" s="61" t="s">
        <v>450</v>
      </c>
      <c r="B108" s="165"/>
      <c r="C108" s="253" t="s">
        <v>451</v>
      </c>
      <c r="D108" s="253"/>
      <c r="E108" s="253"/>
    </row>
    <row r="109" spans="1:5" ht="27.75" customHeight="1" x14ac:dyDescent="0.35">
      <c r="A109" s="61" t="s">
        <v>452</v>
      </c>
      <c r="B109" s="164"/>
      <c r="C109" s="253" t="s">
        <v>453</v>
      </c>
      <c r="D109" s="253"/>
      <c r="E109" s="253"/>
    </row>
    <row r="110" spans="1:5" ht="27.75" customHeight="1" x14ac:dyDescent="0.35">
      <c r="A110" s="61" t="s">
        <v>454</v>
      </c>
      <c r="B110" s="165"/>
      <c r="C110" s="253" t="s">
        <v>455</v>
      </c>
      <c r="D110" s="253"/>
      <c r="E110" s="253"/>
    </row>
    <row r="111" spans="1:5" ht="27.75" customHeight="1" x14ac:dyDescent="0.35">
      <c r="A111" s="61" t="s">
        <v>456</v>
      </c>
      <c r="B111" s="165"/>
      <c r="C111" s="253" t="s">
        <v>457</v>
      </c>
      <c r="D111" s="253"/>
      <c r="E111" s="253"/>
    </row>
    <row r="113" spans="1:5" ht="25.5" customHeight="1" x14ac:dyDescent="0.35">
      <c r="A113" s="272" t="s">
        <v>458</v>
      </c>
      <c r="B113" s="272"/>
      <c r="C113" s="272"/>
      <c r="D113" s="272"/>
      <c r="E113" s="272"/>
    </row>
    <row r="114" spans="1:5" ht="21.75" customHeight="1" x14ac:dyDescent="0.35">
      <c r="A114" s="273" t="s">
        <v>459</v>
      </c>
      <c r="B114" s="273"/>
      <c r="C114" s="273"/>
      <c r="D114" s="273"/>
      <c r="E114" s="273"/>
    </row>
    <row r="115" spans="1:5" ht="25.5" customHeight="1" x14ac:dyDescent="0.35">
      <c r="A115" s="96" t="s">
        <v>460</v>
      </c>
      <c r="B115" s="274" t="s">
        <v>461</v>
      </c>
      <c r="C115" s="274"/>
      <c r="D115" s="274"/>
      <c r="E115" s="274"/>
    </row>
    <row r="116" spans="1:5" ht="43.5" customHeight="1" x14ac:dyDescent="0.35">
      <c r="A116" s="275"/>
      <c r="B116" s="275"/>
      <c r="C116" s="275"/>
      <c r="D116" s="275"/>
      <c r="E116" s="275"/>
    </row>
    <row r="117" spans="1:5" ht="25.5" customHeight="1" x14ac:dyDescent="0.35">
      <c r="A117" s="96" t="s">
        <v>462</v>
      </c>
      <c r="B117" s="274" t="s">
        <v>463</v>
      </c>
      <c r="C117" s="274"/>
      <c r="D117" s="274"/>
      <c r="E117" s="274"/>
    </row>
    <row r="118" spans="1:5" ht="43.5" customHeight="1" x14ac:dyDescent="0.35">
      <c r="A118" s="275"/>
      <c r="B118" s="275"/>
      <c r="C118" s="275"/>
      <c r="D118" s="275"/>
      <c r="E118" s="275"/>
    </row>
    <row r="119" spans="1:5" ht="25.5" customHeight="1" x14ac:dyDescent="0.35">
      <c r="A119" s="96" t="s">
        <v>464</v>
      </c>
      <c r="B119" s="274" t="s">
        <v>465</v>
      </c>
      <c r="C119" s="274"/>
      <c r="D119" s="274"/>
      <c r="E119" s="274"/>
    </row>
    <row r="120" spans="1:5" ht="43.5" customHeight="1" x14ac:dyDescent="0.35">
      <c r="A120" s="275"/>
      <c r="B120" s="275"/>
      <c r="C120" s="275"/>
      <c r="D120" s="275"/>
      <c r="E120" s="275"/>
    </row>
    <row r="121" spans="1:5" ht="25.5" customHeight="1" x14ac:dyDescent="0.35">
      <c r="A121" s="96" t="s">
        <v>466</v>
      </c>
      <c r="B121" s="274" t="s">
        <v>467</v>
      </c>
      <c r="C121" s="274"/>
      <c r="D121" s="274"/>
      <c r="E121" s="274"/>
    </row>
    <row r="122" spans="1:5" ht="43.5" customHeight="1" x14ac:dyDescent="0.35">
      <c r="A122" s="275"/>
      <c r="B122" s="275"/>
      <c r="C122" s="275"/>
      <c r="D122" s="275"/>
      <c r="E122" s="275"/>
    </row>
    <row r="123" spans="1:5" ht="25.5" customHeight="1" x14ac:dyDescent="0.35">
      <c r="A123" s="96" t="s">
        <v>468</v>
      </c>
      <c r="B123" s="274" t="s">
        <v>469</v>
      </c>
      <c r="C123" s="274"/>
      <c r="D123" s="274"/>
      <c r="E123" s="274"/>
    </row>
    <row r="124" spans="1:5" ht="43.5" customHeight="1" x14ac:dyDescent="0.35">
      <c r="A124" s="275"/>
      <c r="B124" s="275"/>
      <c r="C124" s="275"/>
      <c r="D124" s="275"/>
      <c r="E124" s="275"/>
    </row>
    <row r="125" spans="1:5" ht="25.5" customHeight="1" x14ac:dyDescent="0.35">
      <c r="A125" s="96" t="s">
        <v>470</v>
      </c>
      <c r="B125" s="274" t="s">
        <v>471</v>
      </c>
      <c r="C125" s="274"/>
      <c r="D125" s="274"/>
      <c r="E125" s="274"/>
    </row>
    <row r="126" spans="1:5" ht="43.5" customHeight="1" x14ac:dyDescent="0.35">
      <c r="A126" s="275"/>
      <c r="B126" s="275"/>
      <c r="C126" s="275"/>
      <c r="D126" s="275"/>
      <c r="E126" s="275"/>
    </row>
    <row r="128" spans="1:5" ht="25.5" customHeight="1" x14ac:dyDescent="0.35">
      <c r="A128" s="276" t="s">
        <v>472</v>
      </c>
      <c r="B128" s="276"/>
      <c r="C128" s="276"/>
      <c r="D128" s="276"/>
      <c r="E128" s="276"/>
    </row>
    <row r="129" spans="1:5" ht="21.75" customHeight="1" x14ac:dyDescent="0.35">
      <c r="A129" s="277" t="s">
        <v>473</v>
      </c>
      <c r="B129" s="277"/>
      <c r="C129" s="277"/>
      <c r="D129" s="277"/>
      <c r="E129" s="277"/>
    </row>
    <row r="130" spans="1:5" ht="27.75" customHeight="1" x14ac:dyDescent="0.35">
      <c r="A130" s="74" t="s">
        <v>474</v>
      </c>
      <c r="B130" s="165"/>
      <c r="C130" s="253" t="s">
        <v>475</v>
      </c>
      <c r="D130" s="253"/>
      <c r="E130" s="253"/>
    </row>
    <row r="131" spans="1:5" ht="27.75" customHeight="1" x14ac:dyDescent="0.35">
      <c r="A131" s="74" t="s">
        <v>476</v>
      </c>
      <c r="B131" s="165"/>
      <c r="C131" s="253" t="s">
        <v>477</v>
      </c>
      <c r="D131" s="253"/>
      <c r="E131" s="253"/>
    </row>
    <row r="132" spans="1:5" ht="27.75" customHeight="1" x14ac:dyDescent="0.35">
      <c r="A132" s="74" t="s">
        <v>478</v>
      </c>
      <c r="B132" s="164"/>
      <c r="C132" s="253" t="s">
        <v>479</v>
      </c>
      <c r="D132" s="253"/>
      <c r="E132" s="253"/>
    </row>
    <row r="133" spans="1:5" ht="27.75" customHeight="1" x14ac:dyDescent="0.35">
      <c r="A133" s="74" t="s">
        <v>480</v>
      </c>
      <c r="B133" s="164"/>
      <c r="C133" s="253" t="s">
        <v>481</v>
      </c>
      <c r="D133" s="253"/>
      <c r="E133" s="253"/>
    </row>
    <row r="134" spans="1:5" ht="27.75" customHeight="1" x14ac:dyDescent="0.35">
      <c r="A134" s="74" t="s">
        <v>482</v>
      </c>
      <c r="B134" s="164"/>
      <c r="C134" s="253" t="s">
        <v>483</v>
      </c>
      <c r="D134" s="253"/>
      <c r="E134" s="253"/>
    </row>
    <row r="135" spans="1:5" ht="27.75" customHeight="1" x14ac:dyDescent="0.35">
      <c r="A135" s="74" t="s">
        <v>484</v>
      </c>
      <c r="B135" s="164"/>
      <c r="C135" s="253" t="s">
        <v>485</v>
      </c>
      <c r="D135" s="253"/>
      <c r="E135" s="253"/>
    </row>
    <row r="136" spans="1:5" ht="27.75" customHeight="1" x14ac:dyDescent="0.35">
      <c r="A136" s="74" t="s">
        <v>486</v>
      </c>
      <c r="B136" s="164"/>
      <c r="C136" s="253" t="s">
        <v>487</v>
      </c>
      <c r="D136" s="253"/>
      <c r="E136" s="253"/>
    </row>
    <row r="137" spans="1:5" ht="27.75" customHeight="1" x14ac:dyDescent="0.35">
      <c r="A137" s="74" t="s">
        <v>488</v>
      </c>
      <c r="B137" s="165"/>
      <c r="C137" s="253" t="s">
        <v>489</v>
      </c>
      <c r="D137" s="253"/>
      <c r="E137" s="253"/>
    </row>
    <row r="139" spans="1:5" ht="25.5" customHeight="1" x14ac:dyDescent="0.35">
      <c r="A139" s="278" t="s">
        <v>490</v>
      </c>
      <c r="B139" s="278"/>
      <c r="C139" s="278"/>
      <c r="D139" s="278"/>
      <c r="E139" s="278"/>
    </row>
    <row r="140" spans="1:5" ht="27.75" customHeight="1" x14ac:dyDescent="0.35">
      <c r="A140" s="166" t="s">
        <v>491</v>
      </c>
      <c r="B140" s="164"/>
      <c r="C140" s="253" t="s">
        <v>492</v>
      </c>
      <c r="D140" s="253"/>
      <c r="E140" s="253"/>
    </row>
    <row r="141" spans="1:5" ht="27.75" customHeight="1" x14ac:dyDescent="0.35">
      <c r="A141" s="166" t="s">
        <v>493</v>
      </c>
      <c r="B141" s="164"/>
      <c r="C141" s="253" t="s">
        <v>494</v>
      </c>
      <c r="D141" s="253"/>
      <c r="E141" s="253"/>
    </row>
    <row r="142" spans="1:5" ht="27.75" customHeight="1" x14ac:dyDescent="0.35">
      <c r="A142" s="166" t="s">
        <v>495</v>
      </c>
      <c r="B142" s="164"/>
      <c r="C142" s="253" t="s">
        <v>496</v>
      </c>
      <c r="D142" s="253"/>
      <c r="E142" s="253"/>
    </row>
    <row r="143" spans="1:5" ht="27.75" customHeight="1" x14ac:dyDescent="0.35">
      <c r="A143" s="166" t="s">
        <v>497</v>
      </c>
      <c r="B143" s="165"/>
      <c r="C143" s="253" t="s">
        <v>498</v>
      </c>
      <c r="D143" s="253"/>
      <c r="E143" s="253"/>
    </row>
    <row r="144" spans="1:5" ht="27.75" customHeight="1" x14ac:dyDescent="0.35">
      <c r="A144" s="166" t="s">
        <v>499</v>
      </c>
      <c r="B144" s="164"/>
      <c r="C144" s="253" t="s">
        <v>500</v>
      </c>
      <c r="D144" s="253"/>
      <c r="E144" s="253"/>
    </row>
    <row r="145" spans="1:5" ht="27.75" customHeight="1" x14ac:dyDescent="0.35">
      <c r="A145" s="166" t="s">
        <v>501</v>
      </c>
      <c r="B145" s="164"/>
      <c r="C145" s="253" t="s">
        <v>502</v>
      </c>
      <c r="D145" s="253"/>
      <c r="E145" s="253"/>
    </row>
    <row r="146" spans="1:5" ht="27.75" customHeight="1" x14ac:dyDescent="0.35">
      <c r="A146" s="166" t="s">
        <v>503</v>
      </c>
      <c r="B146" s="165"/>
      <c r="C146" s="253" t="s">
        <v>504</v>
      </c>
      <c r="D146" s="253"/>
      <c r="E146" s="253"/>
    </row>
    <row r="148" spans="1:5" ht="25.5" customHeight="1" x14ac:dyDescent="0.35">
      <c r="A148" s="279" t="s">
        <v>505</v>
      </c>
      <c r="B148" s="279"/>
      <c r="C148" s="279"/>
      <c r="D148" s="279"/>
      <c r="E148" s="279"/>
    </row>
    <row r="149" spans="1:5" ht="21.75" customHeight="1" x14ac:dyDescent="0.35">
      <c r="A149" s="280" t="s">
        <v>506</v>
      </c>
      <c r="B149" s="280"/>
      <c r="C149" s="280"/>
      <c r="D149" s="280"/>
      <c r="E149" s="280"/>
    </row>
    <row r="150" spans="1:5" ht="25.5" customHeight="1" x14ac:dyDescent="0.35">
      <c r="A150" s="167" t="s">
        <v>507</v>
      </c>
      <c r="B150" s="281" t="s">
        <v>508</v>
      </c>
      <c r="C150" s="281"/>
      <c r="D150" s="281"/>
      <c r="E150" s="281"/>
    </row>
    <row r="151" spans="1:5" ht="43.5" customHeight="1" x14ac:dyDescent="0.35">
      <c r="A151" s="282"/>
      <c r="B151" s="282"/>
      <c r="C151" s="282"/>
      <c r="D151" s="282"/>
      <c r="E151" s="282"/>
    </row>
    <row r="152" spans="1:5" ht="25.5" customHeight="1" x14ac:dyDescent="0.35">
      <c r="A152" s="167" t="s">
        <v>509</v>
      </c>
      <c r="B152" s="281" t="s">
        <v>510</v>
      </c>
      <c r="C152" s="281"/>
      <c r="D152" s="281"/>
      <c r="E152" s="281"/>
    </row>
    <row r="153" spans="1:5" ht="43.5" customHeight="1" x14ac:dyDescent="0.35">
      <c r="A153" s="282"/>
      <c r="B153" s="282"/>
      <c r="C153" s="282"/>
      <c r="D153" s="282"/>
      <c r="E153" s="282"/>
    </row>
    <row r="154" spans="1:5" ht="25.5" customHeight="1" x14ac:dyDescent="0.35">
      <c r="A154" s="167" t="s">
        <v>511</v>
      </c>
      <c r="B154" s="281" t="s">
        <v>512</v>
      </c>
      <c r="C154" s="281"/>
      <c r="D154" s="281"/>
      <c r="E154" s="281"/>
    </row>
    <row r="155" spans="1:5" ht="43.5" customHeight="1" x14ac:dyDescent="0.35">
      <c r="A155" s="282"/>
      <c r="B155" s="282"/>
      <c r="C155" s="282"/>
      <c r="D155" s="282"/>
      <c r="E155" s="282"/>
    </row>
    <row r="156" spans="1:5" ht="25.5" customHeight="1" x14ac:dyDescent="0.35">
      <c r="A156" s="167" t="s">
        <v>513</v>
      </c>
      <c r="B156" s="281" t="s">
        <v>514</v>
      </c>
      <c r="C156" s="281"/>
      <c r="D156" s="281"/>
      <c r="E156" s="281"/>
    </row>
    <row r="157" spans="1:5" ht="43.5" customHeight="1" x14ac:dyDescent="0.35">
      <c r="A157" s="282"/>
      <c r="B157" s="282"/>
      <c r="C157" s="282"/>
      <c r="D157" s="282"/>
      <c r="E157" s="282"/>
    </row>
    <row r="158" spans="1:5" ht="25.5" customHeight="1" x14ac:dyDescent="0.35">
      <c r="A158" s="167" t="s">
        <v>515</v>
      </c>
      <c r="B158" s="281" t="s">
        <v>516</v>
      </c>
      <c r="C158" s="281"/>
      <c r="D158" s="281"/>
      <c r="E158" s="281"/>
    </row>
    <row r="159" spans="1:5" ht="43.5" customHeight="1" x14ac:dyDescent="0.35">
      <c r="A159" s="282"/>
      <c r="B159" s="282"/>
      <c r="C159" s="282"/>
      <c r="D159" s="282"/>
      <c r="E159" s="282"/>
    </row>
    <row r="160" spans="1:5" ht="25.5" customHeight="1" x14ac:dyDescent="0.35">
      <c r="A160" s="167" t="s">
        <v>517</v>
      </c>
      <c r="B160" s="281" t="s">
        <v>518</v>
      </c>
      <c r="C160" s="281"/>
      <c r="D160" s="281"/>
      <c r="E160" s="281"/>
    </row>
    <row r="161" spans="1:5" ht="43.5" customHeight="1" x14ac:dyDescent="0.35">
      <c r="A161" s="282"/>
      <c r="B161" s="282"/>
      <c r="C161" s="282"/>
      <c r="D161" s="282"/>
      <c r="E161" s="282"/>
    </row>
    <row r="164" spans="1:5" ht="33.75" customHeight="1" x14ac:dyDescent="0.35">
      <c r="A164" s="283" t="s">
        <v>612</v>
      </c>
      <c r="B164" s="283"/>
      <c r="C164" s="283"/>
      <c r="D164" s="283"/>
      <c r="E164" s="283"/>
    </row>
    <row r="165" spans="1:5" ht="24" customHeight="1" x14ac:dyDescent="0.35">
      <c r="A165" s="284" t="s">
        <v>520</v>
      </c>
      <c r="B165" s="284"/>
      <c r="C165" s="284"/>
      <c r="D165" s="284"/>
      <c r="E165" s="284"/>
    </row>
    <row r="166" spans="1:5" ht="25.5" customHeight="1" x14ac:dyDescent="0.35">
      <c r="A166" s="279" t="s">
        <v>521</v>
      </c>
      <c r="B166" s="279"/>
      <c r="C166" s="279"/>
      <c r="D166" s="279"/>
      <c r="E166" s="279"/>
    </row>
    <row r="167" spans="1:5" ht="21.75" customHeight="1" x14ac:dyDescent="0.35">
      <c r="A167" s="168" t="s">
        <v>522</v>
      </c>
      <c r="B167" s="285" t="s">
        <v>523</v>
      </c>
      <c r="C167" s="285"/>
      <c r="D167" s="285"/>
      <c r="E167" s="285"/>
    </row>
    <row r="168" spans="1:5" ht="27.75" customHeight="1" x14ac:dyDescent="0.35">
      <c r="A168" s="169" t="s">
        <v>524</v>
      </c>
      <c r="B168" s="286" t="s">
        <v>525</v>
      </c>
      <c r="C168" s="286"/>
      <c r="D168" s="286"/>
      <c r="E168" s="286"/>
    </row>
    <row r="169" spans="1:5" ht="27.75" customHeight="1" x14ac:dyDescent="0.35">
      <c r="A169" s="170" t="s">
        <v>526</v>
      </c>
      <c r="B169" s="287" t="s">
        <v>527</v>
      </c>
      <c r="C169" s="287"/>
      <c r="D169" s="287"/>
      <c r="E169" s="287"/>
    </row>
    <row r="170" spans="1:5" ht="27.75" customHeight="1" x14ac:dyDescent="0.35">
      <c r="A170" s="171" t="s">
        <v>528</v>
      </c>
      <c r="B170" s="288" t="s">
        <v>529</v>
      </c>
      <c r="C170" s="288"/>
      <c r="D170" s="288"/>
      <c r="E170" s="288"/>
    </row>
    <row r="171" spans="1:5" ht="27.75" customHeight="1" x14ac:dyDescent="0.35">
      <c r="A171" s="172" t="s">
        <v>530</v>
      </c>
      <c r="B171" s="289" t="s">
        <v>531</v>
      </c>
      <c r="C171" s="289"/>
      <c r="D171" s="289"/>
      <c r="E171" s="289"/>
    </row>
    <row r="172" spans="1:5" ht="27.75" customHeight="1" x14ac:dyDescent="0.35">
      <c r="A172" s="173" t="s">
        <v>532</v>
      </c>
      <c r="B172" s="290" t="s">
        <v>533</v>
      </c>
      <c r="C172" s="290"/>
      <c r="D172" s="290"/>
      <c r="E172" s="290"/>
    </row>
    <row r="174" spans="1:5" ht="30" customHeight="1" x14ac:dyDescent="0.35">
      <c r="A174" s="61" t="s">
        <v>534</v>
      </c>
      <c r="B174" s="164"/>
      <c r="C174" s="253" t="s">
        <v>535</v>
      </c>
      <c r="D174" s="253"/>
      <c r="E174" s="253"/>
    </row>
    <row r="175" spans="1:5" ht="30" customHeight="1" x14ac:dyDescent="0.35">
      <c r="A175" s="61" t="s">
        <v>536</v>
      </c>
      <c r="B175" s="164"/>
      <c r="C175" s="253" t="s">
        <v>537</v>
      </c>
      <c r="D175" s="253"/>
      <c r="E175" s="253"/>
    </row>
    <row r="176" spans="1:5" ht="30" customHeight="1" x14ac:dyDescent="0.35">
      <c r="A176" s="61" t="s">
        <v>538</v>
      </c>
      <c r="B176" s="164"/>
      <c r="C176" s="253" t="s">
        <v>539</v>
      </c>
      <c r="D176" s="253"/>
      <c r="E176" s="253"/>
    </row>
    <row r="177" spans="1:5" ht="30" customHeight="1" x14ac:dyDescent="0.35">
      <c r="A177" s="61" t="s">
        <v>540</v>
      </c>
      <c r="B177" s="164"/>
      <c r="C177" s="253" t="s">
        <v>541</v>
      </c>
      <c r="D177" s="253"/>
      <c r="E177" s="253"/>
    </row>
    <row r="179" spans="1:5" ht="25.5" customHeight="1" x14ac:dyDescent="0.35">
      <c r="A179" s="291" t="s">
        <v>542</v>
      </c>
      <c r="B179" s="291"/>
      <c r="C179" s="291"/>
      <c r="D179" s="291"/>
      <c r="E179" s="291"/>
    </row>
    <row r="180" spans="1:5" ht="19.5" customHeight="1" x14ac:dyDescent="0.35">
      <c r="A180" s="292" t="s">
        <v>543</v>
      </c>
      <c r="B180" s="292"/>
      <c r="C180" s="292"/>
      <c r="D180" s="292"/>
      <c r="E180" s="292"/>
    </row>
    <row r="181" spans="1:5" ht="30" customHeight="1" x14ac:dyDescent="0.35">
      <c r="A181" s="74" t="s">
        <v>544</v>
      </c>
      <c r="B181" s="174"/>
      <c r="C181" s="253" t="s">
        <v>545</v>
      </c>
      <c r="D181" s="253"/>
      <c r="E181" s="253"/>
    </row>
    <row r="182" spans="1:5" ht="30" customHeight="1" x14ac:dyDescent="0.35">
      <c r="A182" s="74" t="s">
        <v>546</v>
      </c>
      <c r="B182" s="174"/>
      <c r="C182" s="253" t="s">
        <v>547</v>
      </c>
      <c r="D182" s="253"/>
      <c r="E182" s="253"/>
    </row>
    <row r="183" spans="1:5" ht="30" customHeight="1" x14ac:dyDescent="0.35">
      <c r="A183" s="74" t="s">
        <v>548</v>
      </c>
      <c r="B183" s="174"/>
      <c r="C183" s="253" t="s">
        <v>549</v>
      </c>
      <c r="D183" s="253"/>
      <c r="E183" s="253"/>
    </row>
    <row r="184" spans="1:5" ht="30" customHeight="1" x14ac:dyDescent="0.35">
      <c r="A184" s="74" t="s">
        <v>550</v>
      </c>
      <c r="B184" s="174"/>
      <c r="C184" s="253" t="s">
        <v>551</v>
      </c>
      <c r="D184" s="253"/>
      <c r="E184" s="253"/>
    </row>
    <row r="185" spans="1:5" ht="30" customHeight="1" x14ac:dyDescent="0.35">
      <c r="A185" s="74" t="s">
        <v>552</v>
      </c>
      <c r="B185" s="174"/>
      <c r="C185" s="253" t="s">
        <v>553</v>
      </c>
      <c r="D185" s="253"/>
      <c r="E185" s="253"/>
    </row>
    <row r="186" spans="1:5" ht="30" customHeight="1" x14ac:dyDescent="0.35">
      <c r="A186" s="74" t="s">
        <v>554</v>
      </c>
      <c r="B186" s="174"/>
      <c r="C186" s="253" t="s">
        <v>555</v>
      </c>
      <c r="D186" s="253"/>
      <c r="E186" s="253"/>
    </row>
    <row r="187" spans="1:5" ht="30" customHeight="1" x14ac:dyDescent="0.35">
      <c r="A187" s="74" t="s">
        <v>556</v>
      </c>
      <c r="B187" s="174"/>
      <c r="C187" s="253" t="s">
        <v>557</v>
      </c>
      <c r="D187" s="253"/>
      <c r="E187" s="253"/>
    </row>
    <row r="188" spans="1:5" ht="30" customHeight="1" x14ac:dyDescent="0.35">
      <c r="A188" s="74" t="s">
        <v>558</v>
      </c>
      <c r="B188" s="174"/>
      <c r="C188" s="253" t="s">
        <v>559</v>
      </c>
      <c r="D188" s="253"/>
      <c r="E188" s="253"/>
    </row>
    <row r="189" spans="1:5" ht="30" customHeight="1" x14ac:dyDescent="0.35">
      <c r="A189" s="74" t="s">
        <v>560</v>
      </c>
      <c r="B189" s="174"/>
      <c r="C189" s="253" t="s">
        <v>561</v>
      </c>
      <c r="D189" s="253"/>
      <c r="E189" s="253"/>
    </row>
    <row r="190" spans="1:5" ht="30" customHeight="1" x14ac:dyDescent="0.35">
      <c r="A190" s="74" t="s">
        <v>562</v>
      </c>
      <c r="B190" s="174"/>
      <c r="C190" s="253" t="s">
        <v>563</v>
      </c>
      <c r="D190" s="253"/>
      <c r="E190" s="253"/>
    </row>
    <row r="191" spans="1:5" ht="30" customHeight="1" x14ac:dyDescent="0.35">
      <c r="A191" s="74" t="s">
        <v>564</v>
      </c>
      <c r="B191" s="174"/>
      <c r="C191" s="253" t="s">
        <v>565</v>
      </c>
      <c r="D191" s="253"/>
      <c r="E191" s="253"/>
    </row>
    <row r="192" spans="1:5" ht="30" customHeight="1" x14ac:dyDescent="0.35">
      <c r="A192" s="74" t="s">
        <v>566</v>
      </c>
      <c r="B192" s="174"/>
      <c r="C192" s="253" t="s">
        <v>567</v>
      </c>
      <c r="D192" s="253"/>
      <c r="E192" s="253"/>
    </row>
    <row r="194" spans="1:5" ht="25.5" customHeight="1" x14ac:dyDescent="0.35">
      <c r="A194" s="293" t="s">
        <v>568</v>
      </c>
      <c r="B194" s="293"/>
      <c r="C194" s="293"/>
      <c r="D194" s="293"/>
      <c r="E194" s="293"/>
    </row>
    <row r="195" spans="1:5" ht="27.75" customHeight="1" x14ac:dyDescent="0.35">
      <c r="A195" s="61" t="s">
        <v>569</v>
      </c>
      <c r="B195" s="165"/>
      <c r="C195" s="253" t="s">
        <v>570</v>
      </c>
      <c r="D195" s="253"/>
      <c r="E195" s="253"/>
    </row>
    <row r="196" spans="1:5" ht="27.75" customHeight="1" x14ac:dyDescent="0.35">
      <c r="A196" s="61" t="s">
        <v>571</v>
      </c>
      <c r="B196" s="165"/>
      <c r="C196" s="253" t="s">
        <v>572</v>
      </c>
      <c r="D196" s="253"/>
      <c r="E196" s="253"/>
    </row>
    <row r="197" spans="1:5" ht="27.75" customHeight="1" x14ac:dyDescent="0.35">
      <c r="A197" s="61" t="s">
        <v>573</v>
      </c>
      <c r="B197" s="165"/>
      <c r="C197" s="253" t="s">
        <v>574</v>
      </c>
      <c r="D197" s="253"/>
      <c r="E197" s="253"/>
    </row>
    <row r="198" spans="1:5" ht="27.75" customHeight="1" x14ac:dyDescent="0.35">
      <c r="A198" s="61" t="s">
        <v>575</v>
      </c>
      <c r="B198" s="165"/>
      <c r="C198" s="253" t="s">
        <v>576</v>
      </c>
      <c r="D198" s="253"/>
      <c r="E198" s="253"/>
    </row>
    <row r="199" spans="1:5" ht="27.75" customHeight="1" x14ac:dyDescent="0.35">
      <c r="A199" s="61" t="s">
        <v>577</v>
      </c>
      <c r="B199" s="165"/>
      <c r="C199" s="253" t="s">
        <v>578</v>
      </c>
      <c r="D199" s="253"/>
      <c r="E199" s="253"/>
    </row>
    <row r="200" spans="1:5" ht="27.75" customHeight="1" x14ac:dyDescent="0.35">
      <c r="A200" s="61" t="s">
        <v>579</v>
      </c>
      <c r="B200" s="165"/>
      <c r="C200" s="253" t="s">
        <v>580</v>
      </c>
      <c r="D200" s="253"/>
      <c r="E200" s="253"/>
    </row>
    <row r="201" spans="1:5" ht="27.75" customHeight="1" x14ac:dyDescent="0.35">
      <c r="A201" s="61" t="s">
        <v>581</v>
      </c>
      <c r="B201" s="165"/>
      <c r="C201" s="253" t="s">
        <v>582</v>
      </c>
      <c r="D201" s="253"/>
      <c r="E201" s="253"/>
    </row>
    <row r="203" spans="1:5" ht="25.5" customHeight="1" x14ac:dyDescent="0.35">
      <c r="A203" s="272" t="s">
        <v>583</v>
      </c>
      <c r="B203" s="272"/>
      <c r="C203" s="272"/>
      <c r="D203" s="272"/>
      <c r="E203" s="272"/>
    </row>
    <row r="204" spans="1:5" ht="25.5" customHeight="1" x14ac:dyDescent="0.35">
      <c r="A204" s="96" t="s">
        <v>584</v>
      </c>
      <c r="B204" s="294" t="s">
        <v>585</v>
      </c>
      <c r="C204" s="294"/>
      <c r="D204" s="294"/>
      <c r="E204" s="294"/>
    </row>
    <row r="205" spans="1:5" ht="43.5" customHeight="1" x14ac:dyDescent="0.35">
      <c r="A205" s="202"/>
      <c r="B205" s="202"/>
      <c r="C205" s="202"/>
      <c r="D205" s="202"/>
      <c r="E205" s="202"/>
    </row>
    <row r="206" spans="1:5" ht="25.5" customHeight="1" x14ac:dyDescent="0.35">
      <c r="A206" s="96" t="s">
        <v>586</v>
      </c>
      <c r="B206" s="294" t="s">
        <v>587</v>
      </c>
      <c r="C206" s="294"/>
      <c r="D206" s="294"/>
      <c r="E206" s="294"/>
    </row>
    <row r="207" spans="1:5" ht="43.5" customHeight="1" x14ac:dyDescent="0.35">
      <c r="A207" s="202"/>
      <c r="B207" s="202"/>
      <c r="C207" s="202"/>
      <c r="D207" s="202"/>
      <c r="E207" s="202"/>
    </row>
    <row r="208" spans="1:5" ht="25.5" customHeight="1" x14ac:dyDescent="0.35">
      <c r="A208" s="96" t="s">
        <v>588</v>
      </c>
      <c r="B208" s="294" t="s">
        <v>589</v>
      </c>
      <c r="C208" s="294"/>
      <c r="D208" s="294"/>
      <c r="E208" s="294"/>
    </row>
    <row r="209" spans="1:5" ht="43.5" customHeight="1" x14ac:dyDescent="0.35">
      <c r="A209" s="202"/>
      <c r="B209" s="202"/>
      <c r="C209" s="202"/>
      <c r="D209" s="202"/>
      <c r="E209" s="202"/>
    </row>
    <row r="210" spans="1:5" ht="25.5" customHeight="1" x14ac:dyDescent="0.35">
      <c r="A210" s="96" t="s">
        <v>590</v>
      </c>
      <c r="B210" s="294" t="s">
        <v>591</v>
      </c>
      <c r="C210" s="294"/>
      <c r="D210" s="294"/>
      <c r="E210" s="294"/>
    </row>
    <row r="211" spans="1:5" ht="43.5" customHeight="1" x14ac:dyDescent="0.35">
      <c r="A211" s="202"/>
      <c r="B211" s="202"/>
      <c r="C211" s="202"/>
      <c r="D211" s="202"/>
      <c r="E211" s="202"/>
    </row>
  </sheetData>
  <mergeCells count="160">
    <mergeCell ref="A205:E205"/>
    <mergeCell ref="B206:E206"/>
    <mergeCell ref="A207:E207"/>
    <mergeCell ref="B208:E208"/>
    <mergeCell ref="A209:E209"/>
    <mergeCell ref="B210:E210"/>
    <mergeCell ref="A211:E211"/>
    <mergeCell ref="C195:E195"/>
    <mergeCell ref="C196:E196"/>
    <mergeCell ref="C197:E197"/>
    <mergeCell ref="C198:E198"/>
    <mergeCell ref="C199:E199"/>
    <mergeCell ref="C200:E200"/>
    <mergeCell ref="C201:E201"/>
    <mergeCell ref="A203:E203"/>
    <mergeCell ref="B204:E204"/>
    <mergeCell ref="C185:E185"/>
    <mergeCell ref="C186:E186"/>
    <mergeCell ref="C187:E187"/>
    <mergeCell ref="C188:E188"/>
    <mergeCell ref="C189:E189"/>
    <mergeCell ref="C190:E190"/>
    <mergeCell ref="C191:E191"/>
    <mergeCell ref="C192:E192"/>
    <mergeCell ref="A194:E194"/>
    <mergeCell ref="C175:E175"/>
    <mergeCell ref="C176:E176"/>
    <mergeCell ref="C177:E177"/>
    <mergeCell ref="A179:E179"/>
    <mergeCell ref="A180:E180"/>
    <mergeCell ref="C181:E181"/>
    <mergeCell ref="C182:E182"/>
    <mergeCell ref="C183:E183"/>
    <mergeCell ref="C184:E184"/>
    <mergeCell ref="A165:E165"/>
    <mergeCell ref="A166:E166"/>
    <mergeCell ref="B167:E167"/>
    <mergeCell ref="B168:E168"/>
    <mergeCell ref="B169:E169"/>
    <mergeCell ref="B170:E170"/>
    <mergeCell ref="B171:E171"/>
    <mergeCell ref="B172:E172"/>
    <mergeCell ref="C174:E174"/>
    <mergeCell ref="B154:E154"/>
    <mergeCell ref="A155:E155"/>
    <mergeCell ref="B156:E156"/>
    <mergeCell ref="A157:E157"/>
    <mergeCell ref="B158:E158"/>
    <mergeCell ref="A159:E159"/>
    <mergeCell ref="B160:E160"/>
    <mergeCell ref="A161:E161"/>
    <mergeCell ref="A164:E164"/>
    <mergeCell ref="C144:E144"/>
    <mergeCell ref="C145:E145"/>
    <mergeCell ref="C146:E146"/>
    <mergeCell ref="A148:E148"/>
    <mergeCell ref="A149:E149"/>
    <mergeCell ref="B150:E150"/>
    <mergeCell ref="A151:E151"/>
    <mergeCell ref="B152:E152"/>
    <mergeCell ref="A153:E153"/>
    <mergeCell ref="C134:E134"/>
    <mergeCell ref="C135:E135"/>
    <mergeCell ref="C136:E136"/>
    <mergeCell ref="C137:E137"/>
    <mergeCell ref="A139:E139"/>
    <mergeCell ref="C140:E140"/>
    <mergeCell ref="C141:E141"/>
    <mergeCell ref="C142:E142"/>
    <mergeCell ref="C143:E143"/>
    <mergeCell ref="A124:E124"/>
    <mergeCell ref="B125:E125"/>
    <mergeCell ref="A126:E126"/>
    <mergeCell ref="A128:E128"/>
    <mergeCell ref="A129:E129"/>
    <mergeCell ref="C130:E130"/>
    <mergeCell ref="C131:E131"/>
    <mergeCell ref="C132:E132"/>
    <mergeCell ref="C133:E133"/>
    <mergeCell ref="B115:E115"/>
    <mergeCell ref="A116:E116"/>
    <mergeCell ref="B117:E117"/>
    <mergeCell ref="A118:E118"/>
    <mergeCell ref="B119:E119"/>
    <mergeCell ref="A120:E120"/>
    <mergeCell ref="B121:E121"/>
    <mergeCell ref="A122:E122"/>
    <mergeCell ref="B123:E123"/>
    <mergeCell ref="C105:E105"/>
    <mergeCell ref="C106:E106"/>
    <mergeCell ref="C107:E107"/>
    <mergeCell ref="C108:E108"/>
    <mergeCell ref="C109:E109"/>
    <mergeCell ref="C110:E110"/>
    <mergeCell ref="C111:E111"/>
    <mergeCell ref="A113:E113"/>
    <mergeCell ref="A114:E114"/>
    <mergeCell ref="A89:D89"/>
    <mergeCell ref="B90:D90"/>
    <mergeCell ref="A91:D91"/>
    <mergeCell ref="A99:E99"/>
    <mergeCell ref="A100:E100"/>
    <mergeCell ref="A101:E101"/>
    <mergeCell ref="C102:E102"/>
    <mergeCell ref="C103:E103"/>
    <mergeCell ref="C104:E104"/>
    <mergeCell ref="C79:D79"/>
    <mergeCell ref="C80:D80"/>
    <mergeCell ref="C81:D81"/>
    <mergeCell ref="A83:D83"/>
    <mergeCell ref="B84:D84"/>
    <mergeCell ref="A85:D85"/>
    <mergeCell ref="B86:D86"/>
    <mergeCell ref="A87:D87"/>
    <mergeCell ref="B88:D88"/>
    <mergeCell ref="C69:D69"/>
    <mergeCell ref="C70:D70"/>
    <mergeCell ref="A72:D72"/>
    <mergeCell ref="C73:D73"/>
    <mergeCell ref="C74:D74"/>
    <mergeCell ref="C75:D75"/>
    <mergeCell ref="C76:D76"/>
    <mergeCell ref="C77:D77"/>
    <mergeCell ref="C78:D78"/>
    <mergeCell ref="A51:D51"/>
    <mergeCell ref="A61:D61"/>
    <mergeCell ref="C62:D62"/>
    <mergeCell ref="C63:D63"/>
    <mergeCell ref="C64:D64"/>
    <mergeCell ref="C65:D65"/>
    <mergeCell ref="C66:D66"/>
    <mergeCell ref="C67:D67"/>
    <mergeCell ref="C68:D68"/>
    <mergeCell ref="C22:D22"/>
    <mergeCell ref="C23:D23"/>
    <mergeCell ref="B24:D24"/>
    <mergeCell ref="A26:D26"/>
    <mergeCell ref="A28:D28"/>
    <mergeCell ref="A31:D31"/>
    <mergeCell ref="A36:D36"/>
    <mergeCell ref="A41:D41"/>
    <mergeCell ref="A50:D50"/>
    <mergeCell ref="C11:D11"/>
    <mergeCell ref="A13:D13"/>
    <mergeCell ref="B14:D14"/>
    <mergeCell ref="B15:D15"/>
    <mergeCell ref="B16:D16"/>
    <mergeCell ref="B17:D17"/>
    <mergeCell ref="B18:D18"/>
    <mergeCell ref="B19:D19"/>
    <mergeCell ref="B20:D20"/>
    <mergeCell ref="A1:D1"/>
    <mergeCell ref="A2:D2"/>
    <mergeCell ref="A3:D3"/>
    <mergeCell ref="A5:D5"/>
    <mergeCell ref="C6:D6"/>
    <mergeCell ref="C7:D7"/>
    <mergeCell ref="C8:D8"/>
    <mergeCell ref="C9:D9"/>
    <mergeCell ref="C10:D10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A00-000000000000}">
          <x14:formula1>
            <xm:f>Listas!$U$2:$U$8</xm:f>
          </x14:formula1>
          <x14:formula2>
            <xm:f>0</xm:f>
          </x14:formula2>
          <xm:sqref>B68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Inicio</vt:lpstr>
      <vt:lpstr>Listas</vt:lpstr>
      <vt:lpstr>Dashboard</vt:lpstr>
      <vt:lpstr>SURA Cotizadores</vt:lpstr>
      <vt:lpstr>SURA Venta Digital</vt:lpstr>
      <vt:lpstr>SURA Torre Control</vt:lpstr>
      <vt:lpstr>SURA Mesa 4</vt:lpstr>
      <vt:lpstr>BCO Gioti 1</vt:lpstr>
      <vt:lpstr>BCO Gioti 2</vt:lpstr>
      <vt:lpstr>BCO Gioti 3</vt:lpstr>
      <vt:lpstr>BCO Gioti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Natalia Zartha Suarez</cp:lastModifiedBy>
  <cp:revision>3</cp:revision>
  <dcterms:created xsi:type="dcterms:W3CDTF">2026-07-03T02:05:28Z</dcterms:created>
  <dcterms:modified xsi:type="dcterms:W3CDTF">2026-07-03T17:12:18Z</dcterms:modified>
  <dc:language>en-US</dc:language>
</cp:coreProperties>
</file>