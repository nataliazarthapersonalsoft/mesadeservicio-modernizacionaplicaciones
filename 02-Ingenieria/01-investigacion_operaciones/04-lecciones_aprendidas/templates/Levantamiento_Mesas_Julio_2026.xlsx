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C:\Users\ASUS\Downloads\"/>
    </mc:Choice>
  </mc:AlternateContent>
  <xr:revisionPtr revIDLastSave="0" documentId="8_{96CD1CAE-F697-4EE0-AB9F-1A5EA16E63CE}" xr6:coauthVersionLast="47" xr6:coauthVersionMax="47" xr10:uidLastSave="{00000000-0000-0000-0000-000000000000}"/>
  <bookViews>
    <workbookView xWindow="-110" yWindow="-110" windowWidth="19420" windowHeight="11500" tabRatio="500" firstSheet="2" activeTab="6" xr2:uid="{00000000-000D-0000-FFFF-FFFF00000000}"/>
  </bookViews>
  <sheets>
    <sheet name="Control de Cambios" sheetId="1" r:id="rId1"/>
    <sheet name="Instrucciones" sheetId="2" r:id="rId2"/>
    <sheet name="Dashboard" sheetId="4" r:id="rId3"/>
    <sheet name="Graficas" sheetId="5" r:id="rId4"/>
    <sheet name="ChartData" sheetId="14" state="hidden" r:id="rId5"/>
    <sheet name="Listas" sheetId="3" state="hidden" r:id="rId6"/>
    <sheet name="SURA Cotizadores" sheetId="6" r:id="rId7"/>
    <sheet name="SURA Venta Digital" sheetId="7" r:id="rId8"/>
    <sheet name="SURA Torre Control" sheetId="8" r:id="rId9"/>
    <sheet name="SURA Mesa 4" sheetId="9" r:id="rId10"/>
    <sheet name="BCO Gioti 1" sheetId="10" r:id="rId11"/>
    <sheet name="BCO Gioti 2" sheetId="11" r:id="rId12"/>
    <sheet name="BCO Gioti 3" sheetId="12" r:id="rId13"/>
    <sheet name="BCO Gioti 4" sheetId="13" r:id="rId14"/>
    <sheet name="AES" sheetId="15" r:id="rId15"/>
    <sheet name="XM" sheetId="16" r:id="rId16"/>
    <sheet name="MEDICARTE" sheetId="17"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T3" i="14" l="1"/>
  <c r="AT4" i="14"/>
  <c r="AT5" i="14"/>
  <c r="AT6" i="14"/>
  <c r="AT7" i="14"/>
  <c r="AT8" i="14"/>
  <c r="AT9" i="14"/>
  <c r="AT10" i="14"/>
  <c r="AT11" i="14"/>
  <c r="AT12" i="14"/>
  <c r="AT13" i="14"/>
  <c r="I9" i="4"/>
  <c r="I10" i="4"/>
  <c r="I11" i="4"/>
  <c r="I12" i="4"/>
  <c r="I13" i="4"/>
  <c r="I14" i="4"/>
  <c r="I15" i="4"/>
  <c r="I16" i="4"/>
  <c r="I17" i="4"/>
  <c r="I18" i="4"/>
  <c r="I19" i="4"/>
  <c r="C47" i="4"/>
  <c r="D47" i="4"/>
  <c r="E47" i="4"/>
  <c r="F47" i="4"/>
  <c r="G47" i="4"/>
  <c r="H47" i="4"/>
  <c r="I47" i="4"/>
  <c r="J47" i="4"/>
  <c r="K47" i="4"/>
  <c r="L47" i="4"/>
  <c r="M47" i="4"/>
  <c r="C48" i="4"/>
  <c r="D48" i="4"/>
  <c r="E48" i="4"/>
  <c r="F48" i="4"/>
  <c r="G48" i="4"/>
  <c r="H48" i="4"/>
  <c r="I48" i="4"/>
  <c r="J48" i="4"/>
  <c r="K48" i="4"/>
  <c r="L48" i="4"/>
  <c r="M48" i="4"/>
  <c r="C49" i="4"/>
  <c r="D49" i="4"/>
  <c r="E49" i="4"/>
  <c r="F49" i="4"/>
  <c r="G49" i="4"/>
  <c r="H49" i="4"/>
  <c r="I49" i="4"/>
  <c r="J49" i="4"/>
  <c r="K49" i="4"/>
  <c r="L49" i="4"/>
  <c r="M49" i="4"/>
  <c r="C50" i="4"/>
  <c r="D50" i="4"/>
  <c r="E50" i="4"/>
  <c r="F50" i="4"/>
  <c r="G50" i="4"/>
  <c r="H50" i="4"/>
  <c r="I50" i="4"/>
  <c r="J50" i="4"/>
  <c r="K50" i="4"/>
  <c r="L50" i="4"/>
  <c r="M50" i="4"/>
  <c r="C51" i="4"/>
  <c r="D51" i="4"/>
  <c r="E51" i="4"/>
  <c r="F51" i="4"/>
  <c r="G51" i="4"/>
  <c r="H51" i="4"/>
  <c r="I51" i="4"/>
  <c r="J51" i="4"/>
  <c r="K51" i="4"/>
  <c r="L51" i="4"/>
  <c r="M51" i="4"/>
  <c r="C52" i="4"/>
  <c r="D52" i="4"/>
  <c r="E52" i="4"/>
  <c r="F52" i="4"/>
  <c r="G52" i="4"/>
  <c r="H52" i="4"/>
  <c r="I52" i="4"/>
  <c r="J52" i="4"/>
  <c r="K52" i="4"/>
  <c r="L52" i="4"/>
  <c r="M52" i="4"/>
  <c r="C53" i="4"/>
  <c r="D53" i="4"/>
  <c r="E53" i="4"/>
  <c r="F53" i="4"/>
  <c r="G53" i="4"/>
  <c r="H53" i="4"/>
  <c r="I53" i="4"/>
  <c r="J53" i="4"/>
  <c r="K53" i="4"/>
  <c r="L53" i="4"/>
  <c r="M53" i="4"/>
  <c r="C54" i="4"/>
  <c r="D54" i="4"/>
  <c r="E54" i="4"/>
  <c r="F54" i="4"/>
  <c r="G54" i="4"/>
  <c r="H54" i="4"/>
  <c r="I54" i="4"/>
  <c r="J54" i="4"/>
  <c r="K54" i="4"/>
  <c r="L54" i="4"/>
  <c r="M54" i="4"/>
  <c r="C55" i="4"/>
  <c r="D55" i="4"/>
  <c r="E55" i="4"/>
  <c r="F55" i="4"/>
  <c r="G55" i="4"/>
  <c r="H55" i="4"/>
  <c r="I55" i="4"/>
  <c r="J55" i="4"/>
  <c r="K55" i="4"/>
  <c r="L55" i="4"/>
  <c r="M55" i="4"/>
  <c r="C56" i="4"/>
  <c r="D56" i="4"/>
  <c r="E56" i="4"/>
  <c r="F56" i="4"/>
  <c r="G56" i="4"/>
  <c r="H56" i="4"/>
  <c r="I56" i="4"/>
  <c r="J56" i="4"/>
  <c r="K56" i="4"/>
  <c r="L56" i="4"/>
  <c r="M56" i="4"/>
  <c r="C57" i="4"/>
  <c r="D57" i="4"/>
  <c r="E57" i="4"/>
  <c r="F57" i="4"/>
  <c r="G57" i="4"/>
  <c r="H57" i="4"/>
  <c r="I57" i="4"/>
  <c r="J57" i="4"/>
  <c r="K57" i="4"/>
  <c r="L57" i="4"/>
  <c r="M57" i="4"/>
  <c r="C58" i="4"/>
  <c r="D58" i="4"/>
  <c r="E58" i="4"/>
  <c r="F58" i="4"/>
  <c r="G58" i="4"/>
  <c r="H58" i="4"/>
  <c r="I58" i="4"/>
  <c r="J58" i="4"/>
  <c r="K58" i="4"/>
  <c r="L58" i="4"/>
  <c r="M58" i="4"/>
  <c r="C59" i="4"/>
  <c r="D59" i="4"/>
  <c r="E59" i="4"/>
  <c r="F59" i="4"/>
  <c r="G59" i="4"/>
  <c r="H59" i="4"/>
  <c r="I59" i="4"/>
  <c r="J59" i="4"/>
  <c r="K59" i="4"/>
  <c r="L59" i="4"/>
  <c r="M59" i="4"/>
  <c r="C60" i="4"/>
  <c r="D60" i="4"/>
  <c r="E60" i="4"/>
  <c r="F60" i="4"/>
  <c r="G60" i="4"/>
  <c r="H60" i="4"/>
  <c r="I60" i="4"/>
  <c r="J60" i="4"/>
  <c r="K60" i="4"/>
  <c r="L60" i="4"/>
  <c r="M60" i="4"/>
  <c r="C61" i="4"/>
  <c r="D61" i="4"/>
  <c r="E61" i="4"/>
  <c r="F61" i="4"/>
  <c r="G61" i="4"/>
  <c r="H61" i="4"/>
  <c r="I61" i="4"/>
  <c r="J61" i="4"/>
  <c r="K61" i="4"/>
  <c r="L61" i="4"/>
  <c r="M61" i="4"/>
  <c r="C62" i="4"/>
  <c r="D62" i="4"/>
  <c r="E62" i="4"/>
  <c r="F62" i="4"/>
  <c r="G62" i="4"/>
  <c r="H62" i="4"/>
  <c r="I62" i="4"/>
  <c r="J62" i="4"/>
  <c r="K62" i="4"/>
  <c r="L62" i="4"/>
  <c r="M62" i="4"/>
  <c r="C63" i="4"/>
  <c r="D63" i="4"/>
  <c r="E63" i="4"/>
  <c r="F63" i="4"/>
  <c r="G63" i="4"/>
  <c r="H63" i="4"/>
  <c r="I63" i="4"/>
  <c r="J63" i="4"/>
  <c r="K63" i="4"/>
  <c r="L63" i="4"/>
  <c r="M63" i="4"/>
  <c r="C64" i="4"/>
  <c r="D64" i="4"/>
  <c r="E64" i="4"/>
  <c r="F64" i="4"/>
  <c r="G64" i="4"/>
  <c r="H64" i="4"/>
  <c r="I64" i="4"/>
  <c r="J64" i="4"/>
  <c r="K64" i="4"/>
  <c r="L64" i="4"/>
  <c r="M64" i="4"/>
  <c r="BM3" i="14"/>
  <c r="BM4" i="14"/>
  <c r="BM5" i="14"/>
  <c r="BM6" i="14"/>
  <c r="BM7" i="14"/>
  <c r="BM8" i="14"/>
  <c r="BM9" i="14"/>
  <c r="BM10" i="14"/>
  <c r="BM11" i="14"/>
  <c r="BM12" i="14"/>
  <c r="BM13" i="14"/>
  <c r="BM14" i="14"/>
  <c r="BI3" i="14"/>
  <c r="BI4" i="14"/>
  <c r="BI5" i="14"/>
  <c r="BI6" i="14"/>
  <c r="BI7" i="14"/>
  <c r="BI8" i="14"/>
  <c r="BI9" i="14"/>
  <c r="BI10" i="14"/>
  <c r="BI11" i="14"/>
  <c r="BI12" i="14"/>
  <c r="BI13" i="14"/>
  <c r="BF3" i="14"/>
  <c r="BF4" i="14"/>
  <c r="BF5" i="14"/>
  <c r="BF6" i="14"/>
  <c r="BF7" i="14"/>
  <c r="BF8" i="14"/>
  <c r="BF9" i="14"/>
  <c r="BF10" i="14"/>
  <c r="BF11" i="14"/>
  <c r="BF12" i="14"/>
  <c r="BF13" i="14"/>
  <c r="BC3" i="14"/>
  <c r="BC4" i="14"/>
  <c r="BC5" i="14"/>
  <c r="BC6" i="14"/>
  <c r="BC7" i="14"/>
  <c r="BC8" i="14"/>
  <c r="BC9" i="14"/>
  <c r="BC10" i="14"/>
  <c r="BC11" i="14"/>
  <c r="BC12" i="14"/>
  <c r="BC13" i="14"/>
  <c r="AZ3" i="14"/>
  <c r="AZ4" i="14"/>
  <c r="AZ5" i="14"/>
  <c r="AZ6" i="14"/>
  <c r="AZ7" i="14"/>
  <c r="AZ8" i="14"/>
  <c r="AZ9" i="14"/>
  <c r="AZ10" i="14"/>
  <c r="AZ11" i="14"/>
  <c r="AZ12" i="14"/>
  <c r="AZ13" i="14"/>
  <c r="AW3" i="14"/>
  <c r="AW4" i="14"/>
  <c r="AW5" i="14"/>
  <c r="AW6" i="14"/>
  <c r="AW7" i="14"/>
  <c r="AW8" i="14"/>
  <c r="AW9" i="14"/>
  <c r="AW10" i="14"/>
  <c r="AW11" i="14"/>
  <c r="AW12" i="14"/>
  <c r="AW13" i="14"/>
  <c r="AQ3" i="14"/>
  <c r="AQ4" i="14"/>
  <c r="AQ5" i="14"/>
  <c r="AQ6" i="14"/>
  <c r="AQ7" i="14"/>
  <c r="AQ8" i="14"/>
  <c r="AQ9" i="14"/>
  <c r="AQ10" i="14"/>
  <c r="AQ11" i="14"/>
  <c r="AQ12" i="14"/>
  <c r="AQ13" i="14"/>
  <c r="AN3" i="14"/>
  <c r="AN4" i="14"/>
  <c r="AN5" i="14"/>
  <c r="AN6" i="14"/>
  <c r="AN7" i="14"/>
  <c r="AN8" i="14"/>
  <c r="AN9" i="14"/>
  <c r="AN10" i="14"/>
  <c r="AN11" i="14"/>
  <c r="AN12" i="14"/>
  <c r="AN13" i="14"/>
  <c r="AI3" i="14"/>
  <c r="AJ3" i="14"/>
  <c r="AI4" i="14"/>
  <c r="AJ4" i="14"/>
  <c r="AI5" i="14"/>
  <c r="AJ5" i="14"/>
  <c r="AI6" i="14"/>
  <c r="AJ6" i="14"/>
  <c r="AI7" i="14"/>
  <c r="AJ7" i="14"/>
  <c r="AI8" i="14"/>
  <c r="AJ8" i="14"/>
  <c r="AI9" i="14"/>
  <c r="AJ9" i="14"/>
  <c r="AI10" i="14"/>
  <c r="AJ10" i="14"/>
  <c r="AI11" i="14"/>
  <c r="AJ11" i="14"/>
  <c r="AI12" i="14"/>
  <c r="AJ12" i="14"/>
  <c r="AI13" i="14"/>
  <c r="AJ13" i="14"/>
  <c r="AF3" i="14"/>
  <c r="AF4" i="14"/>
  <c r="AF5" i="14"/>
  <c r="AF6" i="14"/>
  <c r="AF7" i="14"/>
  <c r="AF8" i="14"/>
  <c r="AF9" i="14"/>
  <c r="AF10" i="14"/>
  <c r="AF11" i="14"/>
  <c r="AF12" i="14"/>
  <c r="AF13" i="14"/>
  <c r="AB3" i="14"/>
  <c r="AC3" i="14"/>
  <c r="AB4" i="14"/>
  <c r="AC4" i="14"/>
  <c r="AB5" i="14"/>
  <c r="AC5" i="14"/>
  <c r="AB6" i="14"/>
  <c r="AC6" i="14"/>
  <c r="AB7" i="14"/>
  <c r="AC7" i="14"/>
  <c r="AB8" i="14"/>
  <c r="AC8" i="14"/>
  <c r="AB9" i="14"/>
  <c r="AC9" i="14"/>
  <c r="AB10" i="14"/>
  <c r="AC10" i="14"/>
  <c r="AB11" i="14"/>
  <c r="AC11" i="14"/>
  <c r="AB12" i="14"/>
  <c r="AC12" i="14"/>
  <c r="AB13" i="14"/>
  <c r="AC13" i="14"/>
  <c r="Y3" i="14"/>
  <c r="Y4" i="14"/>
  <c r="Y5" i="14"/>
  <c r="Y6" i="14"/>
  <c r="Y7" i="14"/>
  <c r="Y8" i="14"/>
  <c r="Y9" i="14"/>
  <c r="Y10" i="14"/>
  <c r="Y11" i="14"/>
  <c r="Y12" i="14"/>
  <c r="Y13" i="14"/>
  <c r="B33" i="4"/>
  <c r="B34" i="4"/>
  <c r="B35" i="4"/>
  <c r="B36" i="4"/>
  <c r="B37" i="4"/>
  <c r="B38" i="4"/>
  <c r="B39" i="4"/>
  <c r="B40" i="4"/>
  <c r="B41" i="4"/>
  <c r="B42" i="4"/>
  <c r="B43" i="4"/>
  <c r="E27" i="4"/>
  <c r="C9" i="4"/>
  <c r="C33" i="4" s="1"/>
  <c r="D33" i="4" s="1" a="1"/>
  <c r="D33" i="4" s="1"/>
  <c r="E9" i="4"/>
  <c r="F9" i="4"/>
  <c r="G9" i="4"/>
  <c r="H9" i="4"/>
  <c r="C10" i="4"/>
  <c r="C34" i="4" s="1"/>
  <c r="D34" i="4" s="1" a="1"/>
  <c r="D34" i="4" s="1"/>
  <c r="E10" i="4"/>
  <c r="F10" i="4"/>
  <c r="G10" i="4"/>
  <c r="H10" i="4"/>
  <c r="C11" i="4"/>
  <c r="C35" i="4" s="1"/>
  <c r="D35" i="4" s="1" a="1"/>
  <c r="D35" i="4" s="1"/>
  <c r="E11" i="4"/>
  <c r="F11" i="4"/>
  <c r="G11" i="4"/>
  <c r="H11" i="4"/>
  <c r="C12" i="4"/>
  <c r="C36" i="4" s="1"/>
  <c r="D36" i="4" s="1" a="1"/>
  <c r="D36" i="4" s="1"/>
  <c r="E12" i="4"/>
  <c r="F12" i="4"/>
  <c r="G12" i="4"/>
  <c r="H12" i="4"/>
  <c r="C13" i="4"/>
  <c r="C37" i="4" s="1"/>
  <c r="D37" i="4" s="1" a="1"/>
  <c r="D37" i="4" s="1"/>
  <c r="E13" i="4"/>
  <c r="F13" i="4"/>
  <c r="G13" i="4"/>
  <c r="H13" i="4"/>
  <c r="C14" i="4"/>
  <c r="C38" i="4" s="1"/>
  <c r="D38" i="4" s="1" a="1"/>
  <c r="D38" i="4" s="1"/>
  <c r="E14" i="4"/>
  <c r="F14" i="4"/>
  <c r="G14" i="4"/>
  <c r="H14" i="4"/>
  <c r="C15" i="4"/>
  <c r="C39" i="4" s="1"/>
  <c r="D39" i="4" s="1" a="1"/>
  <c r="D39" i="4" s="1"/>
  <c r="E15" i="4"/>
  <c r="F15" i="4"/>
  <c r="G15" i="4"/>
  <c r="H15" i="4"/>
  <c r="C16" i="4"/>
  <c r="C40" i="4" s="1"/>
  <c r="D40" i="4" s="1" a="1"/>
  <c r="D40" i="4" s="1"/>
  <c r="E16" i="4"/>
  <c r="F16" i="4"/>
  <c r="G16" i="4"/>
  <c r="H16" i="4"/>
  <c r="C17" i="4"/>
  <c r="C41" i="4" s="1"/>
  <c r="D41" i="4" s="1" a="1"/>
  <c r="D41" i="4" s="1"/>
  <c r="E17" i="4"/>
  <c r="F17" i="4"/>
  <c r="G17" i="4"/>
  <c r="H17" i="4"/>
  <c r="C18" i="4"/>
  <c r="C42" i="4" s="1"/>
  <c r="D42" i="4" s="1" a="1"/>
  <c r="D42" i="4" s="1"/>
  <c r="E18" i="4"/>
  <c r="F18" i="4"/>
  <c r="G18" i="4"/>
  <c r="H18" i="4"/>
  <c r="C19" i="4"/>
  <c r="C43" i="4" s="1"/>
  <c r="D43" i="4" s="1" a="1"/>
  <c r="D43" i="4" s="1"/>
  <c r="E19" i="4"/>
  <c r="F19" i="4"/>
  <c r="G19" i="4"/>
  <c r="H19" i="4"/>
  <c r="T17" i="14"/>
  <c r="T18" i="14"/>
  <c r="T19" i="14"/>
  <c r="T20" i="14"/>
  <c r="T21" i="14"/>
  <c r="T22" i="14"/>
  <c r="T23" i="14"/>
  <c r="T24" i="14"/>
  <c r="T25" i="14"/>
  <c r="T26" i="14"/>
  <c r="T27" i="14"/>
  <c r="N32" i="14"/>
  <c r="N33" i="14"/>
  <c r="N34" i="14"/>
  <c r="N35" i="14"/>
  <c r="N36" i="14"/>
  <c r="N37" i="14"/>
  <c r="N38" i="14"/>
  <c r="N39" i="14"/>
  <c r="N40" i="14"/>
  <c r="N41" i="14"/>
  <c r="N42" i="14"/>
  <c r="K32" i="14"/>
  <c r="K33" i="14"/>
  <c r="K34" i="14"/>
  <c r="K35" i="14"/>
  <c r="K36" i="14"/>
  <c r="K37" i="14"/>
  <c r="K38" i="14"/>
  <c r="K39" i="14"/>
  <c r="K40" i="14"/>
  <c r="K41" i="14"/>
  <c r="K42" i="14"/>
  <c r="Q17" i="14"/>
  <c r="Q18" i="14"/>
  <c r="Q19" i="14"/>
  <c r="Q20" i="14"/>
  <c r="Q21" i="14"/>
  <c r="Q22" i="14"/>
  <c r="Q23" i="14"/>
  <c r="Q24" i="14"/>
  <c r="Q25" i="14"/>
  <c r="Q26" i="14"/>
  <c r="Q27" i="14"/>
  <c r="N17" i="14"/>
  <c r="N18" i="14"/>
  <c r="N19" i="14"/>
  <c r="N20" i="14"/>
  <c r="N21" i="14"/>
  <c r="N22" i="14"/>
  <c r="N23" i="14"/>
  <c r="N24" i="14"/>
  <c r="N25" i="14"/>
  <c r="N26" i="14"/>
  <c r="N27" i="14"/>
  <c r="K17" i="14"/>
  <c r="K18" i="14"/>
  <c r="K19" i="14"/>
  <c r="K20" i="14"/>
  <c r="K21" i="14"/>
  <c r="K22" i="14"/>
  <c r="K23" i="14"/>
  <c r="K24" i="14"/>
  <c r="K25" i="14"/>
  <c r="K26" i="14"/>
  <c r="K27" i="14"/>
  <c r="K3" i="14"/>
  <c r="M3" i="14"/>
  <c r="K4" i="14"/>
  <c r="M4" i="14"/>
  <c r="K5" i="14"/>
  <c r="M5" i="14"/>
  <c r="K6" i="14"/>
  <c r="M6" i="14"/>
  <c r="K7" i="14"/>
  <c r="M7" i="14"/>
  <c r="K8" i="14"/>
  <c r="M8" i="14"/>
  <c r="K9" i="14"/>
  <c r="M9" i="14"/>
  <c r="K10" i="14"/>
  <c r="M10" i="14"/>
  <c r="K11" i="14"/>
  <c r="M11" i="14"/>
  <c r="K12" i="14"/>
  <c r="M12" i="14"/>
  <c r="K13" i="14"/>
  <c r="M13" i="14"/>
  <c r="B53" i="14"/>
  <c r="C53" i="14"/>
  <c r="D53" i="14"/>
  <c r="B54" i="14"/>
  <c r="C54" i="14"/>
  <c r="D54" i="14"/>
  <c r="B55" i="14"/>
  <c r="C55" i="14"/>
  <c r="D55" i="14"/>
  <c r="B56" i="14"/>
  <c r="C56" i="14"/>
  <c r="D56" i="14"/>
  <c r="B57" i="14"/>
  <c r="C57" i="14"/>
  <c r="D57" i="14"/>
  <c r="B58" i="14"/>
  <c r="C58" i="14"/>
  <c r="D58" i="14"/>
  <c r="G49" i="14"/>
  <c r="G48" i="14"/>
  <c r="G47" i="14"/>
  <c r="G46" i="14"/>
  <c r="B31" i="14"/>
  <c r="C31" i="14"/>
  <c r="D31" i="14"/>
  <c r="E31" i="14"/>
  <c r="F31" i="14"/>
  <c r="G31" i="14"/>
  <c r="H31" i="14"/>
  <c r="B32" i="14"/>
  <c r="C32" i="14"/>
  <c r="D32" i="14"/>
  <c r="E32" i="14"/>
  <c r="F32" i="14"/>
  <c r="G32" i="14"/>
  <c r="H32" i="14"/>
  <c r="B33" i="14"/>
  <c r="C33" i="14"/>
  <c r="D33" i="14"/>
  <c r="E33" i="14"/>
  <c r="F33" i="14"/>
  <c r="G33" i="14"/>
  <c r="H33" i="14"/>
  <c r="B34" i="14"/>
  <c r="C34" i="14"/>
  <c r="D34" i="14"/>
  <c r="E34" i="14"/>
  <c r="F34" i="14"/>
  <c r="G34" i="14"/>
  <c r="H34" i="14"/>
  <c r="B35" i="14"/>
  <c r="C35" i="14"/>
  <c r="D35" i="14"/>
  <c r="E35" i="14"/>
  <c r="F35" i="14"/>
  <c r="G35" i="14"/>
  <c r="H35" i="14"/>
  <c r="B36" i="14"/>
  <c r="C36" i="14"/>
  <c r="D36" i="14"/>
  <c r="E36" i="14"/>
  <c r="F36" i="14"/>
  <c r="G36" i="14"/>
  <c r="H36" i="14"/>
  <c r="B37" i="14"/>
  <c r="C37" i="14"/>
  <c r="D37" i="14"/>
  <c r="E37" i="14"/>
  <c r="F37" i="14"/>
  <c r="G37" i="14"/>
  <c r="H37" i="14"/>
  <c r="B38" i="14"/>
  <c r="C38" i="14"/>
  <c r="D38" i="14"/>
  <c r="E38" i="14"/>
  <c r="F38" i="14"/>
  <c r="G38" i="14"/>
  <c r="H38" i="14"/>
  <c r="B39" i="14"/>
  <c r="C39" i="14"/>
  <c r="D39" i="14"/>
  <c r="E39" i="14"/>
  <c r="F39" i="14"/>
  <c r="G39" i="14"/>
  <c r="H39" i="14"/>
  <c r="B40" i="14"/>
  <c r="C40" i="14"/>
  <c r="D40" i="14"/>
  <c r="E40" i="14"/>
  <c r="F40" i="14"/>
  <c r="G40" i="14"/>
  <c r="H40" i="14"/>
  <c r="B41" i="14"/>
  <c r="C41" i="14"/>
  <c r="D41" i="14"/>
  <c r="E41" i="14"/>
  <c r="F41" i="14"/>
  <c r="G41" i="14"/>
  <c r="H41" i="14"/>
  <c r="B17" i="14"/>
  <c r="C17" i="14"/>
  <c r="D17" i="14"/>
  <c r="E17" i="14"/>
  <c r="B18" i="14"/>
  <c r="C18" i="14"/>
  <c r="O18" i="14" s="1"/>
  <c r="D18" i="14"/>
  <c r="R18" i="14" s="1"/>
  <c r="E18" i="14"/>
  <c r="L33" i="14" s="1"/>
  <c r="B19" i="14"/>
  <c r="C19" i="14"/>
  <c r="O19" i="14" s="1"/>
  <c r="D19" i="14"/>
  <c r="R19" i="14" s="1"/>
  <c r="E19" i="14"/>
  <c r="L34" i="14" s="1"/>
  <c r="B20" i="14"/>
  <c r="C20" i="14"/>
  <c r="O20" i="14" s="1"/>
  <c r="D20" i="14"/>
  <c r="R20" i="14" s="1"/>
  <c r="E20" i="14"/>
  <c r="L35" i="14" s="1"/>
  <c r="B21" i="14"/>
  <c r="C21" i="14"/>
  <c r="D21" i="14"/>
  <c r="E21" i="14"/>
  <c r="B22" i="14"/>
  <c r="C22" i="14"/>
  <c r="O22" i="14" s="1"/>
  <c r="D22" i="14"/>
  <c r="R22" i="14" s="1"/>
  <c r="E22" i="14"/>
  <c r="L37" i="14" s="1"/>
  <c r="B23" i="14"/>
  <c r="C23" i="14"/>
  <c r="O23" i="14" s="1"/>
  <c r="D23" i="14"/>
  <c r="R23" i="14" s="1"/>
  <c r="E23" i="14"/>
  <c r="L38" i="14" s="1"/>
  <c r="B24" i="14"/>
  <c r="C24" i="14"/>
  <c r="O24" i="14" s="1"/>
  <c r="D24" i="14"/>
  <c r="R24" i="14" s="1"/>
  <c r="E24" i="14"/>
  <c r="L39" i="14" s="1"/>
  <c r="B25" i="14"/>
  <c r="C25" i="14"/>
  <c r="D25" i="14"/>
  <c r="E25" i="14"/>
  <c r="B26" i="14"/>
  <c r="C26" i="14"/>
  <c r="D26" i="14"/>
  <c r="E26" i="14"/>
  <c r="B27" i="14"/>
  <c r="C27" i="14"/>
  <c r="D27" i="14"/>
  <c r="E27" i="14"/>
  <c r="B3" i="14"/>
  <c r="C3" i="14" s="1"/>
  <c r="L3" i="14" s="1"/>
  <c r="B4" i="14"/>
  <c r="C4" i="14" s="1"/>
  <c r="L4" i="14" s="1"/>
  <c r="B5" i="14"/>
  <c r="C5" i="14" s="1"/>
  <c r="L5" i="14" s="1"/>
  <c r="B6" i="14"/>
  <c r="C6" i="14" s="1"/>
  <c r="L6" i="14" s="1"/>
  <c r="B7" i="14"/>
  <c r="C7" i="14" s="1"/>
  <c r="L7" i="14" s="1"/>
  <c r="B8" i="14"/>
  <c r="C8" i="14" s="1"/>
  <c r="L8" i="14" s="1"/>
  <c r="B9" i="14"/>
  <c r="C9" i="14" s="1"/>
  <c r="L9" i="14" s="1"/>
  <c r="B10" i="14"/>
  <c r="C10" i="14" s="1"/>
  <c r="L10" i="14" s="1"/>
  <c r="B11" i="14"/>
  <c r="C11" i="14" s="1"/>
  <c r="L11" i="14" s="1"/>
  <c r="B12" i="14"/>
  <c r="C12" i="14" s="1"/>
  <c r="L12" i="14" s="1"/>
  <c r="B13" i="14"/>
  <c r="C13" i="14" s="1"/>
  <c r="L13" i="14" s="1"/>
  <c r="D47" i="17"/>
  <c r="E47" i="17" s="1"/>
  <c r="D47" i="16"/>
  <c r="E47" i="16" s="1"/>
  <c r="D47" i="15"/>
  <c r="E47" i="15" s="1"/>
  <c r="D47" i="13"/>
  <c r="E47" i="13" s="1"/>
  <c r="D47" i="12"/>
  <c r="E47" i="12" s="1"/>
  <c r="D47" i="11"/>
  <c r="E47" i="11" s="1"/>
  <c r="D47" i="10"/>
  <c r="E47" i="10" s="1"/>
  <c r="D47" i="9"/>
  <c r="E47" i="9" s="1"/>
  <c r="D47" i="8"/>
  <c r="E47" i="8" s="1"/>
  <c r="D47" i="7"/>
  <c r="E47" i="7" s="1"/>
  <c r="D47" i="6"/>
  <c r="E47" i="6" s="1"/>
  <c r="N64" i="4" l="1"/>
  <c r="BP20" i="14" s="1"/>
  <c r="N63" i="4"/>
  <c r="BP19" i="14" s="1"/>
  <c r="N62" i="4"/>
  <c r="BP18" i="14" s="1"/>
  <c r="N61" i="4"/>
  <c r="BP17" i="14" s="1"/>
  <c r="N60" i="4"/>
  <c r="BP16" i="14" s="1"/>
  <c r="N59" i="4"/>
  <c r="BP15" i="14" s="1"/>
  <c r="N58" i="4"/>
  <c r="BP14" i="14" s="1"/>
  <c r="N57" i="4"/>
  <c r="BP13" i="14" s="1"/>
  <c r="N56" i="4"/>
  <c r="BP12" i="14" s="1"/>
  <c r="N55" i="4"/>
  <c r="BP11" i="14" s="1"/>
  <c r="N54" i="4"/>
  <c r="BP10" i="14" s="1"/>
  <c r="N53" i="4"/>
  <c r="BP9" i="14" s="1"/>
  <c r="N52" i="4"/>
  <c r="BP8" i="14" s="1"/>
  <c r="N51" i="4"/>
  <c r="BP7" i="14" s="1"/>
  <c r="N50" i="4"/>
  <c r="BP6" i="14" s="1"/>
  <c r="N49" i="4"/>
  <c r="BP5" i="14" s="1"/>
  <c r="N48" i="4"/>
  <c r="BP4" i="14" s="1"/>
  <c r="N47" i="4"/>
  <c r="BP3" i="14" s="1"/>
  <c r="BL3" i="14"/>
  <c r="BL4" i="14"/>
  <c r="BL5" i="14"/>
  <c r="BL6" i="14"/>
  <c r="BL7" i="14"/>
  <c r="BL8" i="14"/>
  <c r="BL9" i="14"/>
  <c r="BL10" i="14"/>
  <c r="BL11" i="14"/>
  <c r="BL12" i="14"/>
  <c r="BL13" i="14"/>
  <c r="BL14" i="14"/>
  <c r="F17" i="14"/>
  <c r="U17" i="14" s="1"/>
  <c r="D9" i="4"/>
  <c r="F18" i="14"/>
  <c r="U18" i="14" s="1"/>
  <c r="D10" i="4"/>
  <c r="F19" i="14"/>
  <c r="U19" i="14" s="1"/>
  <c r="D11" i="4"/>
  <c r="F20" i="14"/>
  <c r="U20" i="14" s="1"/>
  <c r="D12" i="4"/>
  <c r="F21" i="14"/>
  <c r="U21" i="14" s="1"/>
  <c r="D13" i="4"/>
  <c r="F22" i="14"/>
  <c r="U22" i="14" s="1"/>
  <c r="D14" i="4"/>
  <c r="F23" i="14"/>
  <c r="U23" i="14" s="1"/>
  <c r="D15" i="4"/>
  <c r="F24" i="14"/>
  <c r="U24" i="14" s="1"/>
  <c r="D16" i="4"/>
  <c r="F25" i="14"/>
  <c r="U25" i="14" s="1"/>
  <c r="D17" i="4"/>
  <c r="F26" i="14"/>
  <c r="U26" i="14" s="1"/>
  <c r="D18" i="4"/>
  <c r="F27" i="14"/>
  <c r="U27" i="14" s="1"/>
  <c r="D19" i="4"/>
  <c r="E26" i="4"/>
  <c r="L42" i="14"/>
  <c r="F49" i="14"/>
  <c r="R27" i="14"/>
  <c r="F48" i="14"/>
  <c r="O27" i="14"/>
  <c r="F47" i="14"/>
  <c r="L27" i="14"/>
  <c r="F46" i="14"/>
  <c r="L41" i="14"/>
  <c r="E49" i="14"/>
  <c r="R26" i="14"/>
  <c r="E48" i="14"/>
  <c r="O26" i="14"/>
  <c r="E47" i="14"/>
  <c r="L26" i="14"/>
  <c r="E46" i="14"/>
  <c r="L40" i="14"/>
  <c r="D49" i="14"/>
  <c r="R25" i="14"/>
  <c r="D48" i="14"/>
  <c r="O25" i="14"/>
  <c r="D47" i="14"/>
  <c r="L25" i="14"/>
  <c r="D46" i="14"/>
  <c r="L24" i="14"/>
  <c r="L23" i="14"/>
  <c r="L22" i="14"/>
  <c r="L36" i="14"/>
  <c r="C49" i="14"/>
  <c r="R21" i="14"/>
  <c r="C48" i="14"/>
  <c r="O21" i="14"/>
  <c r="C47" i="14"/>
  <c r="L21" i="14"/>
  <c r="C46" i="14"/>
  <c r="L20" i="14"/>
  <c r="L19" i="14"/>
  <c r="L18" i="14"/>
  <c r="L32" i="14"/>
  <c r="B49" i="14"/>
  <c r="R17" i="14"/>
  <c r="B48" i="14"/>
  <c r="O17" i="14"/>
  <c r="B47" i="14"/>
  <c r="L17" i="14"/>
  <c r="B46" i="14"/>
  <c r="I41" i="14"/>
  <c r="I40" i="14"/>
  <c r="I39" i="14"/>
  <c r="I38" i="14"/>
  <c r="O39" i="14" s="1"/>
  <c r="I37" i="14"/>
  <c r="O38" i="14" s="1"/>
  <c r="I36" i="14"/>
  <c r="O37" i="14" s="1"/>
  <c r="I35" i="14"/>
  <c r="O36" i="14" s="1"/>
  <c r="I34" i="14"/>
  <c r="O35" i="14" s="1"/>
  <c r="I33" i="14"/>
  <c r="O34" i="14" s="1"/>
  <c r="I32" i="14"/>
  <c r="O33" i="14" s="1"/>
  <c r="H42" i="14"/>
  <c r="G42" i="14"/>
  <c r="F42" i="14"/>
  <c r="E42" i="14"/>
  <c r="D42" i="14"/>
  <c r="C42" i="14"/>
  <c r="B42" i="14"/>
  <c r="I31" i="14"/>
  <c r="O40" i="14" l="1"/>
  <c r="O41" i="14"/>
  <c r="O42" i="14"/>
  <c r="E43" i="4"/>
  <c r="K19" i="4"/>
  <c r="J19" i="4"/>
  <c r="E42" i="4"/>
  <c r="K18" i="4"/>
  <c r="J18" i="4"/>
  <c r="E41" i="4"/>
  <c r="K17" i="4"/>
  <c r="J17" i="4"/>
  <c r="E40" i="4"/>
  <c r="K16" i="4"/>
  <c r="J16" i="4"/>
  <c r="E39" i="4"/>
  <c r="K15" i="4"/>
  <c r="J15" i="4"/>
  <c r="E38" i="4"/>
  <c r="K14" i="4"/>
  <c r="J14" i="4"/>
  <c r="E37" i="4"/>
  <c r="K13" i="4"/>
  <c r="J13" i="4"/>
  <c r="E36" i="4"/>
  <c r="K12" i="4"/>
  <c r="J12" i="4"/>
  <c r="E35" i="4"/>
  <c r="K11" i="4"/>
  <c r="J11" i="4"/>
  <c r="E34" i="4"/>
  <c r="K10" i="4"/>
  <c r="J10" i="4"/>
  <c r="E33" i="4"/>
  <c r="E23" i="4"/>
  <c r="E24" i="4"/>
  <c r="E25" i="4"/>
  <c r="K9" i="4"/>
  <c r="E28" i="4" s="1"/>
  <c r="J9" i="4"/>
  <c r="O32" i="14"/>
  <c r="I42" i="14"/>
  <c r="F33" i="4" l="1"/>
  <c r="G33" i="4"/>
  <c r="H33" i="4"/>
  <c r="F34" i="4"/>
  <c r="G34" i="4"/>
  <c r="H34" i="4"/>
  <c r="F35" i="4"/>
  <c r="G35" i="4"/>
  <c r="H35" i="4"/>
  <c r="F36" i="4"/>
  <c r="G36" i="4"/>
  <c r="H36" i="4"/>
  <c r="F37" i="4"/>
  <c r="G37" i="4"/>
  <c r="H37" i="4"/>
  <c r="F38" i="4"/>
  <c r="G38" i="4"/>
  <c r="H38" i="4"/>
  <c r="F39" i="4"/>
  <c r="G39" i="4"/>
  <c r="H39" i="4"/>
  <c r="F40" i="4"/>
  <c r="G40" i="4"/>
  <c r="H40" i="4"/>
  <c r="F41" i="4"/>
  <c r="G41" i="4"/>
  <c r="H41" i="4"/>
  <c r="F42" i="4"/>
  <c r="G42" i="4"/>
  <c r="H42" i="4"/>
  <c r="F43" i="4"/>
  <c r="G43" i="4"/>
  <c r="H4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CA046336-82E2-422A-9B18-F91F8DB2154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4C10D30B-92DB-47DD-8333-A4FEF4F6C8E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8" authorId="0" shapeId="0" xr:uid="{C26AD154-5BB5-40C5-BDCC-D447244D426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9"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92924C5B-BD8B-4B11-AF16-3CF862E52BB5}">
      <text>
        <r>
          <rPr>
            <sz val="11"/>
            <color theme="1"/>
            <rFont val="Calibri"/>
            <family val="2"/>
            <charset val="1"/>
          </rPr>
          <t>Natalia Zartha Suarez:
Change Advisory Board (CAB): Definición, Responsabilidades, Beneficios y Mejores Prácticas</t>
        </r>
      </text>
    </comment>
    <comment ref="C34"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02D5801-7645-494F-97A4-029852CAC3F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36B07C-3BE7-47F1-AA1A-700CCA34149E}">
      <text>
        <r>
          <rPr>
            <sz val="11"/>
            <color theme="1"/>
            <rFont val="Calibri"/>
            <family val="2"/>
            <charset val="1"/>
          </rPr>
          <t>Natalia Zartha Suarez:
Change Advisory Board (CAB): Definición, Responsabilidades, Beneficios y Mejores Prácticas</t>
        </r>
      </text>
    </comment>
    <comment ref="C3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2"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78"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7"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785FA151-938C-403A-BF12-AB9E5080DAA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2CFE09E-140D-42AD-B718-516CC63D532B}">
      <text>
        <r>
          <rPr>
            <sz val="11"/>
            <color theme="1"/>
            <rFont val="Calibri"/>
            <family val="2"/>
            <charset val="1"/>
          </rPr>
          <t>Natalia Zartha Suarez:
Change Advisory Board (CAB): Definición, Responsabilidades, Beneficios y Mejores Prácticas</t>
        </r>
      </text>
    </comment>
    <comment ref="C3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191B951-9D6F-40C2-A7BD-D7DB1357B818}">
      <text>
        <r>
          <rPr>
            <sz val="11"/>
            <color theme="1"/>
            <rFont val="Calibri"/>
            <family val="2"/>
            <charset val="1"/>
          </rPr>
          <t>Natalia Zartha Suarez:
Change Advisory Board (CAB): Definición, Responsabilidades, Beneficios y Mejores Prácticas</t>
        </r>
      </text>
    </comment>
    <comment ref="C3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6537E8A-17D4-42A7-A970-F0D235F7E9D6}">
      <text>
        <r>
          <rPr>
            <sz val="11"/>
            <color theme="1"/>
            <rFont val="Calibri"/>
            <family val="2"/>
            <charset val="1"/>
          </rPr>
          <t>Natalia Zartha Suarez:
Change Advisory Board (CAB): Definición, Responsabilidades, Beneficios y Mejores Prácticas</t>
        </r>
      </text>
    </comment>
    <comment ref="C34"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D3C5AC4-7DBE-4858-ABE7-48BEE250D613}">
      <text>
        <r>
          <rPr>
            <sz val="11"/>
            <color theme="1"/>
            <rFont val="Calibri"/>
            <family val="2"/>
            <charset val="1"/>
          </rPr>
          <t>Natalia Zartha Suarez:
Change Advisory Board (CAB): Definición, Responsabilidades, Beneficios y Mejores Prácticas</t>
        </r>
      </text>
    </comment>
    <comment ref="C34"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88AEB7-58A2-4B46-849D-ABFE004FAE7C}">
      <text>
        <r>
          <rPr>
            <sz val="11"/>
            <color theme="1"/>
            <rFont val="Calibri"/>
            <family val="2"/>
            <charset val="1"/>
          </rPr>
          <t>Natalia Zartha Suarez:
Change Advisory Board (CAB): Definición, Responsabilidades, Beneficios y Mejores Prácticas</t>
        </r>
      </text>
    </comment>
    <comment ref="C34"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414DCA2A-554B-42B9-A858-639C1220B5A1}">
      <text>
        <r>
          <rPr>
            <sz val="11"/>
            <color theme="1"/>
            <rFont val="Calibri"/>
            <family val="2"/>
            <charset val="1"/>
          </rPr>
          <t>Natalia Zartha Suarez:
Change Advisory Board (CAB): Definición, Responsabilidades, Beneficios y Mejores Prácticas</t>
        </r>
      </text>
    </comment>
    <comment ref="C34"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C2683278-74D7-4846-85F2-F18F00CDB6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A58DF44F-59D9-4D42-91BC-96248B7CE94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167F8F68-6C93-4354-816C-504AC863CA44}">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0B7ACE7-E609-45AD-BAD3-81D471CD1C77}">
      <text>
        <r>
          <rPr>
            <sz val="11"/>
            <color theme="1"/>
            <rFont val="Calibri"/>
            <family val="2"/>
            <charset val="1"/>
          </rPr>
          <t>Natalia Zartha Suarez:
Change Advisory Board (CAB): Definición, Responsabilidades, Beneficios y Mejores Prácticas</t>
        </r>
      </text>
    </comment>
    <comment ref="C34" authorId="0" shapeId="0" xr:uid="{B61067C7-6969-49A0-B317-5E5CE6A85481}">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5046798D-87AC-4A7B-B94E-7636B37B81E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26EFB9E-077D-44DE-ADFC-3E971FA3E0D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91D7DEAB-E428-4061-8EE4-3766CBC4FD94}">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251445E5-C5FA-41BB-BA82-645D8E4FDA5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B9E0597-8464-4AF7-BC48-0A479586B3E6}">
      <text>
        <r>
          <rPr>
            <sz val="11"/>
            <color theme="1"/>
            <rFont val="Calibri"/>
            <family val="2"/>
            <charset val="1"/>
          </rPr>
          <t>Natalia Zartha Suarez:
Change Advisory Board (CAB): Definición, Responsabilidades, Beneficios y Mejores Prácticas</t>
        </r>
      </text>
    </comment>
    <comment ref="C3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52E206FD-F464-4FC4-AC8E-867FCC019348}">
      <text>
        <r>
          <rPr>
            <sz val="11"/>
            <color theme="1"/>
            <rFont val="Calibri"/>
            <family val="2"/>
            <charset val="1"/>
          </rPr>
          <t>Natalia Zartha Suarez:
Change Advisory Board (CAB): Definición, Responsabilidades, Beneficios y Mejores Prácticas</t>
        </r>
      </text>
    </comment>
    <comment ref="C34"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<sst xmlns="http://schemas.openxmlformats.org/spreadsheetml/2006/main" count="4019" uniqueCount="725">
  <si>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</si>
  <si>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</si>
  <si>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</si>
  <si>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</si>
  <si>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</si>
  <si>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</si>
  <si>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</si>
  <si>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</si>
  <si>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</si>
  <si>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</si>
  <si>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</si>
  <si>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</si>
  <si>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</si>
  <si>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</si>
  <si>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</si>
  <si>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</si>
  <si>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</si>
  <si>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</si>
  <si>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</si>
  <si>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</si>
  <si>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</si>
  <si>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</si>
  <si>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</si>
  <si>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</si>
  <si>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IDENTIFICACIÓN GENERAL</t>
  </si>
  <si>
    <t>5 min</t>
  </si>
  <si>
    <t>Registrar datos básicos de la mesa: cliente, nombre del servicio, líder, ubicación, modalidad, contrato, herramientas y participantes.</t>
  </si>
  <si>
    <t>②</t>
  </si>
  <si>
    <t>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</si>
  <si>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</si>
  <si>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</si>
  <si>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</si>
  <si>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</si>
  <si>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</si>
  <si>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</si>
  <si>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</si>
  <si>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</si>
  <si>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</si>
  <si>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</si>
  <si>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</si>
  <si>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</si>
  <si>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</si>
  <si>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</si>
  <si>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(D1–D17)</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</si>
  <si>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</si>
  <si>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</si>
  <si>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</si>
  <si>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</si>
  <si>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</si>
  <si>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</si>
  <si>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</si>
  <si>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</si>
  <si>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</si>
  <si>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</si>
  <si>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</si>
  <si>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</si>
  <si>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</si>
  <si>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</si>
  <si>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</si>
  <si>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</si>
  <si>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</si>
  <si>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</si>
  <si>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</si>
  <si>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</si>
  <si>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</si>
  <si>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</si>
  <si>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</si>
  <si>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t>
  </si>
  <si>
    <t>Procesos básicos documentados. Herramientas mínimas. Cumplimiento inconsistente.</t>
  </si>
  <si>
    <t>N2</t>
  </si>
  <si>
    <t>Definido</t>
  </si>
  <si>
    <t>Procesos ITIL definidos y seguidos. Métricas básicas (SLA  (Service Level Agreement),  FCR (Fondo de Capital Riesgo)). Equipo estable.</t>
  </si>
  <si>
    <t>N3</t>
  </si>
  <si>
    <t>Gestionado</t>
  </si>
  <si>
    <t>Métricas avanzadas. Automatización parcial. Gestión proactiva de problemas.</t>
  </si>
  <si>
    <t>N4</t>
  </si>
  <si>
    <t>Optimizado</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</si>
  <si>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</si>
  <si>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</si>
  <si>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</si>
  <si>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</si>
  <si>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</si>
  <si>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</si>
  <si>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</si>
  <si>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</si>
  <si>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</si>
  <si>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</si>
  <si>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</si>
  <si>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</si>
  <si>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</si>
  <si>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</si>
  <si>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</si>
  <si>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</si>
  <si>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</si>
  <si>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</si>
  <si>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</si>
  <si>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</si>
  <si>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</si>
  <si>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</si>
  <si>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</si>
  <si>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</si>
  <si>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</si>
  <si>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r>
      <rPr>
        <b/>
        <sz val="11"/>
        <color rgb="FF000000"/>
        <rFont val="Calibri"/>
        <scheme val="minor"/>
      </rPr>
      <t>Fecha</t>
    </r>
    <r>
      <rPr>
        <sz val="11"/>
        <color rgb="FF000000"/>
        <rFont val="Calibri"/>
        <scheme val="minor"/>
      </rPr>
      <t xml:space="preserve">: 2026/07/03
</t>
    </r>
    <r>
      <rPr>
        <b/>
        <sz val="11"/>
        <color rgb="FF000000"/>
        <rFont val="Calibri"/>
        <scheme val="minor"/>
      </rPr>
      <t>Clasificación</t>
    </r>
    <r>
      <rPr>
        <sz val="11"/>
        <color rgb="FF000000"/>
        <rFont val="Calibri"/>
        <scheme val="minor"/>
      </rPr>
      <t>: Interna</t>
    </r>
  </si>
  <si>
    <t>Resumen consolidado · Julio 2026 · PersonalSoft</t>
  </si>
  <si>
    <r>
      <rPr>
        <b/>
        <sz val="11"/>
        <color rgb="FF000000"/>
        <rFont val="Calibri"/>
        <scheme val="minor"/>
      </rPr>
      <t>Versión</t>
    </r>
    <r>
      <rPr>
        <sz val="11"/>
        <color rgb="FF000000"/>
        <rFont val="Calibri"/>
        <scheme val="minor"/>
      </rPr>
      <t>: 1.0</t>
    </r>
  </si>
  <si>
    <t xml:space="preserve">  RESUMEN POR MESA DE SERVICIOS — 11 MESAS</t>
  </si>
  <si>
    <t>MESA</t>
  </si>
  <si>
    <t>Nivel
Madurez</t>
  </si>
  <si>
    <t>Score
Prácticas</t>
  </si>
  <si>
    <t>FCR
(%)</t>
  </si>
  <si>
    <t>SLA
(%)</t>
  </si>
  <si>
    <t>NPS</t>
  </si>
  <si>
    <t>FTEs</t>
  </si>
  <si>
    <t>Dolores
Activos</t>
  </si>
  <si>
    <t>Prioridad
Global</t>
  </si>
  <si>
    <t>Estado</t>
  </si>
  <si>
    <t>SURA Cotizadores</t>
  </si>
  <si>
    <t>SURA Venta Digital</t>
  </si>
  <si>
    <t>SURA Torre Control</t>
  </si>
  <si>
    <t>SURA Mesa 4</t>
  </si>
  <si>
    <t>BCO Gioti 1</t>
  </si>
  <si>
    <t>BCO Gioti 2</t>
  </si>
  <si>
    <t>BCO Gioti 3</t>
  </si>
  <si>
    <t>BCO Gioti 4</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</si>
  <si>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</si>
  <si>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</si>
  <si>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</si>
  <si>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</si>
  <si>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</si>
  <si>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</si>
  <si>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</si>
  <si>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</si>
  <si>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</si>
  <si>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</si>
  <si>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</si>
  <si>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</si>
  <si>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</si>
  <si>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</si>
  <si>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</si>
  <si>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Mesas de Nueva Generación</t>
  </si>
  <si>
    <t xml:space="preserve">  DOLORES ACTIVOS POR MESA — D1–D18 (✓=Sí · ~=Parcial)</t>
  </si>
  <si>
    <t>DOLOR</t>
  </si>
  <si>
    <t>SURA
Cotiz.</t>
  </si>
  <si>
    <t>SURA
Venta D.</t>
  </si>
  <si>
    <t>SURA
Torre</t>
  </si>
  <si>
    <t>SURA
Mesa 4</t>
  </si>
  <si>
    <t>BCO
Gioti 1</t>
  </si>
  <si>
    <t>BCO
Gioti 2</t>
  </si>
  <si>
    <t>BCO
Gioti 3</t>
  </si>
  <si>
    <t>BCO
Gioti 4</t>
  </si>
  <si>
    <t>TOTAL</t>
  </si>
  <si>
    <t>D1: Sí</t>
  </si>
  <si>
    <t>D2: Parcial</t>
  </si>
  <si>
    <t>D3: Sí</t>
  </si>
  <si>
    <t>D4: Sí</t>
  </si>
  <si>
    <t>D5: Sí</t>
  </si>
  <si>
    <t>D6: Parcial</t>
  </si>
  <si>
    <t>D7: No</t>
  </si>
  <si>
    <t xml:space="preserve">D8: </t>
  </si>
  <si>
    <t xml:space="preserve">D9: </t>
  </si>
  <si>
    <t>D10: Sí</t>
  </si>
  <si>
    <t xml:space="preserve">D11: </t>
  </si>
  <si>
    <t xml:space="preserve">D12: </t>
  </si>
  <si>
    <t>D13: No</t>
  </si>
  <si>
    <t xml:space="preserve">D14: </t>
  </si>
  <si>
    <t>D15: No</t>
  </si>
  <si>
    <t xml:space="preserve">D16: </t>
  </si>
  <si>
    <t xml:space="preserve">D17: </t>
  </si>
  <si>
    <t>D18: Sí</t>
  </si>
  <si>
    <t xml:space="preserve">  COBERTURA PROMEDIO POR DIMENSIÓN</t>
  </si>
  <si>
    <t>ANÁLISIS VISUAL— MESA DE SERVICIOS DE NUEVA GENERACIÓN</t>
  </si>
  <si>
    <r>
      <rPr>
        <b/>
        <sz val="11"/>
        <color rgb="FF000000"/>
        <rFont val="Calibri Light"/>
      </rPr>
      <t>Fecha</t>
    </r>
    <r>
      <rPr>
        <sz val="11"/>
        <color rgb="FF000000"/>
        <rFont val="Calibri Light"/>
      </rPr>
      <t xml:space="preserve">: 2026/07/03
</t>
    </r>
    <r>
      <rPr>
        <b/>
        <sz val="11"/>
        <color rgb="FF000000"/>
        <rFont val="Calibri Light"/>
      </rPr>
      <t>Clasificación</t>
    </r>
    <r>
      <rPr>
        <sz val="11"/>
        <color rgb="FF000000"/>
        <rFont val="Calibri Light"/>
      </rPr>
      <t>: Interna</t>
    </r>
  </si>
  <si>
    <t>Dashboard de madurez · prácticas · dolores · industria vs benchmark · Gen Next</t>
  </si>
  <si>
    <r>
      <rPr>
        <b/>
        <sz val="11"/>
        <color rgb="FF000000"/>
        <rFont val="Calibri Light"/>
      </rPr>
      <t>Versión</t>
    </r>
    <r>
      <rPr>
        <sz val="11"/>
        <color rgb="FF000000"/>
        <rFont val="Calibri Light"/>
      </rPr>
      <t>: 1.0</t>
    </r>
  </si>
  <si>
    <t>GRÁFICAS POR BLOQUE DE EVALUACIÓN — 11 DIMENSIONES + ④b</t>
  </si>
  <si>
    <t>TABLA 1 — MADUREZ NUMÉRICA (N0-N5)</t>
  </si>
  <si>
    <t>HELPERS PARA GRÁFICAS</t>
  </si>
  <si>
    <t>① Identificación general — completitud</t>
  </si>
  <si>
    <t>② Nivel de madurez actual</t>
  </si>
  <si>
    <t>③ Prácticas ITIL — score global</t>
  </si>
  <si>
    <t>④ Volumetría y KPIs — FCR/SLA</t>
  </si>
  <si>
    <t>④b Incidentes por categoría — tickets/mes</t>
  </si>
  <si>
    <t>⑤ XLA / DEX — NPS</t>
  </si>
  <si>
    <t>⑥ Dolores críticos — total activo D1–D18</t>
  </si>
  <si>
    <t>⑦ Rotación y talento — completitud</t>
  </si>
  <si>
    <t>⑧ Tecnología y herramientas — herramientas registradas</t>
  </si>
  <si>
    <t>⑨ Modelo económico — completitud</t>
  </si>
  <si>
    <t>⑩ Visión nuevo servicio — completitud</t>
  </si>
  <si>
    <t>⑪ Casos de éxito — completitud</t>
  </si>
  <si>
    <t>RESUMEN PROMEDIO POR DIMENSIÓN</t>
  </si>
  <si>
    <t>DOLORES CONSOLIDADOS D1–D18</t>
  </si>
  <si>
    <t>Mesa</t>
  </si>
  <si>
    <t>Nivel Madurez (texto)</t>
  </si>
  <si>
    <t>Madurez Numérica (0-5)</t>
  </si>
  <si>
    <t>Meta (N3)</t>
  </si>
  <si>
    <t>Madurez</t>
  </si>
  <si>
    <t>Meta</t>
  </si>
  <si>
    <t>Completitud</t>
  </si>
  <si>
    <t>Meta N3</t>
  </si>
  <si>
    <t>Score ITIL</t>
  </si>
  <si>
    <t>FCR</t>
  </si>
  <si>
    <t>SLA</t>
  </si>
  <si>
    <t>Tickets categorizados</t>
  </si>
  <si>
    <t>Dolores activos D1–D18</t>
  </si>
  <si>
    <t>Herramientas registradas</t>
  </si>
  <si>
    <t>Dimensión</t>
  </si>
  <si>
    <t>Promedio</t>
  </si>
  <si>
    <t>Dolor</t>
  </si>
  <si>
    <t>Total ponderado</t>
  </si>
  <si>
    <t>SURA Cotiz.</t>
  </si>
  <si>
    <t>① Identificación general</t>
  </si>
  <si>
    <t>SURA V.Dig.</t>
  </si>
  <si>
    <t>② Madurez (normalizada)</t>
  </si>
  <si>
    <t>SURA Torre</t>
  </si>
  <si>
    <t>③ ITIL</t>
  </si>
  <si>
    <t>SURA Mesa4</t>
  </si>
  <si>
    <t>④ KPIs FCR/SLA</t>
  </si>
  <si>
    <t>BCO Gioti1</t>
  </si>
  <si>
    <t>④b Incidentes categorizados</t>
  </si>
  <si>
    <t>BCO Gioti2</t>
  </si>
  <si>
    <t>⑤ XLA/DEX NPS</t>
  </si>
  <si>
    <t>BCO Gioti3</t>
  </si>
  <si>
    <t>⑥ Dolores activos</t>
  </si>
  <si>
    <t>BCO Gioti4</t>
  </si>
  <si>
    <t>⑦ Talento</t>
  </si>
  <si>
    <t>⑧ Tecnología</t>
  </si>
  <si>
    <t>⑨ Económico</t>
  </si>
  <si>
    <t>⑩ Visión</t>
  </si>
  <si>
    <t>⑪ Casos éxito</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</si>
  <si>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</si>
  <si>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</si>
  <si>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</si>
  <si>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</si>
  <si>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</si>
  <si>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</si>
  <si>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</si>
  <si>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</si>
  <si>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</si>
  <si>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</si>
  <si>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</si>
  <si>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</si>
  <si>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</si>
  <si>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</si>
  <si>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</si>
  <si>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por dolor (todas mesas)</t>
  </si>
  <si>
    <t>TABLA 4 — PROMEDIO DIMENSIONES POR CLIENTE / GRUPO</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</si>
  <si>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</si>
  <si>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</si>
  <si>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</si>
  <si>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</si>
  <si>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</si>
  <si>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</si>
  <si>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</si>
  <si>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</si>
  <si>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</si>
  <si>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</si>
  <si>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</si>
  <si>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</si>
  <si>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</si>
  <si>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</si>
  <si>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</si>
  <si>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</si>
  <si>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</si>
  <si>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</si>
  <si>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</si>
  <si>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</si>
  <si>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</si>
  <si>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</si>
  <si>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</si>
  <si>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</si>
  <si>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</si>
  <si>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</si>
  <si>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</si>
  <si>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Si</t>
  </si>
  <si>
    <t>Media</t>
  </si>
  <si>
    <t>Capacidad</t>
  </si>
  <si>
    <t>Requerimiento</t>
  </si>
  <si>
    <t>Medio</t>
  </si>
  <si>
    <t>Bancolombia</t>
  </si>
  <si>
    <t>Baja</t>
  </si>
  <si>
    <t>Bolsa de horas</t>
  </si>
  <si>
    <t>Cambio</t>
  </si>
  <si>
    <t>Bajo</t>
  </si>
  <si>
    <t>En proceso</t>
  </si>
  <si>
    <t>Output/ticket</t>
  </si>
  <si>
    <t>Problema</t>
  </si>
  <si>
    <t>Sin prioridad</t>
  </si>
  <si>
    <t>Mixto</t>
  </si>
  <si>
    <t>Consulta</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</si>
  <si>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</si>
  <si>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</si>
  <si>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</si>
  <si>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</si>
  <si>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</si>
  <si>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</si>
  <si>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</si>
  <si>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</si>
  <si>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 xml:space="preserve">ServiceNow ITSM → Plataforma ITSM empresarial, muy personalizable. (24x7 o según SLA)  </t>
  </si>
  <si>
    <t xml:space="preserve">AppDynamics → Monitoreo de rendimiento de aplicaciones (APM) y experiencia de usuario.  </t>
  </si>
  <si>
    <t xml:space="preserve">Ada → Bot conversacional para atención al cliente y soporte automatizado.  </t>
  </si>
  <si>
    <t xml:space="preserve">Azure Monitor Workbooks → Creación de dashboards y reportes para métricas en Azure.  </t>
  </si>
  <si>
    <t xml:space="preserve">Asana → Gestión de tareas y proyectos con enfoque en equipos ágiles.  </t>
  </si>
  <si>
    <t xml:space="preserve">AWS IAM → Gestión de identidades y accesos para servicios en AWS.  </t>
  </si>
  <si>
    <t xml:space="preserve">BMC Atrium CMDB → Base de datos de configuración empresarial integrada con BMC Helix ITSM.  </t>
  </si>
  <si>
    <t xml:space="preserve">BookStack → Plataforma open source para crear y organizar documentación en formato libro.  </t>
  </si>
  <si>
    <t xml:space="preserve">Jira Service Management → Integración con desarrollo ágil y soporte TI. (8x5 o 24x7)  </t>
  </si>
  <si>
    <t xml:space="preserve">AWS CloudWatch → Monitoreo, métricas y alertas para entornos AWS.  </t>
  </si>
  <si>
    <t xml:space="preserve">Amelia → Asistente virtual con IA para soporte, RRHH y procesos empresariales.  </t>
  </si>
  <si>
    <t xml:space="preserve">Datadog Dashboards → Visualización de métricas, logs y trazas en Datadog.  </t>
  </si>
  <si>
    <t xml:space="preserve">ClickUp → Plataforma de productividad y gestión de proyectos todo-en-uno.  </t>
  </si>
  <si>
    <t xml:space="preserve">Azure AD B2C → Gestión de identidades para aplicaciones orientadas a clientes en Azure.  </t>
  </si>
  <si>
    <t xml:space="preserve">Device42 → Descubrimiento automático y gestión de activos de TI y dependencias.  </t>
  </si>
  <si>
    <t xml:space="preserve">Confluence → Herramienta de documentación y colaboración de Atlassian, ideal para KB interna.  </t>
  </si>
  <si>
    <t xml:space="preserve">BMC Helix ITSM → Gestión de servicios TI robusta, orientada a grandes organizaciones. (24x7 o 8x5)  </t>
  </si>
  <si>
    <t xml:space="preserve">Azure Monitor → Observabilidad y métricas para entornos Microsoft Azure.  </t>
  </si>
  <si>
    <t xml:space="preserve">Azure Bot Service → Plataforma de Microsoft para crear y desplegar bots en múltiples canales.  </t>
  </si>
  <si>
    <t xml:space="preserve">Elastic Kibana → Visualización y análisis de datos de Elastic Stack.  </t>
  </si>
  <si>
    <t xml:space="preserve">Confluence → Herramienta de documentación y colaboración en equipo de Atlassian.  </t>
  </si>
  <si>
    <t xml:space="preserve">BeyondTrust → Gestión de accesos privilegiados (PAM) y control de sesiones.  </t>
  </si>
  <si>
    <t xml:space="preserve">Freshservice Asset Management → Gestión de activos integrada en la plataforma Freshservice.  </t>
  </si>
  <si>
    <t xml:space="preserve">Document360 → Plataforma de KB para clientes y equipos, con control de versiones.  </t>
  </si>
  <si>
    <t xml:space="preserve">ManageEngine ServiceDesk Plus → ITSM con módulos de activos y CMDB. (8x5 o 24x7)  </t>
  </si>
  <si>
    <t xml:space="preserve">Datadog → Monitoreo en la nube para infraestructura, logs, APM y seguridad.  </t>
  </si>
  <si>
    <t xml:space="preserve">Botpress → Framework open source para desarrollar chatbots personalizados.  </t>
  </si>
  <si>
    <t xml:space="preserve">Excel / Power Query → Análisis, transformación y modelado de datos en Microsoft Excel.  </t>
  </si>
  <si>
    <t xml:space="preserve">Google Chat → Mensajería y colaboración integrada en Google Workspace.  </t>
  </si>
  <si>
    <t xml:space="preserve">CyberArk → Plataforma líder en gestión de accesos privilegiados y credenciales.  </t>
  </si>
  <si>
    <t xml:space="preserve">GLPI Assets → Módulo de gestión de activos e inventario de GLPI.  </t>
  </si>
  <si>
    <t xml:space="preserve">Freshservice Knowledge Base → Módulo de KB integrado en Freshservice para autoservicio ITSM.  </t>
  </si>
  <si>
    <t xml:space="preserve">Freshservice → ITSM en la nube, fácil de implementar. (8x5 o 24x7)  </t>
  </si>
  <si>
    <t xml:space="preserve">Dynatrace → Observabilidad con IA para aplicaciones, microservicios y experiencia digital.  </t>
  </si>
  <si>
    <t xml:space="preserve">ChatGPT / Copilot personalizado → Asistente conversacional con IA generativa y personalización de respuestas.  </t>
  </si>
  <si>
    <t xml:space="preserve">Google Looker → Plataforma de BI y análisis de datos en la nube.  </t>
  </si>
  <si>
    <t xml:space="preserve">Jira Software → Gestión de proyectos ágiles y seguimiento de incidencias.  </t>
  </si>
  <si>
    <t xml:space="preserve">Duo Security → Autenticación multifactor (MFA) y verificación de identidad.  </t>
  </si>
  <si>
    <t xml:space="preserve">iTop CMDB → Solución open source para CMDB y gestión de servicios.  </t>
  </si>
  <si>
    <t xml:space="preserve">Google Sites → Creación sencilla de sitios web y KB internas en Google Workspace.  </t>
  </si>
  <si>
    <t xml:space="preserve">Zendesk Support → Soporte multicanal, orientado a experiencia de cliente. (8x5 o 24x7)  </t>
  </si>
  <si>
    <t xml:space="preserve">Elastic Observability → Monitoreo y análisis de logs con Elastic Stack (Elasticsearch, Kibana, Beats).  </t>
  </si>
  <si>
    <t xml:space="preserve">Cognigy → Plataforma de automatización conversacional para empresas.  </t>
  </si>
  <si>
    <t xml:space="preserve">Grafana → Visualización de métricas y datos en tiempo real desde múltiples fuentes.  </t>
  </si>
  <si>
    <t xml:space="preserve">Microsoft Teams → Comunicación, videollamadas y colaboración empresarial.  </t>
  </si>
  <si>
    <t xml:space="preserve">ForgeRock → Plataforma IAM para empresas con gestión de identidades y accesos.  </t>
  </si>
  <si>
    <t xml:space="preserve">Ivanti Neurons for Discovery → Descubrimiento y mapeo automático de activos y dependencias.  </t>
  </si>
  <si>
    <t xml:space="preserve">Guru → Plataforma de KB con enfoque en gestión del conocimiento en tiempo real.  </t>
  </si>
  <si>
    <t xml:space="preserve">GLPI → Solución ITSM de código abierto, flexible y gratuita. (8x5 o 24x7)  </t>
  </si>
  <si>
    <t xml:space="preserve">Google Cloud Operations → Observabilidad y monitoreo para entornos Google Cloud.  </t>
  </si>
  <si>
    <t xml:space="preserve">Freshservice Freddy AI → Bot de soporte integrado en Freshservice para ITSM.  </t>
  </si>
  <si>
    <t xml:space="preserve">Jira Dashboards → Paneles para seguimiento de proyectos, incidencias y métricas ágiles.  </t>
  </si>
  <si>
    <t xml:space="preserve">Miro → Pizarra colaborativa online para trabajo visual en equipo.  </t>
  </si>
  <si>
    <t xml:space="preserve">Google Cloud Identity → Gestión de usuarios, dispositivos y accesos en Google Cloud.  </t>
  </si>
  <si>
    <t xml:space="preserve">Jira Assets / Insight → Gestión de activos y CMDB integrada en Jira Service Management.  </t>
  </si>
  <si>
    <t xml:space="preserve">Helpjuice → KB para clientes y equipos, con analítica de uso.  </t>
  </si>
  <si>
    <t xml:space="preserve">OTRS / Znuny → ITSM open source con alta capacidad de personalización. (8x5 o 24x7)  </t>
  </si>
  <si>
    <t xml:space="preserve">Grafana / Prometheus → Recolección de métricas (Prometheus) y visualización en tiempo real (Grafana).  </t>
  </si>
  <si>
    <t xml:space="preserve">Google Dialogflow → Creación de bots con procesamiento de lenguaje natural (NLP).  </t>
  </si>
  <si>
    <t xml:space="preserve">Looker Studio → Creación de reportes y dashboards interactivos de Google.  </t>
  </si>
  <si>
    <t xml:space="preserve">Monday.com → Gestión de proyectos y flujos de trabajo personalizables.  </t>
  </si>
  <si>
    <t xml:space="preserve">IBM Security Verify → IAM con SSO, MFA y gestión de identidades en la nube.  </t>
  </si>
  <si>
    <t xml:space="preserve">Lansweeper → Inventario y descubrimiento de hardware y software en red.  </t>
  </si>
  <si>
    <t xml:space="preserve">Jira Service Management KB → Base de conocimiento integrada con el portal de soporte de Jira.  </t>
  </si>
  <si>
    <t xml:space="preserve">Ivanti Neurons for ITSM → ITSM con automatización y gestión proactiva. (8x5 o 24x7)  </t>
  </si>
  <si>
    <t xml:space="preserve">LogicMonitor → Monitoreo de infraestructura híbrida, nube y redes.  </t>
  </si>
  <si>
    <t xml:space="preserve">IBM Watson Assistant → Asistente virtual con IA de IBM para soporte y autoservicio.  </t>
  </si>
  <si>
    <t xml:space="preserve">ManageEngine Analytics Plus → BI y analítica para ITSM y operaciones.  </t>
  </si>
  <si>
    <t xml:space="preserve">Notion → Documentación, bases de datos y colaboración en un solo espacio.  </t>
  </si>
  <si>
    <t xml:space="preserve">Keycloak → Solución open source para SSO, autenticación y autorización.  </t>
  </si>
  <si>
    <t xml:space="preserve">ManageEngine AssetExplorer → Gestión de activos de TI y ciclo de vida.  </t>
  </si>
  <si>
    <t xml:space="preserve">MediaWiki → Plataforma wiki open source (usada por Wikipedia) para documentación colaborativa.  </t>
  </si>
  <si>
    <t xml:space="preserve">Cherwell Service Management → Plataforma ITSM adaptable, orientada a medianas y grandes empresas. (8x5 o 24x7)  </t>
  </si>
  <si>
    <t xml:space="preserve">Nagios → Monitoreo de red, servidores y servicios críticos.  </t>
  </si>
  <si>
    <t xml:space="preserve">Intercom Fin → Bot de soporte y ventas con IA.  </t>
  </si>
  <si>
    <t xml:space="preserve">MicroStrategy → Plataforma de BI empresarial con analítica avanzada.  </t>
  </si>
  <si>
    <t xml:space="preserve">Planner → Planificación y seguimiento de tareas en Microsoft 365.  </t>
  </si>
  <si>
    <t xml:space="preserve">ManageEngine ADManager Plus → Administración y reportes para Active Directory.  </t>
  </si>
  <si>
    <t xml:space="preserve">Microsoft Intune → Gestión de dispositivos y aplicaciones en la nube.  </t>
  </si>
  <si>
    <t xml:space="preserve">Microsoft Viva Topics → Organización automática de conocimiento en Microsoft 365.  </t>
  </si>
  <si>
    <t xml:space="preserve">Aranda Service Management → ITSM popular en Latinoamérica, con módulos integrados. (8x5 o 24x7)  </t>
  </si>
  <si>
    <t xml:space="preserve">New Relic → Observabilidad para aplicaciones, infraestructura y experiencia de usuario.  </t>
  </si>
  <si>
    <t xml:space="preserve">Kore.ai → Plataforma de bots empresariales con IA conversacional.  </t>
  </si>
  <si>
    <t xml:space="preserve">Power BI → BI y visualización de datos de Microsoft, con integración a múltiples fuentes.  </t>
  </si>
  <si>
    <t xml:space="preserve">SharePoint → Gestión documental y colaboración en entornos Microsoft.  </t>
  </si>
  <si>
    <t xml:space="preserve">Microsoft Entra ID → Plataforma de identidad de Microsoft (antes Azure AD) con SSO y MFA.  </t>
  </si>
  <si>
    <t xml:space="preserve">OCS Inventory → Inventario de hardware y software open source.  </t>
  </si>
  <si>
    <t xml:space="preserve">Notion → Herramienta de documentación, bases de datos y colaboración flexible.  </t>
  </si>
  <si>
    <t xml:space="preserve">TOPdesk → ITSM enfocado en experiencia de usuario y facilidad de uso. (8x5 o 24x7)  </t>
  </si>
  <si>
    <t xml:space="preserve">PRTG Network Monitor → Monitoreo de red, dispositivos y ancho de banda.  </t>
  </si>
  <si>
    <t xml:space="preserve">Microsoft Teams bot → Bots integrados en Microsoft Teams para automatizar tareas y responder consultas.  </t>
  </si>
  <si>
    <t xml:space="preserve">Qlik Sense → Análisis de datos y visualización interactiva con motor asociativo.  </t>
  </si>
  <si>
    <t xml:space="preserve">Slack → Mensajería y colaboración en tiempo real para equipos.  </t>
  </si>
  <si>
    <t xml:space="preserve">Okta → Gestión de identidades y accesos en la nube con SSO y MFA.  </t>
  </si>
  <si>
    <t xml:space="preserve">Open-AudIT → Herramienta open source para auditoría e inventario de red.  </t>
  </si>
  <si>
    <t xml:space="preserve">ServiceNow Knowledge Management → KB empresarial integrada con ITSM y autoservicio.  </t>
  </si>
  <si>
    <t xml:space="preserve">SysAid → ITSM con automatización y gestión de activos integrada. (8x5 o 24x7)  </t>
  </si>
  <si>
    <t xml:space="preserve">SolarWinds NPM → Monitoreo de red y rendimiento de infraestructura.  </t>
  </si>
  <si>
    <t xml:space="preserve">Rasa → Framework open source para chatbots con NLP y control total de datos.  </t>
  </si>
  <si>
    <t xml:space="preserve">ServiceNow Performance Analytics → Analítica y reportes para procesos ITSM en ServiceNow.  </t>
  </si>
  <si>
    <t xml:space="preserve">Trello → Gestión visual de tareas y proyectos con tableros Kanban.  </t>
  </si>
  <si>
    <t xml:space="preserve">OneLogin → Plataforma IAM con SSO, MFA y gestión de usuarios.  </t>
  </si>
  <si>
    <t xml:space="preserve">SCCM / MECM → Administración de configuración y activos en entornos Microsoft.  </t>
  </si>
  <si>
    <t xml:space="preserve">SharePoint Knowledge Base → KB interna construida sobre SharePoint.  </t>
  </si>
  <si>
    <t xml:space="preserve">SolarWinds Service Desk → ITSM en la nube con enfoque en gestión de activos. (8x5 o 24x7)  </t>
  </si>
  <si>
    <t xml:space="preserve">Splunk Observability → Observabilidad y análisis de datos en tiempo real con Splunk.  </t>
  </si>
  <si>
    <t xml:space="preserve">ServiceNow Virtual Agent → Bot de autoservicio para ITSM y flujos de trabajo en ServiceNow.  </t>
  </si>
  <si>
    <t xml:space="preserve">Splunk Dashboards → Visualización de datos y métricas en Splunk.  </t>
  </si>
  <si>
    <t xml:space="preserve">Webex → Videoconferencias, mensajería y colaboración empresarial.  </t>
  </si>
  <si>
    <t xml:space="preserve">Ping Identity → Soluciones IAM con SSO, MFA y federación de identidades.  </t>
  </si>
  <si>
    <t xml:space="preserve">ServiceNow CMDB → CMDB empresarial integrada con flujos ITSM en ServiceNow.  </t>
  </si>
  <si>
    <t xml:space="preserve">Slab → Plataforma de documentación colaborativa con diseño minimalista.  </t>
  </si>
  <si>
    <t xml:space="preserve">Microsoft Dynamics 365 Customer Service → Soporte y atención al cliente integrado con CRM. (8x5 o 24x7)  </t>
  </si>
  <si>
    <t xml:space="preserve">Zabbix → Monitoreo de red, servidores y aplicaciones con alertas configurables.  </t>
  </si>
  <si>
    <t xml:space="preserve">Zendesk Answer Bot → Bot de soporte integrado en Zendesk para resolver tickets automáticamente.  </t>
  </si>
  <si>
    <t xml:space="preserve">Tableau → Visualización y análisis de datos con enfoque en exploración interactiva.  </t>
  </si>
  <si>
    <t xml:space="preserve">Zoom → Videoconferencias, webinars y colaboración remota.  </t>
  </si>
  <si>
    <t xml:space="preserve">SailPoint → Gestión de identidades y gobierno de accesos (IGA).  </t>
  </si>
  <si>
    <t xml:space="preserve">Snipe-IT → Gestión de activos de TI open source, ideal para control de inventario.  </t>
  </si>
  <si>
    <t xml:space="preserve">Zendesk Guide → KB para autoservicio de clientes integrada con Zendesk Support.  </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</si>
  <si>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</si>
  <si>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</si>
  <si>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</si>
  <si>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</si>
  <si>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</si>
  <si>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</si>
  <si>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</si>
  <si>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</si>
  <si>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</si>
  <si>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</si>
  <si>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</si>
  <si>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</si>
  <si>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</si>
  <si>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</si>
  <si>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</si>
  <si>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</si>
  <si>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</si>
  <si>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</si>
  <si>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</si>
  <si>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</si>
  <si>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</si>
  <si>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</si>
  <si>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</si>
  <si>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</si>
  <si>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</si>
  <si>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</si>
  <si>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</si>
  <si>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</si>
  <si>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</si>
  <si>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</si>
  <si>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</si>
  <si>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</si>
  <si>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</si>
  <si>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</si>
  <si>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</si>
  <si>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</si>
  <si>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</si>
  <si>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LEVANTAMIENTO DE MESA DE SERVICIOS — SURA COTIZADORES</t>
  </si>
  <si>
    <t>⚠ DATOS DE EJEMPLO — Diligenciar con información real de la mesa</t>
  </si>
  <si>
    <t xml:space="preserve">  ① IDENTIFICACIÓN GENERAL DE LA MESA</t>
  </si>
  <si>
    <t>Cliente:</t>
  </si>
  <si>
    <t>Nombre de la Mesa:</t>
  </si>
  <si>
    <t>Cotizadores</t>
  </si>
  <si>
    <t>Líder / Coordinador:</t>
  </si>
  <si>
    <t>Fecha del Levantamiento:</t>
  </si>
  <si>
    <t>Ubicación / Modalidad:</t>
  </si>
  <si>
    <t>Virtual</t>
  </si>
  <si>
    <t>N° de Agentes (FTE) :</t>
  </si>
  <si>
    <t>Cantidad de personas en la Mesa de Servicio:</t>
  </si>
  <si>
    <t>Modelo de Contrato:</t>
  </si>
  <si>
    <t>Herramienta de Ticketing:</t>
  </si>
  <si>
    <t>Nivel Madurez Actual:</t>
  </si>
  <si>
    <t>(N0 Reactivo → N5 Innovador)</t>
  </si>
  <si>
    <t>En que otro Niveles tenemos presencia:</t>
  </si>
  <si>
    <t>En que paises tenemos presencia:</t>
  </si>
  <si>
    <t xml:space="preserve">Cual es el Negocio (que hago en el cliente): </t>
  </si>
  <si>
    <t>Tiempo de operación de la mesa de servicio:</t>
  </si>
  <si>
    <t>Para SURA: Cuales son los seguros que los cotizadores soportan (SOAT, vehiculo, todo riesgo):</t>
  </si>
  <si>
    <t xml:space="preserve">  ③ EVALUACIÓN DE PRÁCTICAS ITIL v4 — 4 DIMENSIONES</t>
  </si>
  <si>
    <t>PRÁCTICA</t>
  </si>
  <si>
    <t>¿Se cumple?</t>
  </si>
  <si>
    <t>Observaciones / Evidencia</t>
  </si>
  <si>
    <t>Responsable</t>
  </si>
  <si>
    <t>Prioridad Mejora</t>
  </si>
  <si>
    <t xml:space="preserve">  D1 — Organización y Personas</t>
  </si>
  <si>
    <t>1.1</t>
  </si>
  <si>
    <r>
      <rPr>
        <b/>
        <sz val="11"/>
        <color rgb="FF1A1A1A"/>
        <rFont val="Calibri Light"/>
      </rPr>
      <t>Gestión de la Fuerza Laboral:</t>
    </r>
    <r>
      <rPr>
        <sz val="11"/>
        <color rgb="FF1A1A1A"/>
        <rFont val="Calibri Light"/>
      </rPr>
      <t xml:space="preserve"> Headcount, perfiles, competencias</t>
    </r>
  </si>
  <si>
    <t>1.2</t>
  </si>
  <si>
    <r>
      <rPr>
        <b/>
        <sz val="11"/>
        <color rgb="FF1A1A1A"/>
        <rFont val="Calibri Light"/>
      </rPr>
      <t>Gestión del Conocimiento</t>
    </r>
    <r>
      <rPr>
        <sz val="11"/>
        <color rgb="FF1A1A1A"/>
        <rFont val="Calibri Light"/>
      </rPr>
      <t>: KB (Knowledge Base), documentación, onboarding</t>
    </r>
  </si>
  <si>
    <t>1.3</t>
  </si>
  <si>
    <r>
      <rPr>
        <b/>
        <sz val="11"/>
        <color rgb="FF1A1A1A"/>
        <rFont val="Calibri Light"/>
      </rPr>
      <t xml:space="preserve">Gestión del Talento: </t>
    </r>
    <r>
      <rPr>
        <sz val="11"/>
        <color rgb="FF1A1A1A"/>
        <rFont val="Calibri Light"/>
      </rPr>
      <t>Rotación, desarrollo, retención</t>
    </r>
  </si>
  <si>
    <t>1.4</t>
  </si>
  <si>
    <r>
      <rPr>
        <b/>
        <sz val="11"/>
        <color rgb="FF1A1A1A"/>
        <rFont val="Calibri Light"/>
      </rPr>
      <t xml:space="preserve">Gestión del Desempeño: </t>
    </r>
    <r>
      <rPr>
        <sz val="11"/>
        <color rgb="FF1A1A1A"/>
        <rFont val="Calibri Light"/>
      </rPr>
      <t>Metas individuales, feedback, KPIs de agente</t>
    </r>
  </si>
  <si>
    <t>1.5</t>
  </si>
  <si>
    <r>
      <rPr>
        <b/>
        <sz val="11"/>
        <color rgb="FF1A1A1A"/>
        <rFont val="Calibri Light"/>
      </rPr>
      <t xml:space="preserve">Cultura de Servicio: </t>
    </r>
    <r>
      <rPr>
        <sz val="11"/>
        <color rgb="FF1A1A1A"/>
        <rFont val="Calibri Light"/>
      </rPr>
      <t>Orientación al usuario, empatía, NPS (Net Promoter Score) interno</t>
    </r>
  </si>
  <si>
    <t xml:space="preserve">  D2 — Información y Tecnología</t>
  </si>
  <si>
    <t>2.1</t>
  </si>
  <si>
    <r>
      <rPr>
        <b/>
        <sz val="11"/>
        <color rgb="FF1A1A1A"/>
        <rFont val="Calibri Light"/>
      </rPr>
      <t>Gestión de Incidentes:</t>
    </r>
    <r>
      <rPr>
        <sz val="11"/>
        <color rgb="FF1A1A1A"/>
        <rFont val="Calibri Light"/>
      </rPr>
      <t xml:space="preserve"> Proceso, tiempos, escalamiento</t>
    </r>
  </si>
  <si>
    <t>2.2</t>
  </si>
  <si>
    <r>
      <rPr>
        <b/>
        <sz val="11"/>
        <color rgb="FF1A1A1A"/>
        <rFont val="Calibri Light"/>
      </rPr>
      <t xml:space="preserve">Gestión de Requerimientos: </t>
    </r>
    <r>
      <rPr>
        <sz val="11"/>
        <color rgb="FF1A1A1A"/>
        <rFont val="Calibri Light"/>
      </rPr>
      <t>Catálogo de servicios, flujos</t>
    </r>
  </si>
  <si>
    <t>2.3</t>
  </si>
  <si>
    <r>
      <rPr>
        <b/>
        <sz val="11"/>
        <color rgb="FF1A1A1A"/>
        <rFont val="Calibri Light"/>
      </rPr>
      <t>Gestión de Problemas</t>
    </r>
    <r>
      <rPr>
        <sz val="11"/>
        <color rgb="FF1A1A1A"/>
        <rFont val="Calibri Light"/>
      </rPr>
      <t>: RCA (Análisis de Causa Raíz
), errores conocidos, KEDB (Known Error Database)</t>
    </r>
  </si>
  <si>
    <t>2.4</t>
  </si>
  <si>
    <r>
      <rPr>
        <b/>
        <sz val="11"/>
        <color rgb="FF1A1A1A"/>
        <rFont val="Calibri Light"/>
      </rPr>
      <t xml:space="preserve">Gestión de Cambios: </t>
    </r>
    <r>
      <rPr>
        <sz val="11"/>
        <color rgb="FF1A1A1A"/>
        <rFont val="Calibri Light"/>
      </rPr>
      <t>CAB (Change Advisory Board), RFC (Solicitud de Cambio), ventanas de mantenimiento</t>
    </r>
  </si>
  <si>
    <t>2.5</t>
  </si>
  <si>
    <r>
      <rPr>
        <b/>
        <sz val="11"/>
        <color rgb="FF1A1A1A"/>
        <rFont val="Calibri Light"/>
      </rPr>
      <t>Gestión de la Configuración:</t>
    </r>
    <r>
      <rPr>
        <sz val="11"/>
        <color rgb="FF1A1A1A"/>
        <rFont val="Calibri Light"/>
      </rPr>
      <t xml:space="preserve"> CMDB (Configuration Management Database), assets, CIs (Elementos de Configuración)</t>
    </r>
  </si>
  <si>
    <t>2.6</t>
  </si>
  <si>
    <r>
      <rPr>
        <b/>
        <sz val="11"/>
        <color rgb="FF1A1A1A"/>
        <rFont val="Calibri Light"/>
      </rPr>
      <t xml:space="preserve">Monitoreo y Eventos: </t>
    </r>
    <r>
      <rPr>
        <sz val="11"/>
        <color rgb="FF1A1A1A"/>
        <rFont val="Calibri Light"/>
      </rPr>
      <t>Alertas, observabilidad, integración</t>
    </r>
  </si>
  <si>
    <t>2.7</t>
  </si>
  <si>
    <r>
      <rPr>
        <b/>
        <sz val="11"/>
        <color rgb="FF1A1A1A"/>
        <rFont val="Calibri Light"/>
      </rPr>
      <t xml:space="preserve">Mesa de Servicio (Service Desk): </t>
    </r>
    <r>
      <rPr>
        <sz val="11"/>
        <color rgb="FF1A1A1A"/>
        <rFont val="Calibri Light"/>
      </rPr>
      <t>Canal único, autoservicio, chatbot</t>
    </r>
  </si>
  <si>
    <t xml:space="preserve">  D3 — Socios y Proveedores</t>
  </si>
  <si>
    <t>3.1</t>
  </si>
  <si>
    <r>
      <rPr>
        <b/>
        <sz val="11"/>
        <color rgb="FF1A1A1A"/>
        <rFont val="Calibri Light"/>
      </rPr>
      <t xml:space="preserve">Gestión de Proveedores: </t>
    </r>
    <r>
      <rPr>
        <sz val="11"/>
        <color rgb="FF1A1A1A"/>
        <rFont val="Calibri Light"/>
      </rPr>
      <t>SLAs (Acuerdo de nivel de servicio) tercerizados, contratos, evaluación</t>
    </r>
  </si>
  <si>
    <t>3.2</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</si>
  <si>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</si>
  <si>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t>3.3</t>
  </si>
  <si>
    <r>
      <rPr>
        <b/>
        <sz val="11"/>
        <color rgb="FF1A1A1A"/>
        <rFont val="Calibri Light"/>
      </rPr>
      <t>Gestión de Capacidad y Disponibilidad:</t>
    </r>
    <r>
      <rPr>
        <sz val="11"/>
        <color rgb="FF1A1A1A"/>
        <rFont val="Calibri Light"/>
      </rPr>
      <t xml:space="preserve"> Picos, contingencia</t>
    </r>
  </si>
  <si>
    <t xml:space="preserve">  D4 — Flujos de Valor y Mejora</t>
  </si>
  <si>
    <t>4.1</t>
  </si>
  <si>
    <r>
      <rPr>
        <b/>
        <sz val="11"/>
        <color rgb="FF1A1A1A"/>
        <rFont val="Calibri Light"/>
      </rPr>
      <t>Mejora Continua:</t>
    </r>
    <r>
      <rPr>
        <sz val="11"/>
        <color rgb="FF1A1A1A"/>
        <rFont val="Calibri Light"/>
      </rPr>
      <t xml:space="preserve">  Ciclos PDCA (Planificar, Hacer, Comprobar y Actuar), retros, backlogs de mejora</t>
    </r>
  </si>
  <si>
    <t>4.2</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</si>
  <si>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</si>
  <si>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</si>
  <si>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</si>
  <si>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</si>
  <si>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</si>
  <si>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</si>
  <si>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</si>
  <si>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Fuente del Dato</t>
  </si>
  <si>
    <t>Comentario</t>
  </si>
  <si>
    <t>Cantidad de Tickets / mes (total)</t>
  </si>
  <si>
    <t>(Tendecia positiva o negativa)</t>
  </si>
  <si>
    <t>Cantidad de Incidentes / mes</t>
  </si>
  <si>
    <t>Cantidad de Requerimientos / mes</t>
  </si>
  <si>
    <t>Cantidad de Cambios / mes</t>
  </si>
  <si>
    <t>First Call Resolution (FCR %)</t>
  </si>
  <si>
    <t>Mean Time to Resolve (MTTR horas)</t>
  </si>
  <si>
    <t>0.55</t>
  </si>
  <si>
    <t>Backlog promedio (tickets abiertos)</t>
  </si>
  <si>
    <t>0.78</t>
  </si>
  <si>
    <t>Tickets resueltos por agente/mes</t>
  </si>
  <si>
    <t>Costo estimado por ticket (USD)</t>
  </si>
  <si>
    <t>Agentes FTE totales</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</si>
  <si>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</si>
  <si>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</si>
  <si>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</si>
  <si>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</si>
  <si>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</si>
  <si>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</si>
  <si>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</si>
  <si>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</si>
  <si>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</si>
  <si>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Aplicaciones de negocio</t>
  </si>
  <si>
    <t>Hardware / Equipos</t>
  </si>
  <si>
    <t>Correo / Office 365</t>
  </si>
  <si>
    <t>ERP / SAP</t>
  </si>
  <si>
    <t>Seguridad / Ciberseguridad</t>
  </si>
  <si>
    <t>Otra categoría</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</si>
  <si>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</si>
  <si>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</si>
  <si>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</si>
  <si>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</si>
  <si>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</si>
  <si>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</si>
  <si>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(D1–D18)</t>
  </si>
  <si>
    <t>¿Existe?</t>
  </si>
  <si>
    <t>Descripción / Evidencia</t>
  </si>
  <si>
    <t>Impacto (1-5)</t>
  </si>
  <si>
    <t>Criticidad</t>
  </si>
  <si>
    <t>Iniciativa sugerida</t>
  </si>
  <si>
    <t>D1</t>
  </si>
  <si>
    <r>
      <rPr>
        <b/>
        <sz val="11"/>
        <color rgb="FF000000"/>
        <rFont val="Calibri Light"/>
      </rPr>
      <t>Rotación excesiva de personal:</t>
    </r>
    <r>
      <rPr>
        <sz val="11"/>
        <color rgb="FF000000"/>
        <rFont val="Calibri Light"/>
      </rPr>
      <t xml:space="preserve"> pérdida de conocimiento</t>
    </r>
  </si>
  <si>
    <t>D2</t>
  </si>
  <si>
    <t>SLAs incumplidos / penalizaciones contractuales</t>
  </si>
  <si>
    <t>D3</t>
  </si>
  <si>
    <r>
      <rPr>
        <b/>
        <sz val="11"/>
        <color rgb="FF000000"/>
        <rFont val="Calibri Light"/>
      </rPr>
      <t>Ausencia de autoservicio:</t>
    </r>
    <r>
      <rPr>
        <sz val="11"/>
        <color rgb="FF000000"/>
        <rFont val="Calibri Light"/>
      </rPr>
      <t xml:space="preserve"> todo llega por call/correo</t>
    </r>
  </si>
  <si>
    <t>D4</t>
  </si>
  <si>
    <t>Herramientas fragmentadas / sin integración</t>
  </si>
  <si>
    <t>D5</t>
  </si>
  <si>
    <t>Baja satisfacción del usuario (NPS &lt; 30)</t>
  </si>
  <si>
    <t>D6</t>
  </si>
  <si>
    <t>Escalamientos excesivos a N2/N3</t>
  </si>
  <si>
    <t>D7</t>
  </si>
  <si>
    <t>Alta carga de tareas repetitivas</t>
  </si>
  <si>
    <t>D8</t>
  </si>
  <si>
    <r>
      <rPr>
        <b/>
        <sz val="11"/>
        <color rgb="FF000000"/>
        <rFont val="Calibri Light"/>
      </rPr>
      <t xml:space="preserve">Reportes manuales: </t>
    </r>
    <r>
      <rPr>
        <sz val="11"/>
        <color rgb="FF000000"/>
        <rFont val="Calibri Light"/>
      </rPr>
      <t>no hay visibilidad ejecutiva en tiempo real</t>
    </r>
  </si>
  <si>
    <t>D9</t>
  </si>
  <si>
    <r>
      <rPr>
        <b/>
        <sz val="11"/>
        <color rgb="FF000000"/>
        <rFont val="Calibri Light"/>
      </rPr>
      <t>Expansión del alcance no controlado:</t>
    </r>
    <r>
      <rPr>
        <sz val="11"/>
        <color rgb="FF000000"/>
        <rFont val="Calibri Light"/>
      </rPr>
      <t xml:space="preserve"> solicitudes fuera del alcance de la mesa de servicio (no delimitado)</t>
    </r>
  </si>
  <si>
    <t>D10</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</si>
  <si>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</si>
  <si>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D11</t>
  </si>
  <si>
    <t>Postura 100% reactiva</t>
  </si>
  <si>
    <t>D12</t>
  </si>
  <si>
    <t>Falta de gobierno claro</t>
  </si>
  <si>
    <t>D13</t>
  </si>
  <si>
    <t>No hay roles definidos claros</t>
  </si>
  <si>
    <t>D14</t>
  </si>
  <si>
    <t>Penalización de la eficiencia</t>
  </si>
  <si>
    <t>D15</t>
  </si>
  <si>
    <t>Catalogo desactualizado</t>
  </si>
  <si>
    <t>D16</t>
  </si>
  <si>
    <t>Brechas de lo vendido vs lo ejecutado</t>
  </si>
  <si>
    <t>D17</t>
  </si>
  <si>
    <t>Ausencia y desalineación de metricas</t>
  </si>
  <si>
    <t>D18</t>
  </si>
  <si>
    <t>Reskilling - Upskilling constante del staff</t>
  </si>
  <si>
    <t xml:space="preserve">  ⑦ ROTACIÓN Y TALENTO</t>
  </si>
  <si>
    <t>ASPECTO</t>
  </si>
  <si>
    <t>Detalle / Valor</t>
  </si>
  <si>
    <t>Tasa de rotación anual (%):</t>
  </si>
  <si>
    <t>Perfiles más críticos / difíciles de reemplazar:</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</si>
  <si>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</si>
  <si>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</si>
  <si>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</si>
  <si>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</si>
  <si>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</si>
  <si>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</si>
  <si>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</si>
  <si>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</si>
  <si>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</si>
  <si>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</si>
  <si>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</si>
  <si>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</si>
  <si>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</si>
  <si>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</si>
  <si>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</si>
  <si>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</si>
  <si>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</si>
  <si>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</si>
  <si>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</si>
  <si>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</si>
  <si>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</si>
  <si>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 xml:space="preserve">  ⑨ MODELO ECONÓMICO ACTUAL</t>
  </si>
  <si>
    <t>ASPECTO ECONÓMICO</t>
  </si>
  <si>
    <t>Valor / Descripción</t>
  </si>
  <si>
    <t>Modelo de facturación actual:</t>
  </si>
  <si>
    <t>Costo total mensual del servicio (USD / COP):</t>
  </si>
  <si>
    <t>Costo por FTE/mes:</t>
  </si>
  <si>
    <t>Costo estimado por ticket:</t>
  </si>
  <si>
    <t>Cláusulas de penalización por SLA:</t>
  </si>
  <si>
    <t>Fecha de vencimiento del contrato:</t>
  </si>
  <si>
    <t>Oportunidades de optimización de costo:</t>
  </si>
  <si>
    <t xml:space="preserve">  ⑩ VISIÓN PARA EL NUEVO SERVICIO — ¿QUÉ DEBERÍA CAMBIAR?  ¿EL CLIENTE QUE LES PIDE?</t>
  </si>
  <si>
    <t>PREGUNTA DE CIERRE</t>
  </si>
  <si>
    <t>Respuesta / Notas</t>
  </si>
  <si>
    <t>¿Qué funciona bien y se debe conservar?:</t>
  </si>
  <si>
    <t>¿Qué es lo que más frustra al usuario hoy?:</t>
  </si>
  <si>
    <t>¿Qué cambiaría el cliente si pudiera mañana?:</t>
  </si>
  <si>
    <t>Capacidades que quisieran tener (top 3):</t>
  </si>
  <si>
    <t>Riesgo de churn / señales de alerta:</t>
  </si>
  <si>
    <t>¿Existe interés en IA / automatización?:</t>
  </si>
  <si>
    <t>Expectativa del cliente para una Mesa de Service de Nueva Generación:</t>
  </si>
  <si>
    <t>Prospectiva: Hacia donde el cliente quiere/puede llevar el servicio</t>
  </si>
  <si>
    <t>Proveedores mas especializados en el negocio, tecnologia, o ambas. Integralidad</t>
  </si>
  <si>
    <t>Oportunidades para servicios actuales o nuevos servicos:</t>
  </si>
  <si>
    <t xml:space="preserve">  ⑪ CASOS DE ÉXITO — RESULTADOS Y VALOR GENERADO</t>
  </si>
  <si>
    <t>Tipo</t>
  </si>
  <si>
    <t>Qué levantar</t>
  </si>
  <si>
    <t>Ejemplo</t>
  </si>
  <si>
    <t>Fecha del caso</t>
  </si>
  <si>
    <t>Servicio / Mesa evaluada</t>
  </si>
  <si>
    <t>Costos</t>
  </si>
  <si>
    <t>Ahorro, reducción de gasto, eficiencia FTE</t>
  </si>
  <si>
    <t>% ahorro / COP / horas</t>
  </si>
  <si>
    <t>Nombre del caso de éxito</t>
  </si>
  <si>
    <t>Optimización</t>
  </si>
  <si>
    <t>Menos reprocesos, mejor uso de capacidad</t>
  </si>
  <si>
    <t>Tickets por agente</t>
  </si>
  <si>
    <t>Desafío / dolor inicial</t>
  </si>
  <si>
    <t>Mejora</t>
  </si>
  <si>
    <t>Calidad, SLA, FCR, NPS, experiencia</t>
  </si>
  <si>
    <t>SLA 89% → 95%</t>
  </si>
  <si>
    <t>Contexto de negocio y operación</t>
  </si>
  <si>
    <t>Trazabilidad</t>
  </si>
  <si>
    <t>Reportes, tableros, auditoría, seguimiento</t>
  </si>
  <si>
    <t>Dashboard semanal</t>
  </si>
  <si>
    <t>¿Qué hicimos en PersonalSoft?</t>
  </si>
  <si>
    <t>Que podriamos destacar</t>
  </si>
  <si>
    <t>Automatización</t>
  </si>
  <si>
    <t>Flujos, bots, autoservicio, integraciones</t>
  </si>
  <si>
    <t>% tickets automatizados</t>
  </si>
  <si>
    <t>Solución implementada / acciones clave</t>
  </si>
  <si>
    <t>Aceleración</t>
  </si>
  <si>
    <t>Reducción de tiempos de atención/ciclo</t>
  </si>
  <si>
    <t>TMO / MTTR</t>
  </si>
  <si>
    <t>Resultados en costos</t>
  </si>
  <si>
    <t>Resultados en optimización</t>
  </si>
  <si>
    <t>Resultados en mejora del servicio</t>
  </si>
  <si>
    <t>Reducción</t>
  </si>
  <si>
    <t>Backlog, escalados, errores, contactos repetidos</t>
  </si>
  <si>
    <t>-30% backlog</t>
  </si>
  <si>
    <t>Trazabilidad / visibilidad lograda</t>
  </si>
  <si>
    <t>Automatización implementada</t>
  </si>
  <si>
    <t>Aceleración / reducción de tiempos</t>
  </si>
  <si>
    <t>Evidencia</t>
  </si>
  <si>
    <t>Fuente que soporte el resultado</t>
  </si>
  <si>
    <t>Informe, KPI, acta, tablero</t>
  </si>
  <si>
    <t>Indicadores antes</t>
  </si>
  <si>
    <t>Indicadores después</t>
  </si>
  <si>
    <t>Evidencia / fuente</t>
  </si>
  <si>
    <t>Beneficios para el cliente</t>
  </si>
  <si>
    <t>Aprendizajes y buenas prácticas reutilizables</t>
  </si>
  <si>
    <t>Oportunidades para escalar al modelo de Mesa de Servicio de Nueva Generación</t>
  </si>
  <si>
    <t>LEVANTAMIENTO DE MESA DE SERVICIOS — SURA VENTA DIGITAL</t>
  </si>
  <si>
    <t>Venta Digital</t>
  </si>
  <si>
    <t>ERP (Enterprise resource planning) / SAP (System Applications and Products in Data Processing)</t>
  </si>
  <si>
    <t xml:space="preserve">  ⑤ EXPERIENCIA DEL USUARIO — XLA (Acuerdos de Nivel de Experiencia) / DEX (Experiencia Digital del Empleado)</t>
  </si>
  <si>
    <t xml:space="preserve">  ⑥ DOLORES CRÍTICOS DE LA MESA (D1–D7)</t>
  </si>
  <si>
    <t>Falta de visibilidad en tiempo real (sin dashboard)</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</si>
  <si>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</si>
  <si>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Brechas en la venta del servicio desde comercial. Volumetria del servicio</t>
  </si>
  <si>
    <t xml:space="preserve">  ⑩ VISIÓN PARA EL NUEVO SERVICIO — ¿QUÉ DEBERÍA CAMBIAR?</t>
  </si>
  <si>
    <t>LEVANTAMIENTO DE MESA DE SERVICIOS — SURA TORRE CONTROL</t>
  </si>
  <si>
    <t>Torre de Control</t>
  </si>
  <si>
    <t>LEVANTAMIENTO DE MESA DE SERVICIOS — SURA MESA 4</t>
  </si>
  <si>
    <t>LEVANTAMIENTO DE MESA DE SERVICIOS — BANCOLOMBIA GIOTI 1</t>
  </si>
  <si>
    <t>GIOTI 1</t>
  </si>
  <si>
    <t>LEVANTAMIENTO DE MESA DE SERVICIOS — BANCOLOMBIA GIOTI 2</t>
  </si>
  <si>
    <t>GIOTI 2</t>
  </si>
  <si>
    <t>LEVANTAMIENTO DE MESA DE SERVICIOS — BANCOLOMBIA GIOTI 3</t>
  </si>
  <si>
    <t>GIOTI 3</t>
  </si>
  <si>
    <t>LEVANTAMIENTO DE MESA DE SERVICIOS — BANCOLOMBIA GIOTI 4</t>
  </si>
  <si>
    <t>GIOTI 4</t>
  </si>
  <si>
    <t>LEVANTAMIENTO DE MESA DE SERVICIOS — AES</t>
  </si>
  <si>
    <t>Michael Arevalo Luna</t>
  </si>
  <si>
    <t>LEVANTAMIENTO DE MESA DE SERVICIOS — XM</t>
  </si>
  <si>
    <t>Diego Fernando Serna Restrepo</t>
  </si>
  <si>
    <t>LEVANTAMIENTO DE MESA DE SERVICIOS — MEDICARTE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</si>
</sst>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1">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b/>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
      <b/>
      <sz val="10"/>
      <color theme="1"/>
      <name val="Calibri"/>
      <scheme val="minor"/>
    </font>
    <font>
      <sz val="9"/>
      <color theme="1"/>
      <name val="Aptos"/>
    </font>
    <font>
      <b/>
      <sz val="9"/>
      <color rgb="FFFFFFFF"/>
      <name val="Aptos"/>
    </font>
    <font>
      <b/>
      <sz val="11"/>
      <color rgb="FFFFFFFF"/>
      <name val="Calibri"/>
      <family val="2"/>
      <charset val="1"/>
    </font>
    <font>
      <b/>
      <sz val="11"/>
      <color rgb="FFFFFFFF"/>
      <name val="Calibri"/>
      <scheme val="minor"/>
    </font>
  </fonts>
  <fills count="24">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s>
  <cellStyleXfs count="2">
    <xf numFmtId="0" fontId="0" fillId="0" borderId="0"/>
    <xf numFmtId="0" fontId="3" fillId="0" borderId="0"/>
  </cellStyleXfs>
  <cellXfs count="240">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164" fontId="41" fillId="0" borderId="0" xfId="0" applyNumberFormat="1" applyFont="1"/>
    <xf numFmtId="165" fontId="41" fillId="0" borderId="0" xfId="0" applyNumberFormat="1" applyFont="1"/>
    <xf numFmtId="0" fontId="34" fillId="15" borderId="0" xfId="0" applyFont="1" applyFill="1"/>
    <xf numFmtId="164" fontId="34" fillId="15" borderId="0" xfId="0" applyNumberFormat="1" applyFont="1" applyFill="1"/>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34" fillId="16" borderId="0" xfId="0" applyFont="1" applyFill="1"/>
    <xf numFmtId="0" fontId="14" fillId="6" borderId="43" xfId="0" applyFont="1" applyFill="1" applyBorder="1" applyAlignment="1">
      <alignment horizontal="center" vertical="center"/>
    </xf>
    <xf numFmtId="0" fontId="8" fillId="0" borderId="43" xfId="0" applyFont="1" applyBorder="1" applyAlignment="1">
      <alignment horizontal="left"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8" fillId="0" borderId="42" xfId="0" applyFont="1" applyBorder="1" applyAlignment="1">
      <alignment horizontal="left"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8" fillId="0" borderId="45" xfId="0" applyFont="1" applyBorder="1" applyAlignment="1">
      <alignment horizontal="left" vertical="center"/>
    </xf>
    <xf numFmtId="0" fontId="9" fillId="0" borderId="46" xfId="0" applyFont="1" applyBorder="1" applyAlignment="1">
      <alignment horizontal="left" vertical="center" wrapText="1"/>
    </xf>
    <xf numFmtId="0" fontId="9" fillId="0" borderId="0" xfId="0" applyFont="1" applyAlignment="1">
      <alignment horizontal="left" vertical="center" wrapText="1"/>
    </xf>
    <xf numFmtId="0" fontId="8" fillId="22" borderId="1" xfId="0" applyFont="1" applyFill="1" applyBorder="1" applyAlignment="1">
      <alignment horizontal="righ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3" fillId="0" borderId="0" xfId="0" applyFont="1" applyAlignment="1">
      <alignment wrapText="1"/>
    </xf>
    <xf numFmtId="0" fontId="53" fillId="0" borderId="41" xfId="0" applyFont="1" applyBorder="1" applyAlignment="1">
      <alignment wrapText="1"/>
    </xf>
    <xf numFmtId="0" fontId="53" fillId="21" borderId="41" xfId="0" applyFont="1" applyFill="1" applyBorder="1" applyAlignment="1">
      <alignment wrapText="1"/>
    </xf>
    <xf numFmtId="164" fontId="53" fillId="21" borderId="41" xfId="0" applyNumberFormat="1" applyFont="1" applyFill="1" applyBorder="1" applyAlignment="1">
      <alignment wrapText="1"/>
    </xf>
    <xf numFmtId="1" fontId="53" fillId="21" borderId="41" xfId="0" applyNumberFormat="1" applyFont="1" applyFill="1" applyBorder="1" applyAlignment="1">
      <alignment wrapText="1"/>
    </xf>
    <xf numFmtId="0" fontId="53" fillId="20" borderId="41" xfId="0" applyFont="1" applyFill="1" applyBorder="1" applyAlignment="1">
      <alignment wrapText="1"/>
    </xf>
    <xf numFmtId="164" fontId="53" fillId="0" borderId="41" xfId="0" applyNumberFormat="1" applyFont="1" applyBorder="1" applyAlignment="1">
      <alignment wrapText="1"/>
    </xf>
    <xf numFmtId="0" fontId="30" fillId="0" borderId="1" xfId="0" applyFont="1" applyBorder="1" applyAlignment="1">
      <alignment horizontal="left" vertical="center" wrapText="1"/>
    </xf>
    <xf numFmtId="0" fontId="54" fillId="4" borderId="1" xfId="0" applyFont="1" applyFill="1" applyBorder="1" applyAlignment="1">
      <alignment horizontal="center" vertical="center"/>
    </xf>
    <xf numFmtId="0" fontId="8" fillId="0" borderId="1" xfId="0" applyFont="1" applyBorder="1" applyAlignment="1">
      <alignment horizontal="left" vertical="center" wrapText="1"/>
    </xf>
    <xf numFmtId="0" fontId="8" fillId="0" borderId="0" xfId="0" applyFont="1" applyAlignment="1">
      <alignment horizontal="left" vertical="center" wrapText="1"/>
    </xf>
    <xf numFmtId="0" fontId="35" fillId="17" borderId="41" xfId="0" applyFont="1" applyFill="1" applyBorder="1" applyAlignment="1">
      <alignment wrapText="1"/>
    </xf>
    <xf numFmtId="0" fontId="56" fillId="0" borderId="41" xfId="0" applyFont="1" applyBorder="1" applyAlignment="1">
      <alignment wrapText="1"/>
    </xf>
    <xf numFmtId="0" fontId="35" fillId="15" borderId="0" xfId="0" applyFont="1" applyFill="1" applyAlignment="1">
      <alignment wrapText="1"/>
    </xf>
    <xf numFmtId="0" fontId="50" fillId="0" borderId="23" xfId="0" applyFont="1" applyBorder="1" applyAlignment="1">
      <alignment horizontal="center"/>
    </xf>
    <xf numFmtId="0" fontId="50" fillId="0" borderId="25" xfId="0" applyFont="1" applyBorder="1" applyAlignment="1">
      <alignment horizontal="center" wrapText="1"/>
    </xf>
    <xf numFmtId="0" fontId="49" fillId="0" borderId="19" xfId="0" applyFont="1" applyBorder="1" applyAlignment="1">
      <alignment horizontal="center" vertical="center"/>
    </xf>
    <xf numFmtId="0" fontId="49" fillId="0" borderId="25" xfId="0" applyFont="1" applyBorder="1" applyAlignment="1">
      <alignment horizontal="center" vertical="center"/>
    </xf>
    <xf numFmtId="0" fontId="49" fillId="0" borderId="20" xfId="0" applyFont="1" applyBorder="1" applyAlignment="1">
      <alignment horizontal="center" vertical="center"/>
    </xf>
    <xf numFmtId="0" fontId="52" fillId="0" borderId="21" xfId="0" applyFont="1" applyBorder="1" applyAlignment="1">
      <alignment horizontal="center"/>
    </xf>
    <xf numFmtId="0" fontId="52" fillId="0" borderId="0" xfId="0" applyFont="1" applyAlignment="1">
      <alignment horizontal="center"/>
    </xf>
    <xf numFmtId="0" fontId="52" fillId="0" borderId="22" xfId="0" applyFont="1" applyBorder="1" applyAlignment="1">
      <alignment horizontal="center"/>
    </xf>
    <xf numFmtId="0" fontId="35" fillId="15" borderId="0" xfId="0" applyFont="1" applyFill="1" applyAlignment="1">
      <alignment wrapText="1"/>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0" fontId="12" fillId="14" borderId="3" xfId="1" applyFont="1" applyFill="1" applyBorder="1" applyAlignment="1">
      <alignment horizontal="center" vertical="center"/>
    </xf>
    <xf numFmtId="14" fontId="13" fillId="0" borderId="3" xfId="1" applyNumberFormat="1" applyFont="1" applyBorder="1" applyAlignment="1">
      <alignment horizontal="left"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4" fillId="0" borderId="30" xfId="0" applyFont="1" applyBorder="1" applyAlignment="1">
      <alignment horizontal="center"/>
    </xf>
    <xf numFmtId="0" fontId="4" fillId="0" borderId="31" xfId="0" applyFont="1" applyBorder="1" applyAlignment="1">
      <alignment horizontal="center"/>
    </xf>
    <xf numFmtId="0" fontId="4" fillId="0" borderId="18" xfId="0" applyFont="1" applyBorder="1" applyAlignment="1">
      <alignment horizontal="center"/>
    </xf>
    <xf numFmtId="0" fontId="4" fillId="0" borderId="0" xfId="0" applyFont="1" applyAlignment="1">
      <alignment horizontal="center"/>
    </xf>
    <xf numFmtId="0" fontId="4" fillId="0" borderId="34" xfId="0" applyFont="1" applyBorder="1" applyAlignment="1">
      <alignment horizontal="center"/>
    </xf>
    <xf numFmtId="0" fontId="4" fillId="0" borderId="35" xfId="0" applyFont="1" applyBorder="1" applyAlignment="1">
      <alignment horizontal="center"/>
    </xf>
    <xf numFmtId="0" fontId="30" fillId="0" borderId="31" xfId="0" applyFont="1" applyBorder="1" applyAlignment="1">
      <alignment horizontal="center" wrapText="1"/>
    </xf>
    <xf numFmtId="0" fontId="4" fillId="0" borderId="32" xfId="0" applyFont="1" applyBorder="1" applyAlignment="1">
      <alignment horizontal="center"/>
    </xf>
    <xf numFmtId="0" fontId="4" fillId="0" borderId="33" xfId="0" applyFont="1" applyBorder="1" applyAlignment="1">
      <alignment horizontal="center"/>
    </xf>
    <xf numFmtId="0" fontId="4" fillId="0" borderId="36" xfId="0" applyFont="1" applyBorder="1" applyAlignment="1">
      <alignment horizontal="center"/>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xf>
    <xf numFmtId="0" fontId="28" fillId="0" borderId="0" xfId="0" applyFont="1" applyAlignment="1">
      <alignment horizontal="center"/>
    </xf>
    <xf numFmtId="0" fontId="28" fillId="0" borderId="33" xfId="0" applyFont="1" applyBorder="1" applyAlignment="1">
      <alignment horizontal="center"/>
    </xf>
    <xf numFmtId="0" fontId="30" fillId="0" borderId="34" xfId="0" applyFont="1" applyBorder="1" applyAlignment="1">
      <alignment horizontal="center"/>
    </xf>
    <xf numFmtId="0" fontId="27" fillId="0" borderId="2" xfId="0" applyFont="1" applyBorder="1" applyAlignment="1">
      <alignment horizontal="left" vertical="center"/>
    </xf>
    <xf numFmtId="0" fontId="9" fillId="0" borderId="2" xfId="0" applyFont="1" applyBorder="1" applyAlignment="1">
      <alignment horizontal="left" vertical="center" wrapText="1"/>
    </xf>
    <xf numFmtId="0" fontId="44" fillId="18" borderId="41" xfId="0" applyFont="1" applyFill="1" applyBorder="1" applyAlignment="1">
      <alignment vertical="top" wrapText="1"/>
    </xf>
    <xf numFmtId="0" fontId="42" fillId="15" borderId="2" xfId="0" applyFont="1" applyFill="1" applyBorder="1" applyAlignment="1">
      <alignment horizontal="left" vertical="center"/>
    </xf>
    <xf numFmtId="0" fontId="55" fillId="18" borderId="2" xfId="0" applyFont="1" applyFill="1" applyBorder="1" applyAlignment="1">
      <alignment horizontal="left" vertical="center" wrapText="1"/>
    </xf>
    <xf numFmtId="0" fontId="55" fillId="18" borderId="37" xfId="0" applyFont="1" applyFill="1" applyBorder="1" applyAlignment="1">
      <alignment horizontal="left" vertical="center" wrapText="1"/>
    </xf>
    <xf numFmtId="0" fontId="11" fillId="15" borderId="2" xfId="0" applyFont="1" applyFill="1" applyBorder="1" applyAlignment="1">
      <alignment horizontal="left" vertical="center"/>
    </xf>
    <xf numFmtId="0" fontId="11" fillId="9" borderId="2" xfId="0" applyFont="1" applyFill="1" applyBorder="1" applyAlignment="1">
      <alignment horizontal="left" vertical="center"/>
    </xf>
    <xf numFmtId="0" fontId="11" fillId="2" borderId="2" xfId="0" applyFont="1" applyFill="1" applyBorder="1" applyAlignment="1">
      <alignment horizontal="left" vertical="center"/>
    </xf>
    <xf numFmtId="0" fontId="28" fillId="23" borderId="37" xfId="0" applyFont="1" applyFill="1" applyBorder="1" applyAlignment="1">
      <alignment horizontal="left" wrapText="1"/>
    </xf>
    <xf numFmtId="0" fontId="9" fillId="0" borderId="2" xfId="0" applyFont="1" applyBorder="1" applyAlignment="1">
      <alignment horizontal="left" vertical="center"/>
    </xf>
    <xf numFmtId="0" fontId="9" fillId="22" borderId="2" xfId="0" applyFont="1" applyFill="1" applyBorder="1" applyAlignment="1">
      <alignment horizontal="left" vertical="center"/>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31" fillId="15" borderId="0" xfId="0" applyFont="1" applyFill="1" applyAlignment="1">
      <alignment horizontal="center" vertical="center"/>
    </xf>
    <xf numFmtId="0" fontId="22" fillId="0" borderId="0" xfId="0" applyFont="1" applyAlignment="1">
      <alignment horizontal="center" vertical="center"/>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21" fillId="15" borderId="0" xfId="0" applyFont="1" applyFill="1" applyAlignment="1">
      <alignment horizontal="center" vertical="center"/>
    </xf>
    <xf numFmtId="0" fontId="11" fillId="15" borderId="37" xfId="0" applyFont="1" applyFill="1" applyBorder="1" applyAlignment="1">
      <alignment horizontal="left" vertical="center"/>
    </xf>
    <xf numFmtId="0" fontId="57" fillId="0" borderId="0" xfId="0" applyFont="1"/>
    <xf numFmtId="0" fontId="58" fillId="16" borderId="0" xfId="0" applyFont="1" applyFill="1"/>
    <xf numFmtId="164" fontId="57" fillId="0" borderId="0" xfId="0" applyNumberFormat="1" applyFont="1"/>
    <xf numFmtId="165" fontId="57" fillId="0" borderId="0" xfId="0" applyNumberFormat="1" applyFont="1"/>
    <xf numFmtId="0" fontId="59" fillId="17" borderId="0" xfId="0" applyFont="1" applyFill="1" applyAlignment="1">
      <alignment horizontal="center"/>
    </xf>
    <xf numFmtId="0" fontId="59" fillId="17" borderId="0" xfId="0" applyFont="1" applyFill="1" applyAlignment="1">
      <alignment horizontal="center" wrapText="1"/>
    </xf>
    <xf numFmtId="0" fontId="0" fillId="0" borderId="3" xfId="0" applyBorder="1" applyAlignment="1">
      <alignment horizontal="center"/>
    </xf>
    <xf numFmtId="165" fontId="0" fillId="0" borderId="3" xfId="0" applyNumberFormat="1" applyBorder="1"/>
    <xf numFmtId="0" fontId="0" fillId="0" borderId="3" xfId="0" applyBorder="1" applyAlignment="1">
      <alignment wrapText="1"/>
    </xf>
    <xf numFmtId="0" fontId="60" fillId="16" borderId="0" xfId="0" applyFont="1" applyFill="1" applyAlignment="1">
      <alignment horizontal="left" wrapText="1"/>
    </xf>
    <xf numFmtId="0" fontId="1" fillId="0" borderId="19" xfId="0" applyFont="1" applyBorder="1" applyAlignment="1">
      <alignment horizontal="center"/>
    </xf>
    <xf numFmtId="0" fontId="1" fillId="0" borderId="20" xfId="0" applyFont="1" applyBorder="1" applyAlignment="1">
      <alignment horizontal="center"/>
    </xf>
    <xf numFmtId="0" fontId="1" fillId="0" borderId="0" xfId="0" applyFont="1"/>
    <xf numFmtId="0" fontId="1" fillId="0" borderId="21" xfId="0" applyFont="1" applyBorder="1" applyAlignment="1">
      <alignment horizontal="center"/>
    </xf>
    <xf numFmtId="0" fontId="1" fillId="0" borderId="0" xfId="0" applyFont="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8" xfId="0" applyFont="1" applyBorder="1" applyAlignment="1">
      <alignment horizontal="center"/>
    </xf>
    <xf numFmtId="0" fontId="1" fillId="0" borderId="24" xfId="0" applyFont="1" applyBorder="1" applyAlignment="1">
      <alignment horizontal="center"/>
    </xf>
    <xf numFmtId="0" fontId="59" fillId="16" borderId="0" xfId="0" applyFont="1" applyFill="1" applyAlignment="1"/>
    <xf numFmtId="0" fontId="48" fillId="16" borderId="0" xfId="0" applyFont="1" applyFill="1" applyAlignment="1"/>
  </cellXfs>
  <cellStyles count="2">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796C-47D2-9040-6D5917D29361}"/>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796C-47D2-9040-6D5917D29361}"/>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ChartData!$U$17:$U$27</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0-24BA-43FE-84B7-FE6113553873}"/>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0</c:v>
                </c:pt>
                <c:pt idx="9">
                  <c:v>0</c:v>
                </c:pt>
                <c:pt idx="10">
                  <c:v>0</c:v>
                </c:pt>
              </c:numCache>
            </c:numRef>
          </c:val>
          <c:extLst>
            <c:ext xmlns:c16="http://schemas.microsoft.com/office/drawing/2014/chart" uri="{C3380CC4-5D6E-409C-BE32-E72D297353CC}">
              <c16:uniqueId val="{00000000-67E8-4C59-86C5-C8CE149D6C5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0276-451F-A8D8-219725BA761B}"/>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0276-451F-A8D8-219725BA761B}"/>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0.67999999999999983</c:v>
                </c:pt>
                <c:pt idx="1">
                  <c:v>0.89000000000000012</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0276-451F-A8D8-219725BA761B}"/>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Cobertura promedio por dimensión / bloque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ChartData!$BL$2</c:f>
              <c:strCache>
                <c:ptCount val="1"/>
                <c:pt idx="0">
                  <c:v>Promedio</c:v>
                </c:pt>
              </c:strCache>
            </c:strRef>
          </c:tx>
          <c:spPr>
            <a:solidFill>
              <a:schemeClr val="accent1"/>
            </a:solidFill>
            <a:ln>
              <a:noFill/>
            </a:ln>
            <a:effectLst/>
          </c:spPr>
          <c:invertIfNegative val="0"/>
          <c:cat>
            <c:strRef>
              <c:f>ChartData!$BK$3:$BK$14</c:f>
              <c:strCache>
                <c:ptCount val="12"/>
                <c:pt idx="0">
                  <c:v>① Identificación general</c:v>
                </c:pt>
                <c:pt idx="1">
                  <c:v>② Madurez (normalizada)</c:v>
                </c:pt>
                <c:pt idx="2">
                  <c:v>③ ITIL</c:v>
                </c:pt>
                <c:pt idx="3">
                  <c:v>④ KPIs FCR/SLA</c:v>
                </c:pt>
                <c:pt idx="4">
                  <c:v>④b Incidentes categorizados</c:v>
                </c:pt>
                <c:pt idx="5">
                  <c:v>⑤ XLA/DEX NPS</c:v>
                </c:pt>
                <c:pt idx="6">
                  <c:v>⑥ Dolores activos</c:v>
                </c:pt>
                <c:pt idx="7">
                  <c:v>⑦ Talento</c:v>
                </c:pt>
                <c:pt idx="8">
                  <c:v>⑧ Tecnología</c:v>
                </c:pt>
                <c:pt idx="9">
                  <c:v>⑨ Económico</c:v>
                </c:pt>
                <c:pt idx="10">
                  <c:v>⑩ Visión</c:v>
                </c:pt>
                <c:pt idx="11">
                  <c:v>⑪ Casos éxito</c:v>
                </c:pt>
              </c:strCache>
            </c:strRef>
          </c:cat>
          <c:val>
            <c:numRef>
              <c:f>ChartData!$BL$3:$BL$14</c:f>
              <c:numCache>
                <c:formatCode>0.0%</c:formatCode>
                <c:ptCount val="12"/>
                <c:pt idx="0">
                  <c:v>0.39393939393939392</c:v>
                </c:pt>
                <c:pt idx="1">
                  <c:v>0.2</c:v>
                </c:pt>
                <c:pt idx="2">
                  <c:v>0.13101604278074866</c:v>
                </c:pt>
                <c:pt idx="3">
                  <c:v>0.78500000000000014</c:v>
                </c:pt>
                <c:pt idx="4">
                  <c:v>0</c:v>
                </c:pt>
                <c:pt idx="5">
                  <c:v>0</c:v>
                </c:pt>
                <c:pt idx="6">
                  <c:v>0.20779220779220781</c:v>
                </c:pt>
                <c:pt idx="7">
                  <c:v>0</c:v>
                </c:pt>
                <c:pt idx="8">
                  <c:v>0</c:v>
                </c:pt>
                <c:pt idx="9">
                  <c:v>0</c:v>
                </c:pt>
                <c:pt idx="10">
                  <c:v>0.11111111111111115</c:v>
                </c:pt>
                <c:pt idx="11">
                  <c:v>0.35000000000000003</c:v>
                </c:pt>
              </c:numCache>
            </c:numRef>
          </c:val>
          <c:extLst>
            <c:ext xmlns:c16="http://schemas.microsoft.com/office/drawing/2014/chart" uri="{C3380CC4-5D6E-409C-BE32-E72D297353CC}">
              <c16:uniqueId val="{00000000-F634-4EEE-896A-57F800FE98A2}"/>
            </c:ext>
          </c:extLst>
        </c:ser>
        <c:dLbls>
          <c:showLegendKey val="0"/>
          <c:showVal val="0"/>
          <c:showCatName val="0"/>
          <c:showSerName val="0"/>
          <c:showPercent val="0"/>
          <c:showBubbleSize val="0"/>
        </c:dLbls>
        <c:gapWidth val="182"/>
        <c:axId val="1191789576"/>
        <c:axId val="1191791624"/>
      </c:barChart>
      <c:catAx>
        <c:axId val="1191789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Dimensión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91624"/>
        <c:crosses val="autoZero"/>
        <c:auto val="1"/>
        <c:lblAlgn val="ctr"/>
        <c:lblOffset val="100"/>
        <c:noMultiLvlLbl val="0"/>
      </c:catAx>
      <c:valAx>
        <c:axId val="1191791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 índice normalizado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89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① Identificación general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ChartData!$Y$2</c:f>
              <c:strCache>
                <c:ptCount val="1"/>
                <c:pt idx="0">
                  <c:v>Completitud</c:v>
                </c:pt>
              </c:strCache>
            </c:strRef>
          </c:tx>
          <c:spPr>
            <a:solidFill>
              <a:schemeClr val="accent1"/>
            </a:solidFill>
            <a:ln>
              <a:noFill/>
            </a:ln>
            <a:effectLst/>
          </c:spPr>
          <c:invertIfNegative val="0"/>
          <c:cat>
            <c:strRef>
              <c:f>ChartData!$X$3:$X$13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ChartData!$Y$3:$Y$13</c:f>
              <c:numCache>
                <c:formatCode>0.0%</c:formatCode>
                <c:ptCount val="11"/>
                <c:pt idx="0">
                  <c:v>0.4</c:v>
                </c:pt>
                <c:pt idx="1">
                  <c:v>0.4</c:v>
                </c:pt>
                <c:pt idx="2">
                  <c:v>0.4</c:v>
                </c:pt>
                <c:pt idx="3">
                  <c:v>0.4</c:v>
                </c:pt>
                <c:pt idx="4">
                  <c:v>0.4</c:v>
                </c:pt>
                <c:pt idx="5">
                  <c:v>0.4</c:v>
                </c:pt>
                <c:pt idx="6">
                  <c:v>0.4</c:v>
                </c:pt>
                <c:pt idx="7">
                  <c:v>0.4</c:v>
                </c:pt>
                <c:pt idx="8">
                  <c:v>0.4</c:v>
                </c:pt>
                <c:pt idx="9">
                  <c:v>0.4</c:v>
                </c:pt>
                <c:pt idx="10">
                  <c:v>0.33333333333333331</c:v>
                </c:pt>
              </c:numCache>
            </c:numRef>
          </c:val>
          <c:extLst>
            <c:ext xmlns:c16="http://schemas.microsoft.com/office/drawing/2014/chart" uri="{C3380CC4-5D6E-409C-BE32-E72D297353CC}">
              <c16:uniqueId val="{00000000-6476-402B-9AD7-962B44049DD8}"/>
            </c:ext>
          </c:extLst>
        </c:ser>
        <c:dLbls>
          <c:showLegendKey val="0"/>
          <c:showVal val="0"/>
          <c:showCatName val="0"/>
          <c:showSerName val="0"/>
          <c:showPercent val="0"/>
          <c:showBubbleSize val="0"/>
        </c:dLbls>
        <c:gapWidth val="182"/>
        <c:axId val="1193957384"/>
        <c:axId val="1193963528"/>
      </c:barChart>
      <c:catAx>
        <c:axId val="1193957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63528"/>
        <c:crosses val="autoZero"/>
        <c:auto val="1"/>
        <c:lblAlgn val="ctr"/>
        <c:lblOffset val="100"/>
        <c:noMultiLvlLbl val="0"/>
      </c:catAx>
      <c:valAx>
        <c:axId val="11939635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573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② Nivel de madurez actual vs meta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ChartData!$AB$2</c:f>
              <c:strCache>
                <c:ptCount val="1"/>
                <c:pt idx="0">
                  <c:v>Madurez</c:v>
                </c:pt>
              </c:strCache>
            </c:strRef>
          </c:tx>
          <c:spPr>
            <a:solidFill>
              <a:schemeClr val="accent1"/>
            </a:solidFill>
            <a:ln>
              <a:noFill/>
            </a:ln>
            <a:effectLst/>
          </c:spPr>
          <c:invertIfNegative val="0"/>
          <c:cat>
            <c:strRef>
              <c:f>ChartData!$AA$3:$AA$13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ChartData!$AB$3:$AB$13</c:f>
              <c:numCache>
                <c:formatCode>0.0</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C516-4305-850F-A3A1399E11B4}"/>
            </c:ext>
          </c:extLst>
        </c:ser>
        <c:ser>
          <c:idx val="1"/>
          <c:order val="1"/>
          <c:tx>
            <c:strRef>
              <c:f>ChartData!$AC$2</c:f>
              <c:strCache>
                <c:ptCount val="1"/>
                <c:pt idx="0">
                  <c:v>Meta N3</c:v>
                </c:pt>
              </c:strCache>
            </c:strRef>
          </c:tx>
          <c:spPr>
            <a:solidFill>
              <a:schemeClr val="accent2"/>
            </a:solidFill>
            <a:ln>
              <a:noFill/>
            </a:ln>
            <a:effectLst/>
          </c:spPr>
          <c:invertIfNegative val="0"/>
          <c:cat>
            <c:strRef>
              <c:f>ChartData!$AA$3:$AA$13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ChartData!$AC$3:$AC$13</c:f>
              <c:numCache>
                <c:formatCode>0.0</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C516-4305-850F-A3A1399E11B4}"/>
            </c:ext>
          </c:extLst>
        </c:ser>
        <c:dLbls>
          <c:showLegendKey val="0"/>
          <c:showVal val="0"/>
          <c:showCatName val="0"/>
          <c:showSerName val="0"/>
          <c:showPercent val="0"/>
          <c:showBubbleSize val="0"/>
        </c:dLbls>
        <c:gapWidth val="219"/>
        <c:overlap val="-27"/>
        <c:axId val="1201481736"/>
        <c:axId val="1201483784"/>
      </c:barChart>
      <c:catAx>
        <c:axId val="1201481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3784"/>
        <c:crosses val="autoZero"/>
        <c:auto val="1"/>
        <c:lblAlgn val="ctr"/>
        <c:lblOffset val="100"/>
        <c:noMultiLvlLbl val="0"/>
      </c:catAx>
      <c:valAx>
        <c:axId val="1201483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1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③ Prácticas ITIL — score global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ChartData!$AF$2</c:f>
              <c:strCache>
                <c:ptCount val="1"/>
                <c:pt idx="0">
                  <c:v>Score ITIL</c:v>
                </c:pt>
              </c:strCache>
            </c:strRef>
          </c:tx>
          <c:spPr>
            <a:solidFill>
              <a:schemeClr val="accent1"/>
            </a:solidFill>
            <a:ln>
              <a:noFill/>
            </a:ln>
            <a:effectLst/>
          </c:spPr>
          <c:invertIfNegative val="0"/>
          <c:cat>
            <c:strRef>
              <c:f>ChartData!$AE$3:$AE$13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ChartData!$AF$3:$AF$13</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0-DD83-4042-A95C-3C31F0BE5967}"/>
            </c:ext>
          </c:extLst>
        </c:ser>
        <c:dLbls>
          <c:showLegendKey val="0"/>
          <c:showVal val="0"/>
          <c:showCatName val="0"/>
          <c:showSerName val="0"/>
          <c:showPercent val="0"/>
          <c:showBubbleSize val="0"/>
        </c:dLbls>
        <c:gapWidth val="182"/>
        <c:axId val="1199673864"/>
        <c:axId val="1199675912"/>
      </c:barChart>
      <c:catAx>
        <c:axId val="119967386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5912"/>
        <c:crosses val="autoZero"/>
        <c:auto val="1"/>
        <c:lblAlgn val="ctr"/>
        <c:lblOffset val="100"/>
        <c:noMultiLvlLbl val="0"/>
      </c:catAx>
      <c:valAx>
        <c:axId val="11996759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3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 KPIs operativos — FCR y SLA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ChartData!$AI$2</c:f>
              <c:strCache>
                <c:ptCount val="1"/>
                <c:pt idx="0">
                  <c:v>FCR</c:v>
                </c:pt>
              </c:strCache>
            </c:strRef>
          </c:tx>
          <c:spPr>
            <a:solidFill>
              <a:schemeClr val="accent1"/>
            </a:solidFill>
            <a:ln>
              <a:noFill/>
            </a:ln>
            <a:effectLst/>
          </c:spPr>
          <c:invertIfNegative val="0"/>
          <c:cat>
            <c:strRef>
              <c:f>ChartData!$AH$3:$AH$13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ChartData!$AI$3:$AI$13</c:f>
              <c:numCache>
                <c:formatCode>0.0%</c:formatCode>
                <c:ptCount val="11"/>
                <c:pt idx="0">
                  <c:v>0.68</c:v>
                </c:pt>
                <c:pt idx="1">
                  <c:v>0.68</c:v>
                </c:pt>
                <c:pt idx="2">
                  <c:v>0.68</c:v>
                </c:pt>
                <c:pt idx="3">
                  <c:v>0.68</c:v>
                </c:pt>
                <c:pt idx="4">
                  <c:v>0.68</c:v>
                </c:pt>
                <c:pt idx="5">
                  <c:v>0.68</c:v>
                </c:pt>
                <c:pt idx="6">
                  <c:v>0.68</c:v>
                </c:pt>
                <c:pt idx="7">
                  <c:v>0.68</c:v>
                </c:pt>
                <c:pt idx="8">
                  <c:v>0.68</c:v>
                </c:pt>
                <c:pt idx="9">
                  <c:v>0.68</c:v>
                </c:pt>
                <c:pt idx="10">
                  <c:v>0.68</c:v>
                </c:pt>
              </c:numCache>
            </c:numRef>
          </c:val>
          <c:extLst>
            <c:ext xmlns:c16="http://schemas.microsoft.com/office/drawing/2014/chart" uri="{C3380CC4-5D6E-409C-BE32-E72D297353CC}">
              <c16:uniqueId val="{00000000-5F0E-4956-9DF1-9E19D5948AA4}"/>
            </c:ext>
          </c:extLst>
        </c:ser>
        <c:ser>
          <c:idx val="1"/>
          <c:order val="1"/>
          <c:tx>
            <c:strRef>
              <c:f>ChartData!$AJ$2</c:f>
              <c:strCache>
                <c:ptCount val="1"/>
                <c:pt idx="0">
                  <c:v>SLA</c:v>
                </c:pt>
              </c:strCache>
            </c:strRef>
          </c:tx>
          <c:spPr>
            <a:solidFill>
              <a:schemeClr val="accent2"/>
            </a:solidFill>
            <a:ln>
              <a:noFill/>
            </a:ln>
            <a:effectLst/>
          </c:spPr>
          <c:invertIfNegative val="0"/>
          <c:cat>
            <c:strRef>
              <c:f>ChartData!$AH$3:$AH$13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ChartData!$AJ$3:$AJ$13</c:f>
              <c:numCache>
                <c:formatCode>0.0%</c:formatCode>
                <c:ptCount val="11"/>
                <c:pt idx="0">
                  <c:v>0.89</c:v>
                </c:pt>
                <c:pt idx="1">
                  <c:v>0.89</c:v>
                </c:pt>
                <c:pt idx="2">
                  <c:v>0.89</c:v>
                </c:pt>
                <c:pt idx="3">
                  <c:v>0.89</c:v>
                </c:pt>
                <c:pt idx="4">
                  <c:v>0.89</c:v>
                </c:pt>
                <c:pt idx="5">
                  <c:v>0.89</c:v>
                </c:pt>
                <c:pt idx="6">
                  <c:v>0.89</c:v>
                </c:pt>
                <c:pt idx="7">
                  <c:v>0.89</c:v>
                </c:pt>
                <c:pt idx="8">
                  <c:v>0.89</c:v>
                </c:pt>
                <c:pt idx="9">
                  <c:v>0.89</c:v>
                </c:pt>
                <c:pt idx="10">
                  <c:v>0.89</c:v>
                </c:pt>
              </c:numCache>
            </c:numRef>
          </c:val>
          <c:extLst>
            <c:ext xmlns:c16="http://schemas.microsoft.com/office/drawing/2014/chart" uri="{C3380CC4-5D6E-409C-BE32-E72D297353CC}">
              <c16:uniqueId val="{00000002-5F0E-4956-9DF1-9E19D5948AA4}"/>
            </c:ext>
          </c:extLst>
        </c:ser>
        <c:dLbls>
          <c:showLegendKey val="0"/>
          <c:showVal val="0"/>
          <c:showCatName val="0"/>
          <c:showSerName val="0"/>
          <c:showPercent val="0"/>
          <c:showBubbleSize val="0"/>
        </c:dLbls>
        <c:gapWidth val="219"/>
        <c:overlap val="-27"/>
        <c:axId val="1202307080"/>
        <c:axId val="1202309128"/>
      </c:barChart>
      <c:catAx>
        <c:axId val="1202307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9128"/>
        <c:crosses val="autoZero"/>
        <c:auto val="1"/>
        <c:lblAlgn val="ctr"/>
        <c:lblOffset val="100"/>
        <c:noMultiLvlLbl val="0"/>
      </c:catAx>
      <c:valAx>
        <c:axId val="1202309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7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④b Incidentes categorizados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ChartData!$AN$2</c:f>
              <c:strCache>
                <c:ptCount val="1"/>
                <c:pt idx="0">
                  <c:v>Tickets categorizados</c:v>
                </c:pt>
              </c:strCache>
            </c:strRef>
          </c:tx>
          <c:spPr>
            <a:solidFill>
              <a:schemeClr val="accent1"/>
            </a:solidFill>
            <a:ln>
              <a:noFill/>
            </a:ln>
            <a:effectLst/>
          </c:spPr>
          <c:invertIfNegative val="0"/>
          <c:cat>
            <c:strRef>
              <c:f>ChartData!$AM$3:$AM$13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ChartData!$AN$3:$AN$13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B2D9-43C8-95CE-783F3C811167}"/>
            </c:ext>
          </c:extLst>
        </c:ser>
        <c:dLbls>
          <c:showLegendKey val="0"/>
          <c:showVal val="0"/>
          <c:showCatName val="0"/>
          <c:showSerName val="0"/>
          <c:showPercent val="0"/>
          <c:showBubbleSize val="0"/>
        </c:dLbls>
        <c:gapWidth val="219"/>
        <c:overlap val="-27"/>
        <c:axId val="1187733000"/>
        <c:axId val="1187735048"/>
      </c:barChart>
      <c:catAx>
        <c:axId val="1187733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5048"/>
        <c:crosses val="autoZero"/>
        <c:auto val="1"/>
        <c:lblAlgn val="ctr"/>
        <c:lblOffset val="100"/>
        <c:noMultiLvlLbl val="0"/>
      </c:catAx>
      <c:valAx>
        <c:axId val="11877350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Tickets/mes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3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⑤ Experiencia usuario — NPS XLA/DEX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ChartData!$AQ$2</c:f>
              <c:strCache>
                <c:ptCount val="1"/>
                <c:pt idx="0">
                  <c:v>NPS</c:v>
                </c:pt>
              </c:strCache>
            </c:strRef>
          </c:tx>
          <c:spPr>
            <a:solidFill>
              <a:schemeClr val="accent1"/>
            </a:solidFill>
            <a:ln>
              <a:noFill/>
            </a:ln>
            <a:effectLst/>
          </c:spPr>
          <c:invertIfNegative val="0"/>
          <c:cat>
            <c:strRef>
              <c:f>ChartData!$AP$3:$AP$13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ChartData!$AQ$3:$AQ$13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972A-49DB-8E21-00D4018D0502}"/>
            </c:ext>
          </c:extLst>
        </c:ser>
        <c:dLbls>
          <c:showLegendKey val="0"/>
          <c:showVal val="0"/>
          <c:showCatName val="0"/>
          <c:showSerName val="0"/>
          <c:showPercent val="0"/>
          <c:showBubbleSize val="0"/>
        </c:dLbls>
        <c:gapWidth val="182"/>
        <c:axId val="136333832"/>
        <c:axId val="136335880"/>
      </c:barChart>
      <c:catAx>
        <c:axId val="1363338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5880"/>
        <c:crosses val="autoZero"/>
        <c:auto val="1"/>
        <c:lblAlgn val="ctr"/>
        <c:lblOffset val="100"/>
        <c:noMultiLvlLbl val="0"/>
      </c:catAx>
      <c:valAx>
        <c:axId val="136335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3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⑥ Dolores críticos activos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ChartData!$AT$2</c:f>
              <c:strCache>
                <c:ptCount val="1"/>
                <c:pt idx="0">
                  <c:v>Dolores activos D1–D18</c:v>
                </c:pt>
              </c:strCache>
            </c:strRef>
          </c:tx>
          <c:spPr>
            <a:solidFill>
              <a:schemeClr val="accent1"/>
            </a:solidFill>
            <a:ln>
              <a:noFill/>
            </a:ln>
            <a:effectLst/>
          </c:spPr>
          <c:invertIfNegative val="0"/>
          <c:cat>
            <c:strRef>
              <c:f>ChartData!$AS$3:$AS$13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ChartData!$AT$3:$AT$13</c:f>
              <c:numCache>
                <c:formatCode>General</c:formatCode>
                <c:ptCount val="11"/>
                <c:pt idx="0">
                  <c:v>7</c:v>
                </c:pt>
                <c:pt idx="1">
                  <c:v>7</c:v>
                </c:pt>
                <c:pt idx="2">
                  <c:v>0</c:v>
                </c:pt>
                <c:pt idx="3">
                  <c:v>0</c:v>
                </c:pt>
                <c:pt idx="4">
                  <c:v>1</c:v>
                </c:pt>
                <c:pt idx="5">
                  <c:v>1</c:v>
                </c:pt>
                <c:pt idx="6">
                  <c:v>0</c:v>
                </c:pt>
                <c:pt idx="7">
                  <c:v>0</c:v>
                </c:pt>
                <c:pt idx="8">
                  <c:v>0</c:v>
                </c:pt>
                <c:pt idx="9">
                  <c:v>0</c:v>
                </c:pt>
                <c:pt idx="10">
                  <c:v>0</c:v>
                </c:pt>
              </c:numCache>
            </c:numRef>
          </c:val>
          <c:extLst>
            <c:ext xmlns:c16="http://schemas.microsoft.com/office/drawing/2014/chart" uri="{C3380CC4-5D6E-409C-BE32-E72D297353CC}">
              <c16:uniqueId val="{00000000-0E29-4DD8-8FE2-77D648F19D11}"/>
            </c:ext>
          </c:extLst>
        </c:ser>
        <c:dLbls>
          <c:showLegendKey val="0"/>
          <c:showVal val="0"/>
          <c:showCatName val="0"/>
          <c:showSerName val="0"/>
          <c:showPercent val="0"/>
          <c:showBubbleSize val="0"/>
        </c:dLbls>
        <c:gapWidth val="219"/>
        <c:overlap val="-27"/>
        <c:axId val="1188779016"/>
        <c:axId val="1188781064"/>
      </c:barChart>
      <c:catAx>
        <c:axId val="1188779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81064"/>
        <c:crosses val="autoZero"/>
        <c:auto val="1"/>
        <c:lblAlgn val="ctr"/>
        <c:lblOffset val="100"/>
        <c:noMultiLvlLbl val="0"/>
      </c:catAx>
      <c:valAx>
        <c:axId val="1188781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ponderada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79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⑦ Rotación y talento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ChartData!$AW$2</c:f>
              <c:strCache>
                <c:ptCount val="1"/>
                <c:pt idx="0">
                  <c:v>Completitud</c:v>
                </c:pt>
              </c:strCache>
            </c:strRef>
          </c:tx>
          <c:spPr>
            <a:solidFill>
              <a:schemeClr val="accent1"/>
            </a:solidFill>
            <a:ln>
              <a:noFill/>
            </a:ln>
            <a:effectLst/>
          </c:spPr>
          <c:invertIfNegative val="0"/>
          <c:cat>
            <c:strRef>
              <c:f>ChartData!$AV$3:$AV$13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ChartData!$AW$3:$AW$13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8BD2-4E8B-83E0-13F1DBBDA8F3}"/>
            </c:ext>
          </c:extLst>
        </c:ser>
        <c:dLbls>
          <c:showLegendKey val="0"/>
          <c:showVal val="0"/>
          <c:showCatName val="0"/>
          <c:showSerName val="0"/>
          <c:showPercent val="0"/>
          <c:showBubbleSize val="0"/>
        </c:dLbls>
        <c:gapWidth val="182"/>
        <c:axId val="1189102088"/>
        <c:axId val="1189104136"/>
      </c:barChart>
      <c:catAx>
        <c:axId val="11891020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4136"/>
        <c:crosses val="autoZero"/>
        <c:auto val="1"/>
        <c:lblAlgn val="ctr"/>
        <c:lblOffset val="100"/>
        <c:noMultiLvlLbl val="0"/>
      </c:catAx>
      <c:valAx>
        <c:axId val="11891041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2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⑧ Tecnología y herramientas registradas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ChartData!$AZ$2</c:f>
              <c:strCache>
                <c:ptCount val="1"/>
                <c:pt idx="0">
                  <c:v>Herramientas registradas</c:v>
                </c:pt>
              </c:strCache>
            </c:strRef>
          </c:tx>
          <c:spPr>
            <a:solidFill>
              <a:schemeClr val="accent1"/>
            </a:solidFill>
            <a:ln>
              <a:noFill/>
            </a:ln>
            <a:effectLst/>
          </c:spPr>
          <c:invertIfNegative val="0"/>
          <c:cat>
            <c:strRef>
              <c:f>ChartData!$AY$3:$AY$13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ChartData!$AZ$3:$AZ$13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AB22-40AF-AF39-21EF1501C8EF}"/>
            </c:ext>
          </c:extLst>
        </c:ser>
        <c:dLbls>
          <c:showLegendKey val="0"/>
          <c:showVal val="0"/>
          <c:showCatName val="0"/>
          <c:showSerName val="0"/>
          <c:showPercent val="0"/>
          <c:showBubbleSize val="0"/>
        </c:dLbls>
        <c:gapWidth val="219"/>
        <c:overlap val="-27"/>
        <c:axId val="1189493256"/>
        <c:axId val="1189495304"/>
      </c:barChart>
      <c:catAx>
        <c:axId val="1189493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5304"/>
        <c:crosses val="autoZero"/>
        <c:auto val="1"/>
        <c:lblAlgn val="ctr"/>
        <c:lblOffset val="100"/>
        <c:noMultiLvlLbl val="0"/>
      </c:catAx>
      <c:valAx>
        <c:axId val="1189495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3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⑨ Modelo económico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ChartData!$BC$2</c:f>
              <c:strCache>
                <c:ptCount val="1"/>
                <c:pt idx="0">
                  <c:v>Completitud</c:v>
                </c:pt>
              </c:strCache>
            </c:strRef>
          </c:tx>
          <c:spPr>
            <a:solidFill>
              <a:schemeClr val="accent1"/>
            </a:solidFill>
            <a:ln>
              <a:noFill/>
            </a:ln>
            <a:effectLst/>
          </c:spPr>
          <c:invertIfNegative val="0"/>
          <c:cat>
            <c:strRef>
              <c:f>ChartData!$BB$3:$BB$13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ChartData!$BC$3:$BC$13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48F2-41C3-B635-8D3753430223}"/>
            </c:ext>
          </c:extLst>
        </c:ser>
        <c:dLbls>
          <c:showLegendKey val="0"/>
          <c:showVal val="0"/>
          <c:showCatName val="0"/>
          <c:showSerName val="0"/>
          <c:showPercent val="0"/>
          <c:showBubbleSize val="0"/>
        </c:dLbls>
        <c:gapWidth val="182"/>
        <c:axId val="1190409736"/>
        <c:axId val="1190411784"/>
      </c:barChart>
      <c:catAx>
        <c:axId val="119040973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11784"/>
        <c:crosses val="autoZero"/>
        <c:auto val="1"/>
        <c:lblAlgn val="ctr"/>
        <c:lblOffset val="100"/>
        <c:noMultiLvlLbl val="0"/>
      </c:catAx>
      <c:valAx>
        <c:axId val="1190411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09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⑩ Visión nuevo servicio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ChartData!$BF$2</c:f>
              <c:strCache>
                <c:ptCount val="1"/>
                <c:pt idx="0">
                  <c:v>Completitud</c:v>
                </c:pt>
              </c:strCache>
            </c:strRef>
          </c:tx>
          <c:spPr>
            <a:solidFill>
              <a:schemeClr val="accent1"/>
            </a:solidFill>
            <a:ln>
              <a:noFill/>
            </a:ln>
            <a:effectLst/>
          </c:spPr>
          <c:invertIfNegative val="0"/>
          <c:cat>
            <c:strRef>
              <c:f>ChartData!$BE$3:$BE$13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ChartData!$BF$3:$BF$13</c:f>
              <c:numCache>
                <c:formatCode>0.0%</c:formatCode>
                <c:ptCount val="11"/>
                <c:pt idx="0">
                  <c:v>0.1111111111111111</c:v>
                </c:pt>
                <c:pt idx="1">
                  <c:v>0.1111111111111111</c:v>
                </c:pt>
                <c:pt idx="2">
                  <c:v>0.1111111111111111</c:v>
                </c:pt>
                <c:pt idx="3">
                  <c:v>0.1111111111111111</c:v>
                </c:pt>
                <c:pt idx="4">
                  <c:v>0.1111111111111111</c:v>
                </c:pt>
                <c:pt idx="5">
                  <c:v>0.1111111111111111</c:v>
                </c:pt>
                <c:pt idx="6">
                  <c:v>0.1111111111111111</c:v>
                </c:pt>
                <c:pt idx="7">
                  <c:v>0.1111111111111111</c:v>
                </c:pt>
                <c:pt idx="8">
                  <c:v>0.1111111111111111</c:v>
                </c:pt>
                <c:pt idx="9">
                  <c:v>0.1111111111111111</c:v>
                </c:pt>
                <c:pt idx="10">
                  <c:v>0.1111111111111111</c:v>
                </c:pt>
              </c:numCache>
            </c:numRef>
          </c:val>
          <c:extLst>
            <c:ext xmlns:c16="http://schemas.microsoft.com/office/drawing/2014/chart" uri="{C3380CC4-5D6E-409C-BE32-E72D297353CC}">
              <c16:uniqueId val="{00000000-C2D3-411D-A6EA-67490E986508}"/>
            </c:ext>
          </c:extLst>
        </c:ser>
        <c:dLbls>
          <c:showLegendKey val="0"/>
          <c:showVal val="0"/>
          <c:showCatName val="0"/>
          <c:showSerName val="0"/>
          <c:showPercent val="0"/>
          <c:showBubbleSize val="0"/>
        </c:dLbls>
        <c:gapWidth val="182"/>
        <c:axId val="1191124488"/>
        <c:axId val="1191130632"/>
      </c:barChart>
      <c:catAx>
        <c:axId val="1191124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30632"/>
        <c:crosses val="autoZero"/>
        <c:auto val="1"/>
        <c:lblAlgn val="ctr"/>
        <c:lblOffset val="100"/>
        <c:noMultiLvlLbl val="0"/>
      </c:catAx>
      <c:valAx>
        <c:axId val="1191130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24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⑪ Casos de éxito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ChartData!$BI$2</c:f>
              <c:strCache>
                <c:ptCount val="1"/>
                <c:pt idx="0">
                  <c:v>Completitud</c:v>
                </c:pt>
              </c:strCache>
            </c:strRef>
          </c:tx>
          <c:spPr>
            <a:solidFill>
              <a:schemeClr val="accent1"/>
            </a:solidFill>
            <a:ln>
              <a:noFill/>
            </a:ln>
            <a:effectLst/>
          </c:spPr>
          <c:invertIfNegative val="0"/>
          <c:cat>
            <c:strRef>
              <c:f>ChartData!$BH$3:$BH$13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ChartData!$BI$3:$BI$13</c:f>
              <c:numCache>
                <c:formatCode>0.0%</c:formatCode>
                <c:ptCount val="11"/>
                <c:pt idx="0">
                  <c:v>0.35</c:v>
                </c:pt>
                <c:pt idx="1">
                  <c:v>0.35</c:v>
                </c:pt>
                <c:pt idx="2">
                  <c:v>0.35</c:v>
                </c:pt>
                <c:pt idx="3">
                  <c:v>0.35</c:v>
                </c:pt>
                <c:pt idx="4">
                  <c:v>0.35</c:v>
                </c:pt>
                <c:pt idx="5">
                  <c:v>0.35</c:v>
                </c:pt>
                <c:pt idx="6">
                  <c:v>0.35</c:v>
                </c:pt>
                <c:pt idx="7">
                  <c:v>0.35</c:v>
                </c:pt>
                <c:pt idx="8">
                  <c:v>0.35</c:v>
                </c:pt>
                <c:pt idx="9">
                  <c:v>0.35</c:v>
                </c:pt>
                <c:pt idx="10">
                  <c:v>0.35</c:v>
                </c:pt>
              </c:numCache>
            </c:numRef>
          </c:val>
          <c:extLst>
            <c:ext xmlns:c16="http://schemas.microsoft.com/office/drawing/2014/chart" uri="{C3380CC4-5D6E-409C-BE32-E72D297353CC}">
              <c16:uniqueId val="{00000000-031D-4063-8BF9-9A70097F97F8}"/>
            </c:ext>
          </c:extLst>
        </c:ser>
        <c:dLbls>
          <c:showLegendKey val="0"/>
          <c:showVal val="0"/>
          <c:showCatName val="0"/>
          <c:showSerName val="0"/>
          <c:showPercent val="0"/>
          <c:showBubbleSize val="0"/>
        </c:dLbls>
        <c:gapWidth val="182"/>
        <c:axId val="1191442952"/>
        <c:axId val="1191449096"/>
      </c:barChart>
      <c:catAx>
        <c:axId val="11914429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9096"/>
        <c:crosses val="autoZero"/>
        <c:auto val="1"/>
        <c:lblAlgn val="ctr"/>
        <c:lblOffset val="100"/>
        <c:noMultiLvlLbl val="0"/>
      </c:catAx>
      <c:valAx>
        <c:axId val="11914490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2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chart" Target="../charts/chart8.xml"/><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66</xdr:row>
      <xdr:rowOff>180975</xdr:rowOff>
    </xdr:from>
    <xdr:to>
      <xdr:col>6</xdr:col>
      <xdr:colOff>0</xdr:colOff>
      <xdr:row>90</xdr:row>
      <xdr:rowOff>0</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66</xdr:row>
      <xdr:rowOff>180975</xdr:rowOff>
    </xdr:from>
    <xdr:to>
      <xdr:col>14</xdr:col>
      <xdr:colOff>0</xdr:colOff>
      <xdr:row>90</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91</xdr:row>
      <xdr:rowOff>0</xdr:rowOff>
    </xdr:from>
    <xdr:to>
      <xdr:col>6</xdr:col>
      <xdr:colOff>0</xdr:colOff>
      <xdr:row>108</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91</xdr:row>
      <xdr:rowOff>0</xdr:rowOff>
    </xdr:from>
    <xdr:to>
      <xdr:col>14</xdr:col>
      <xdr:colOff>0</xdr:colOff>
      <xdr:row>108</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112</xdr:row>
      <xdr:rowOff>0</xdr:rowOff>
    </xdr:from>
    <xdr:to>
      <xdr:col>14</xdr:col>
      <xdr:colOff>0</xdr:colOff>
      <xdr:row>133</xdr:row>
      <xdr:rowOff>0</xdr:rowOff>
    </xdr:to>
    <xdr:graphicFrame macro="">
      <xdr:nvGraphicFramePr>
        <xdr:cNvPr id="2" name="Dashboard - Cobertura 11 Dimensiones">
          <a:extLst>
            <a:ext uri="{FF2B5EF4-FFF2-40B4-BE49-F238E27FC236}">
              <a16:creationId xmlns:a16="http://schemas.microsoft.com/office/drawing/2014/main" id="{8D0C6950-BCAB-0971-212E-6F61016D480D}"/>
            </a:ext>
            <a:ext uri="{147F2762-F138-4A5C-976F-8EAC2B608ADB}">
              <a16:predDERef xmlns:a16="http://schemas.microsoft.com/office/drawing/2014/main" pred="{B6E94EE2-9C53-BDB7-3FE8-6B356DDC4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24</xdr:row>
      <xdr:rowOff>0</xdr:rowOff>
    </xdr:to>
    <xdr:graphicFrame macro="">
      <xdr:nvGraphicFramePr>
        <xdr:cNvPr id="3" name="① Identificación general">
          <a:extLst>
            <a:ext uri="{FF2B5EF4-FFF2-40B4-BE49-F238E27FC236}">
              <a16:creationId xmlns:a16="http://schemas.microsoft.com/office/drawing/2014/main" id="{9A24A2B1-7063-A388-4E3C-5F7D0985BC4C}"/>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24</xdr:row>
      <xdr:rowOff>0</xdr:rowOff>
    </xdr:to>
    <xdr:graphicFrame macro="">
      <xdr:nvGraphicFramePr>
        <xdr:cNvPr id="4" name="② Madurez actual">
          <a:extLst>
            <a:ext uri="{FF2B5EF4-FFF2-40B4-BE49-F238E27FC236}">
              <a16:creationId xmlns:a16="http://schemas.microsoft.com/office/drawing/2014/main" id="{59B985C2-3F43-9353-AC21-95863CBE0356}"/>
            </a:ext>
            <a:ext uri="{147F2762-F138-4A5C-976F-8EAC2B608ADB}">
              <a16:predDERef xmlns:a16="http://schemas.microsoft.com/office/drawing/2014/main" pred="{9A24A2B1-7063-A388-4E3C-5F7D0985B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25</xdr:row>
      <xdr:rowOff>0</xdr:rowOff>
    </xdr:from>
    <xdr:to>
      <xdr:col>8</xdr:col>
      <xdr:colOff>0</xdr:colOff>
      <xdr:row>41</xdr:row>
      <xdr:rowOff>0</xdr:rowOff>
    </xdr:to>
    <xdr:graphicFrame macro="">
      <xdr:nvGraphicFramePr>
        <xdr:cNvPr id="5" name="③ Score ITIL">
          <a:extLst>
            <a:ext uri="{FF2B5EF4-FFF2-40B4-BE49-F238E27FC236}">
              <a16:creationId xmlns:a16="http://schemas.microsoft.com/office/drawing/2014/main" id="{692AC576-BE64-C1D7-6308-FC4A505E4F8F}"/>
            </a:ext>
            <a:ext uri="{147F2762-F138-4A5C-976F-8EAC2B608ADB}">
              <a16:predDERef xmlns:a16="http://schemas.microsoft.com/office/drawing/2014/main" pred="{59B985C2-3F43-9353-AC21-95863CBE0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25</xdr:row>
      <xdr:rowOff>0</xdr:rowOff>
    </xdr:from>
    <xdr:to>
      <xdr:col>16</xdr:col>
      <xdr:colOff>0</xdr:colOff>
      <xdr:row>41</xdr:row>
      <xdr:rowOff>0</xdr:rowOff>
    </xdr:to>
    <xdr:graphicFrame macro="">
      <xdr:nvGraphicFramePr>
        <xdr:cNvPr id="6" name="④ KPIs operativos">
          <a:extLst>
            <a:ext uri="{FF2B5EF4-FFF2-40B4-BE49-F238E27FC236}">
              <a16:creationId xmlns:a16="http://schemas.microsoft.com/office/drawing/2014/main" id="{1308E23F-2F8E-FCCE-FBC1-7DA7A4BFAF86}"/>
            </a:ext>
            <a:ext uri="{147F2762-F138-4A5C-976F-8EAC2B608ADB}">
              <a16:predDERef xmlns:a16="http://schemas.microsoft.com/office/drawing/2014/main" pred="{692AC576-BE64-C1D7-6308-FC4A505E4F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42</xdr:row>
      <xdr:rowOff>0</xdr:rowOff>
    </xdr:from>
    <xdr:to>
      <xdr:col>8</xdr:col>
      <xdr:colOff>0</xdr:colOff>
      <xdr:row>58</xdr:row>
      <xdr:rowOff>0</xdr:rowOff>
    </xdr:to>
    <xdr:graphicFrame macro="">
      <xdr:nvGraphicFramePr>
        <xdr:cNvPr id="7" name="④b Incidentes categoria">
          <a:extLst>
            <a:ext uri="{FF2B5EF4-FFF2-40B4-BE49-F238E27FC236}">
              <a16:creationId xmlns:a16="http://schemas.microsoft.com/office/drawing/2014/main" id="{F92A4488-F8BA-F928-6517-B5514D1E28D6}"/>
            </a:ext>
            <a:ext uri="{147F2762-F138-4A5C-976F-8EAC2B608ADB}">
              <a16:predDERef xmlns:a16="http://schemas.microsoft.com/office/drawing/2014/main" pred="{1308E23F-2F8E-FCCE-FBC1-7DA7A4BFAF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42</xdr:row>
      <xdr:rowOff>0</xdr:rowOff>
    </xdr:from>
    <xdr:to>
      <xdr:col>16</xdr:col>
      <xdr:colOff>0</xdr:colOff>
      <xdr:row>58</xdr:row>
      <xdr:rowOff>0</xdr:rowOff>
    </xdr:to>
    <xdr:graphicFrame macro="">
      <xdr:nvGraphicFramePr>
        <xdr:cNvPr id="16" name="⑤ XLA DEX">
          <a:extLst>
            <a:ext uri="{FF2B5EF4-FFF2-40B4-BE49-F238E27FC236}">
              <a16:creationId xmlns:a16="http://schemas.microsoft.com/office/drawing/2014/main" id="{AD2A7DBE-16E1-5DBA-B4D2-0A771F564A35}"/>
            </a:ext>
            <a:ext uri="{147F2762-F138-4A5C-976F-8EAC2B608ADB}">
              <a16:predDERef xmlns:a16="http://schemas.microsoft.com/office/drawing/2014/main" pred="{F92A4488-F8BA-F928-6517-B5514D1E28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59</xdr:row>
      <xdr:rowOff>0</xdr:rowOff>
    </xdr:from>
    <xdr:to>
      <xdr:col>8</xdr:col>
      <xdr:colOff>0</xdr:colOff>
      <xdr:row>75</xdr:row>
      <xdr:rowOff>0</xdr:rowOff>
    </xdr:to>
    <xdr:graphicFrame macro="">
      <xdr:nvGraphicFramePr>
        <xdr:cNvPr id="17" name="⑥ Dolores criticos">
          <a:extLst>
            <a:ext uri="{FF2B5EF4-FFF2-40B4-BE49-F238E27FC236}">
              <a16:creationId xmlns:a16="http://schemas.microsoft.com/office/drawing/2014/main" id="{70C35F66-E7C1-6ED4-C60B-8B5C15C231BC}"/>
            </a:ext>
            <a:ext uri="{147F2762-F138-4A5C-976F-8EAC2B608ADB}">
              <a16:predDERef xmlns:a16="http://schemas.microsoft.com/office/drawing/2014/main" pred="{AD2A7DBE-16E1-5DBA-B4D2-0A771F564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59</xdr:row>
      <xdr:rowOff>0</xdr:rowOff>
    </xdr:from>
    <xdr:to>
      <xdr:col>16</xdr:col>
      <xdr:colOff>0</xdr:colOff>
      <xdr:row>75</xdr:row>
      <xdr:rowOff>0</xdr:rowOff>
    </xdr:to>
    <xdr:graphicFrame macro="">
      <xdr:nvGraphicFramePr>
        <xdr:cNvPr id="18" name="⑦ Rotacion talento">
          <a:extLst>
            <a:ext uri="{FF2B5EF4-FFF2-40B4-BE49-F238E27FC236}">
              <a16:creationId xmlns:a16="http://schemas.microsoft.com/office/drawing/2014/main" id="{01DC7C3C-6B2F-FC98-0696-F7B38E222F62}"/>
            </a:ext>
            <a:ext uri="{147F2762-F138-4A5C-976F-8EAC2B608ADB}">
              <a16:predDERef xmlns:a16="http://schemas.microsoft.com/office/drawing/2014/main" pred="{70C35F66-E7C1-6ED4-C60B-8B5C15C231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76</xdr:row>
      <xdr:rowOff>0</xdr:rowOff>
    </xdr:from>
    <xdr:to>
      <xdr:col>8</xdr:col>
      <xdr:colOff>0</xdr:colOff>
      <xdr:row>92</xdr:row>
      <xdr:rowOff>0</xdr:rowOff>
    </xdr:to>
    <xdr:graphicFrame macro="">
      <xdr:nvGraphicFramePr>
        <xdr:cNvPr id="19" name="⑧ Tecnologia herramientas">
          <a:extLst>
            <a:ext uri="{FF2B5EF4-FFF2-40B4-BE49-F238E27FC236}">
              <a16:creationId xmlns:a16="http://schemas.microsoft.com/office/drawing/2014/main" id="{41E68282-A7BB-DFE2-A254-3125CB251F32}"/>
            </a:ext>
            <a:ext uri="{147F2762-F138-4A5C-976F-8EAC2B608ADB}">
              <a16:predDERef xmlns:a16="http://schemas.microsoft.com/office/drawing/2014/main" pred="{01DC7C3C-6B2F-FC98-0696-F7B38E222F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0</xdr:colOff>
      <xdr:row>76</xdr:row>
      <xdr:rowOff>0</xdr:rowOff>
    </xdr:from>
    <xdr:to>
      <xdr:col>16</xdr:col>
      <xdr:colOff>0</xdr:colOff>
      <xdr:row>92</xdr:row>
      <xdr:rowOff>0</xdr:rowOff>
    </xdr:to>
    <xdr:graphicFrame macro="">
      <xdr:nvGraphicFramePr>
        <xdr:cNvPr id="20" name="⑨ Modelo economico">
          <a:extLst>
            <a:ext uri="{FF2B5EF4-FFF2-40B4-BE49-F238E27FC236}">
              <a16:creationId xmlns:a16="http://schemas.microsoft.com/office/drawing/2014/main" id="{F80219B4-F551-9144-58C4-45241CFB473B}"/>
            </a:ext>
            <a:ext uri="{147F2762-F138-4A5C-976F-8EAC2B608ADB}">
              <a16:predDERef xmlns:a16="http://schemas.microsoft.com/office/drawing/2014/main" pred="{41E68282-A7BB-DFE2-A254-3125CB251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93</xdr:row>
      <xdr:rowOff>0</xdr:rowOff>
    </xdr:from>
    <xdr:to>
      <xdr:col>8</xdr:col>
      <xdr:colOff>0</xdr:colOff>
      <xdr:row>109</xdr:row>
      <xdr:rowOff>0</xdr:rowOff>
    </xdr:to>
    <xdr:graphicFrame macro="">
      <xdr:nvGraphicFramePr>
        <xdr:cNvPr id="21" name="⑩ Vision nuevo servicio">
          <a:extLst>
            <a:ext uri="{FF2B5EF4-FFF2-40B4-BE49-F238E27FC236}">
              <a16:creationId xmlns:a16="http://schemas.microsoft.com/office/drawing/2014/main" id="{84A32564-1089-33D3-5689-D9F5BB9A3A10}"/>
            </a:ext>
            <a:ext uri="{147F2762-F138-4A5C-976F-8EAC2B608ADB}">
              <a16:predDERef xmlns:a16="http://schemas.microsoft.com/office/drawing/2014/main" pred="{F80219B4-F551-9144-58C4-45241CFB47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93</xdr:row>
      <xdr:rowOff>0</xdr:rowOff>
    </xdr:from>
    <xdr:to>
      <xdr:col>16</xdr:col>
      <xdr:colOff>0</xdr:colOff>
      <xdr:row>109</xdr:row>
      <xdr:rowOff>0</xdr:rowOff>
    </xdr:to>
    <xdr:graphicFrame macro="">
      <xdr:nvGraphicFramePr>
        <xdr:cNvPr id="22" name="⑪ Casos exito">
          <a:extLst>
            <a:ext uri="{FF2B5EF4-FFF2-40B4-BE49-F238E27FC236}">
              <a16:creationId xmlns:a16="http://schemas.microsoft.com/office/drawing/2014/main" id="{5E00B8DE-D119-EAB2-85B9-DCB37696D811}"/>
            </a:ext>
            <a:ext uri="{147F2762-F138-4A5C-976F-8EAC2B608ADB}">
              <a16:predDERef xmlns:a16="http://schemas.microsoft.com/office/drawing/2014/main" pred="{84A32564-1089-33D3-5689-D9F5BB9A3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E25" sqref="E25"/>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155"/>
      <c r="C3" s="156"/>
      <c r="D3" s="161" t="s">
        <v>0</v>
      </c>
      <c r="E3" s="162"/>
      <c r="F3" s="162"/>
      <c r="G3" s="53"/>
    </row>
    <row r="4" spans="2:7" ht="6.95" customHeight="1">
      <c r="B4" s="157"/>
      <c r="C4" s="158"/>
      <c r="D4" s="7"/>
      <c r="E4" s="8"/>
      <c r="F4" s="8"/>
      <c r="G4" s="54"/>
    </row>
    <row r="5" spans="2:7" ht="15" customHeight="1">
      <c r="B5" s="157"/>
      <c r="C5" s="158"/>
      <c r="D5" s="163" t="s">
        <v>1</v>
      </c>
      <c r="E5" s="164"/>
      <c r="F5" s="164"/>
      <c r="G5" s="56" t="s">
        <v>2</v>
      </c>
    </row>
    <row r="6" spans="2:7" ht="15" customHeight="1">
      <c r="B6" s="159"/>
      <c r="C6" s="160"/>
      <c r="D6" s="2" t="s">
        <v>3</v>
      </c>
      <c r="E6" s="3" t="s">
        <v>4</v>
      </c>
      <c r="F6" s="4"/>
      <c r="G6" s="55" t="s">
        <v>5</v>
      </c>
    </row>
    <row r="7" spans="2:7" ht="15" customHeight="1"/>
    <row r="9" spans="2:7" ht="15.6">
      <c r="B9" s="151" t="s">
        <v>6</v>
      </c>
      <c r="C9" s="151"/>
      <c r="D9" s="151" t="s">
        <v>7</v>
      </c>
      <c r="E9" s="151"/>
      <c r="F9" s="151" t="s">
        <v>8</v>
      </c>
      <c r="G9" s="151"/>
    </row>
    <row r="10" spans="2:7" ht="32.25" customHeight="1">
      <c r="B10" s="153" t="s">
        <v>9</v>
      </c>
      <c r="C10" s="154"/>
      <c r="D10" s="153"/>
      <c r="E10" s="154"/>
      <c r="F10" s="153"/>
      <c r="G10" s="154"/>
    </row>
    <row r="11" spans="2:7" ht="15.6">
      <c r="B11" s="151" t="s">
        <v>10</v>
      </c>
      <c r="C11" s="151"/>
      <c r="D11" s="151" t="s">
        <v>10</v>
      </c>
      <c r="E11" s="151"/>
      <c r="F11" s="151" t="s">
        <v>10</v>
      </c>
      <c r="G11" s="151"/>
    </row>
    <row r="12" spans="2:7" ht="15.6">
      <c r="B12" s="149">
        <v>46206</v>
      </c>
      <c r="C12" s="150"/>
      <c r="D12" s="149"/>
      <c r="E12" s="150"/>
      <c r="F12" s="149"/>
      <c r="G12" s="150"/>
    </row>
    <row r="13" spans="2:7" ht="15.6">
      <c r="B13" s="11"/>
      <c r="C13" s="11"/>
      <c r="D13" s="11"/>
      <c r="E13" s="11"/>
      <c r="F13" s="11"/>
      <c r="G13" s="11"/>
    </row>
    <row r="14" spans="2:7" ht="15.6">
      <c r="B14" s="9" t="s">
        <v>10</v>
      </c>
      <c r="C14" s="9" t="s">
        <v>11</v>
      </c>
      <c r="D14" s="151" t="s">
        <v>12</v>
      </c>
      <c r="E14" s="151"/>
      <c r="F14" s="151"/>
      <c r="G14" s="151"/>
    </row>
    <row r="15" spans="2:7" ht="15.6">
      <c r="B15" s="12" t="s">
        <v>13</v>
      </c>
      <c r="C15" s="10">
        <v>1</v>
      </c>
      <c r="D15" s="152" t="s">
        <v>14</v>
      </c>
      <c r="E15" s="145"/>
      <c r="F15" s="145"/>
      <c r="G15" s="145"/>
    </row>
    <row r="16" spans="2:7" ht="15.6">
      <c r="B16" s="12"/>
      <c r="C16" s="10">
        <v>2</v>
      </c>
      <c r="D16" s="145"/>
      <c r="E16" s="145"/>
      <c r="F16" s="145"/>
      <c r="G16" s="145"/>
    </row>
    <row r="17" spans="2:7" ht="15.6">
      <c r="B17" s="12"/>
      <c r="C17" s="10">
        <v>3</v>
      </c>
      <c r="D17" s="145"/>
      <c r="E17" s="145"/>
      <c r="F17" s="145"/>
      <c r="G17" s="145"/>
    </row>
    <row r="18" spans="2:7" ht="15.6">
      <c r="B18" s="12"/>
      <c r="C18" s="10">
        <v>4</v>
      </c>
      <c r="D18" s="146"/>
      <c r="E18" s="146"/>
      <c r="F18" s="146"/>
      <c r="G18" s="146"/>
    </row>
    <row r="19" spans="2:7" ht="15.6">
      <c r="B19" s="12"/>
      <c r="C19" s="10">
        <v>5</v>
      </c>
      <c r="D19" s="146"/>
      <c r="E19" s="147"/>
      <c r="F19" s="147"/>
      <c r="G19" s="148"/>
    </row>
    <row r="20" spans="2:7" ht="15"/>
  </sheetData>
  <mergeCells count="21">
    <mergeCell ref="B9:C9"/>
    <mergeCell ref="D9:E9"/>
    <mergeCell ref="F9:G9"/>
    <mergeCell ref="B3:C6"/>
    <mergeCell ref="D3:F3"/>
    <mergeCell ref="D5:F5"/>
    <mergeCell ref="B10:C10"/>
    <mergeCell ref="D10:E10"/>
    <mergeCell ref="F10:G10"/>
    <mergeCell ref="B11:C11"/>
    <mergeCell ref="D11:E11"/>
    <mergeCell ref="F11:G11"/>
    <mergeCell ref="D16:G16"/>
    <mergeCell ref="D17:G17"/>
    <mergeCell ref="D18:G18"/>
    <mergeCell ref="D19:G19"/>
    <mergeCell ref="B12:C12"/>
    <mergeCell ref="D12:E12"/>
    <mergeCell ref="F12:G12"/>
    <mergeCell ref="D14:G14"/>
    <mergeCell ref="D15:G1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topLeftCell="A19" zoomScaleNormal="100" workbookViewId="0">
      <selection activeCell="E26" sqref="E26"/>
    </sheetView>
  </sheetViews>
  <sheetFormatPr defaultColWidth="8.5703125" defaultRowHeight="15" customHeight="1"/>
  <cols>
    <col min="1" max="1" width="3" style="1" customWidth="1"/>
    <col min="2" max="2" width="11.7109375" style="1" customWidth="1"/>
    <col min="3" max="3" width="44.140625" style="1" customWidth="1"/>
    <col min="4" max="4" width="33" style="1" customWidth="1"/>
    <col min="5" max="5" width="68.5703125" style="1" customWidth="1"/>
    <col min="6" max="6" width="21.5703125" style="1" bestFit="1" customWidth="1"/>
    <col min="7" max="16384" width="8.5703125" style="1"/>
  </cols>
  <sheetData>
    <row r="1" spans="2:6" ht="14.25" customHeight="1"/>
    <row r="2" spans="2:6" ht="14.25" customHeight="1">
      <c r="B2" s="165"/>
      <c r="C2" s="166"/>
      <c r="D2" s="171" t="s">
        <v>15</v>
      </c>
      <c r="E2" s="172"/>
      <c r="F2" s="58"/>
    </row>
    <row r="3" spans="2:6" ht="7.5" customHeight="1">
      <c r="B3" s="167"/>
      <c r="C3" s="168"/>
      <c r="D3" s="57"/>
      <c r="F3" s="59"/>
    </row>
    <row r="4" spans="2:6" ht="27" customHeight="1">
      <c r="B4" s="167"/>
      <c r="C4" s="168"/>
      <c r="D4" s="173" t="s">
        <v>16</v>
      </c>
      <c r="E4" s="174"/>
      <c r="F4" s="60" t="s">
        <v>2</v>
      </c>
    </row>
    <row r="5" spans="2:6" ht="14.25" customHeight="1">
      <c r="B5" s="169"/>
      <c r="C5" s="170"/>
      <c r="D5" s="175" t="s">
        <v>17</v>
      </c>
      <c r="E5" s="176"/>
      <c r="F5" s="61" t="s">
        <v>5</v>
      </c>
    </row>
    <row r="6" spans="2:6" ht="14.25" customHeight="1"/>
    <row r="8" spans="2:6" ht="21.75" customHeight="1">
      <c r="B8" s="177" t="s">
        <v>18</v>
      </c>
      <c r="C8" s="178"/>
      <c r="D8" s="179"/>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45.75" customHeight="1">
      <c r="B25" s="108" t="s">
        <v>63</v>
      </c>
      <c r="C25" s="109" t="s">
        <v>64</v>
      </c>
      <c r="D25" s="110" t="s">
        <v>65</v>
      </c>
    </row>
    <row r="26" spans="2:5" ht="50.25">
      <c r="B26" s="114" t="s">
        <v>66</v>
      </c>
      <c r="C26" s="115" t="s">
        <v>67</v>
      </c>
      <c r="D26" s="116" t="s">
        <v>68</v>
      </c>
    </row>
    <row r="27" spans="2:5" ht="63.75" customHeight="1">
      <c r="B27" s="111" t="s">
        <v>69</v>
      </c>
      <c r="C27" s="112" t="s">
        <v>70</v>
      </c>
      <c r="D27" s="113" t="s">
        <v>71</v>
      </c>
    </row>
    <row r="28" spans="2:5" ht="50.25">
      <c r="B28" s="21" t="s">
        <v>72</v>
      </c>
      <c r="C28" s="18" t="s">
        <v>73</v>
      </c>
      <c r="D28" s="5" t="s">
        <v>74</v>
      </c>
    </row>
    <row r="29" spans="2:5" ht="45.75" customHeight="1">
      <c r="B29" s="22" t="s">
        <v>75</v>
      </c>
      <c r="C29" s="18"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O121"/>
  <sheetViews>
    <sheetView showGridLines="0" zoomScaleNormal="100" workbookViewId="0">
      <pane xSplit="1" ySplit="8" topLeftCell="B141" activePane="bottomRight" state="frozen"/>
      <selection pane="bottomRight" activeCell="L6" sqref="L6:N8"/>
      <selection pane="bottomLeft" activeCell="A7" sqref="A7"/>
      <selection pane="topRight" activeCell="B1" sqref="B1"/>
    </sheetView>
  </sheetViews>
  <sheetFormatPr defaultColWidth="8.5703125" defaultRowHeight="15"/>
  <cols>
    <col min="1" max="1" width="3" style="120" customWidth="1"/>
    <col min="2" max="2" width="43.85546875" style="120" customWidth="1"/>
    <col min="3" max="7" width="10.42578125" style="120" customWidth="1"/>
    <col min="8" max="8" width="22.7109375" style="120" customWidth="1"/>
    <col min="9" max="14" width="10.42578125" style="120" customWidth="1"/>
    <col min="15" max="16384" width="8.5703125" style="120"/>
  </cols>
  <sheetData>
    <row r="2" spans="2:14" ht="21">
      <c r="B2" s="229"/>
      <c r="C2" s="138" t="s">
        <v>101</v>
      </c>
      <c r="D2" s="139"/>
      <c r="E2" s="139"/>
      <c r="F2" s="139"/>
      <c r="G2" s="139"/>
      <c r="H2" s="140"/>
      <c r="I2" s="137" t="s">
        <v>102</v>
      </c>
      <c r="J2" s="230"/>
      <c r="K2" s="231"/>
      <c r="L2" s="231"/>
      <c r="M2" s="231"/>
      <c r="N2" s="231"/>
    </row>
    <row r="3" spans="2:14">
      <c r="B3" s="232"/>
      <c r="C3" s="141" t="s">
        <v>103</v>
      </c>
      <c r="D3" s="142"/>
      <c r="E3" s="142"/>
      <c r="F3" s="142"/>
      <c r="G3" s="142"/>
      <c r="H3" s="143"/>
      <c r="I3" s="233"/>
      <c r="J3" s="234"/>
      <c r="K3" s="231"/>
      <c r="L3" s="231"/>
      <c r="M3" s="231"/>
      <c r="N3" s="231"/>
    </row>
    <row r="4" spans="2:14">
      <c r="B4" s="232"/>
      <c r="C4" s="232"/>
      <c r="D4" s="233"/>
      <c r="E4" s="233"/>
      <c r="F4" s="233"/>
      <c r="G4" s="233"/>
      <c r="H4" s="234"/>
      <c r="I4" s="233"/>
      <c r="J4" s="234"/>
      <c r="K4" s="231"/>
      <c r="L4" s="231"/>
      <c r="M4" s="231"/>
      <c r="N4" s="231"/>
    </row>
    <row r="5" spans="2:14" ht="14.45" customHeight="1">
      <c r="B5" s="235"/>
      <c r="C5" s="136" t="s">
        <v>104</v>
      </c>
      <c r="D5" s="236"/>
      <c r="E5" s="236"/>
      <c r="F5" s="236"/>
      <c r="G5" s="236"/>
      <c r="H5" s="237"/>
      <c r="I5" s="236"/>
      <c r="J5" s="237"/>
      <c r="K5" s="231"/>
      <c r="L5" s="231"/>
      <c r="M5" s="231"/>
      <c r="N5" s="231"/>
    </row>
    <row r="7" spans="2:14" ht="18.75" customHeight="1">
      <c r="B7" s="135" t="s">
        <v>105</v>
      </c>
      <c r="C7" s="135"/>
      <c r="D7" s="135"/>
      <c r="E7" s="135"/>
      <c r="F7" s="135"/>
      <c r="G7" s="135"/>
      <c r="H7" s="135"/>
      <c r="I7" s="135"/>
      <c r="J7" s="135"/>
      <c r="K7" s="135"/>
      <c r="L7" s="231"/>
      <c r="M7" s="231"/>
      <c r="N7" s="231"/>
    </row>
    <row r="8" spans="2:14" ht="27">
      <c r="B8" s="121" t="s">
        <v>106</v>
      </c>
      <c r="C8" s="121" t="s">
        <v>107</v>
      </c>
      <c r="D8" s="121" t="s">
        <v>108</v>
      </c>
      <c r="E8" s="121" t="s">
        <v>109</v>
      </c>
      <c r="F8" s="121" t="s">
        <v>110</v>
      </c>
      <c r="G8" s="121" t="s">
        <v>111</v>
      </c>
      <c r="H8" s="121" t="s">
        <v>112</v>
      </c>
      <c r="I8" s="121" t="s">
        <v>113</v>
      </c>
      <c r="J8" s="121" t="s">
        <v>114</v>
      </c>
      <c r="K8" s="121" t="s">
        <v>115</v>
      </c>
      <c r="L8" s="231"/>
      <c r="M8" s="231"/>
      <c r="N8" s="231"/>
    </row>
    <row r="9" spans="2:14" ht="27">
      <c r="B9" s="123" t="s">
        <v>116</v>
      </c>
      <c r="C9" s="124" t="str">
        <f>IF('SURA Cotizadores'!C13="","0",'SURA Cotizadores'!C13)</f>
        <v>N1</v>
      </c>
      <c r="D9" s="125">
        <f>IFERROR('SURA Cotizadores'!E47,0)</f>
        <v>0.47058823529411764</v>
      </c>
      <c r="E9" s="125">
        <f>IFERROR('SURA Cotizadores'!C55,0)</f>
        <v>0.68</v>
      </c>
      <c r="F9" s="125">
        <f>IFERROR('SURA Cotizadores'!C57,0)</f>
        <v>0.89</v>
      </c>
      <c r="G9" s="126">
        <f>IFERROR('SURA Cotizadores'!C78,0)</f>
        <v>0</v>
      </c>
      <c r="H9" s="126">
        <f>IFERROR('SURA Cotizadores'!C61,0)</f>
        <v>12</v>
      </c>
      <c r="I9" s="126">
        <f>COUNTIF('SURA Cotizadores'!C88:C105,"Sí")+COUNTIF('SURA Cotizadores'!C88:C105,"Si")+0.5*COUNTIF('SURA Cotizadores'!C88:C105,"Parcial")</f>
        <v>7</v>
      </c>
      <c r="J9" s="124" t="str">
        <f>IF(D9&lt;30%,"Alta",IF(D9&lt;60%,"Media","Baja"))</f>
        <v>Media</v>
      </c>
      <c r="K9" s="127" t="str">
        <f>IF(D9=0,"Pendiente",IF(D9&gt;=70%,"Fuerte",IF(D9&gt;=40%,"En desarrollo","Crítica")))</f>
        <v>En desarrollo</v>
      </c>
      <c r="L9" s="122"/>
      <c r="M9" s="122"/>
      <c r="N9" s="122"/>
    </row>
    <row r="10" spans="2:14" ht="14.25">
      <c r="B10" s="123" t="s">
        <v>117</v>
      </c>
      <c r="C10" s="124" t="str">
        <f>IF('SURA Venta Digital'!C14="","0",'SURA Venta Digital'!C14)</f>
        <v>N1</v>
      </c>
      <c r="D10" s="125">
        <f>IFERROR('SURA Venta Digital'!E47,0)</f>
        <v>0.17647058823529413</v>
      </c>
      <c r="E10" s="125">
        <f>IFERROR('SURA Venta Digital'!C55,0)</f>
        <v>0.68</v>
      </c>
      <c r="F10" s="125">
        <f>IFERROR('SURA Venta Digital'!C57,0)</f>
        <v>0.89</v>
      </c>
      <c r="G10" s="126">
        <f>IFERROR('SURA Venta Digital'!C78,0)</f>
        <v>0</v>
      </c>
      <c r="H10" s="126">
        <f>IFERROR('SURA Venta Digital'!C61,0)</f>
        <v>12</v>
      </c>
      <c r="I10" s="126">
        <f>COUNTIF('SURA Venta Digital'!C87:C104,"Sí")+COUNTIF('SURA Venta Digital'!C87:C104,"Si")+0.5*COUNTIF('SURA Venta Digital'!C87:C104,"Parcial")</f>
        <v>7</v>
      </c>
      <c r="J10" s="124" t="str">
        <f>IF(D10&lt;30%,"Alta",IF(D10&lt;60%,"Media","Baja"))</f>
        <v>Alta</v>
      </c>
      <c r="K10" s="127" t="str">
        <f>IF(D10=0,"Pendiente",IF(D10&gt;=70%,"Fuerte",IF(D10&gt;=40%,"En desarrollo","Crítica")))</f>
        <v>Crítica</v>
      </c>
      <c r="L10" s="122"/>
      <c r="M10" s="122"/>
      <c r="N10" s="122"/>
    </row>
    <row r="11" spans="2:14" ht="14.25">
      <c r="B11" s="123" t="s">
        <v>118</v>
      </c>
      <c r="C11" s="124" t="str">
        <f>IF('SURA Torre Control'!C14="","0",'SURA Torre Control'!C14)</f>
        <v>N1</v>
      </c>
      <c r="D11" s="125">
        <f>IFERROR('SURA Torre Control'!E47,0)</f>
        <v>0</v>
      </c>
      <c r="E11" s="125">
        <f>IFERROR('SURA Torre Control'!C55,0)</f>
        <v>0.68</v>
      </c>
      <c r="F11" s="125">
        <f>IFERROR('SURA Torre Control'!C57,0)</f>
        <v>0.89</v>
      </c>
      <c r="G11" s="126">
        <f>IFERROR('SURA Torre Control'!C78,0)</f>
        <v>0</v>
      </c>
      <c r="H11" s="126">
        <f>IFERROR('SURA Torre Control'!C61,0)</f>
        <v>12</v>
      </c>
      <c r="I11" s="126">
        <f>COUNTIF('SURA Torre Control'!C87:C104,"Sí")+COUNTIF('SURA Torre Control'!C87:C104,"Si")+0.5*COUNTIF('SURA Torre Control'!C87:C104,"Parcial")</f>
        <v>0</v>
      </c>
      <c r="J11" s="124" t="str">
        <f>IF(D11&lt;30%,"Alta",IF(D11&lt;60%,"Media","Baja"))</f>
        <v>Alta</v>
      </c>
      <c r="K11" s="127" t="str">
        <f>IF(D11=0,"Pendiente",IF(D11&gt;=70%,"Fuerte",IF(D11&gt;=40%,"En desarrollo","Crítica")))</f>
        <v>Pendiente</v>
      </c>
      <c r="L11" s="122"/>
      <c r="M11" s="122"/>
      <c r="N11" s="122"/>
    </row>
    <row r="12" spans="2:14" ht="14.25">
      <c r="B12" s="123" t="s">
        <v>119</v>
      </c>
      <c r="C12" s="124" t="str">
        <f>IF('SURA Mesa 4'!C14="","0",'SURA Mesa 4'!C14)</f>
        <v>N1</v>
      </c>
      <c r="D12" s="125">
        <f>IFERROR('SURA Mesa 4'!E47,0)</f>
        <v>0</v>
      </c>
      <c r="E12" s="125">
        <f>IFERROR('SURA Mesa 4'!C55,0)</f>
        <v>0.68</v>
      </c>
      <c r="F12" s="125">
        <f>IFERROR('SURA Mesa 4'!C57,0)</f>
        <v>0.89</v>
      </c>
      <c r="G12" s="126">
        <f>IFERROR('SURA Mesa 4'!C78,0)</f>
        <v>0</v>
      </c>
      <c r="H12" s="126">
        <f>IFERROR('SURA Mesa 4'!C61,0)</f>
        <v>12</v>
      </c>
      <c r="I12" s="126">
        <f>COUNTIF('SURA Mesa 4'!C87:C104,"Sí")+COUNTIF('SURA Mesa 4'!C87:C104,"Si")+0.5*COUNTIF('SURA Mesa 4'!C87:C104,"Parcial")</f>
        <v>0</v>
      </c>
      <c r="J12" s="124" t="str">
        <f>IF(D12&lt;30%,"Alta",IF(D12&lt;60%,"Media","Baja"))</f>
        <v>Alta</v>
      </c>
      <c r="K12" s="127" t="str">
        <f>IF(D12=0,"Pendiente",IF(D12&gt;=70%,"Fuerte",IF(D12&gt;=40%,"En desarrollo","Crítica")))</f>
        <v>Pendiente</v>
      </c>
      <c r="L12" s="122"/>
      <c r="M12" s="122"/>
      <c r="N12" s="122"/>
    </row>
    <row r="13" spans="2:14" ht="14.25">
      <c r="B13" s="123" t="s">
        <v>120</v>
      </c>
      <c r="C13" s="124" t="str">
        <f>IF('BCO Gioti 1'!C14="","0",'BCO Gioti 1'!C14)</f>
        <v>N1</v>
      </c>
      <c r="D13" s="125">
        <f>IFERROR('BCO Gioti 1'!E47,0)</f>
        <v>0.79411764705882348</v>
      </c>
      <c r="E13" s="125">
        <f>IFERROR('BCO Gioti 1'!C55,0)</f>
        <v>0.68</v>
      </c>
      <c r="F13" s="125">
        <f>IFERROR('BCO Gioti 1'!C57,0)</f>
        <v>0.89</v>
      </c>
      <c r="G13" s="126">
        <f>IFERROR('BCO Gioti 1'!C78,0)</f>
        <v>0</v>
      </c>
      <c r="H13" s="126">
        <f>IFERROR('BCO Gioti 1'!C61,0)</f>
        <v>12</v>
      </c>
      <c r="I13" s="126">
        <f>COUNTIF('BCO Gioti 1'!C87:C104,"Sí")+COUNTIF('BCO Gioti 1'!C87:C104,"Si")+0.5*COUNTIF('BCO Gioti 1'!C87:C104,"Parcial")</f>
        <v>1</v>
      </c>
      <c r="J13" s="124" t="str">
        <f>IF(D13&lt;30%,"Alta",IF(D13&lt;60%,"Media","Baja"))</f>
        <v>Baja</v>
      </c>
      <c r="K13" s="127" t="str">
        <f>IF(D13=0,"Pendiente",IF(D13&gt;=70%,"Fuerte",IF(D13&gt;=40%,"En desarrollo","Crítica")))</f>
        <v>Fuerte</v>
      </c>
      <c r="L13" s="122"/>
      <c r="M13" s="122"/>
      <c r="N13" s="122"/>
    </row>
    <row r="14" spans="2:14" ht="14.25">
      <c r="B14" s="123" t="s">
        <v>121</v>
      </c>
      <c r="C14" s="124" t="str">
        <f>IF('BCO Gioti 2'!C14="","0",'BCO Gioti 2'!C14)</f>
        <v>N1</v>
      </c>
      <c r="D14" s="125">
        <f>IFERROR('BCO Gioti 2'!E47,0)</f>
        <v>0</v>
      </c>
      <c r="E14" s="125">
        <f>IFERROR('BCO Gioti 2'!C55,0)</f>
        <v>0.68</v>
      </c>
      <c r="F14" s="125">
        <f>IFERROR('BCO Gioti 2'!C57,0)</f>
        <v>0.89</v>
      </c>
      <c r="G14" s="126">
        <f>IFERROR('BCO Gioti 2'!C78,0)</f>
        <v>0</v>
      </c>
      <c r="H14" s="126">
        <f>IFERROR('BCO Gioti 2'!C61,0)</f>
        <v>12</v>
      </c>
      <c r="I14" s="126">
        <f>COUNTIF('BCO Gioti 2'!C87:C104,"Sí")+COUNTIF('BCO Gioti 2'!C87:C104,"Si")+0.5*COUNTIF('BCO Gioti 2'!C87:C104,"Parcial")</f>
        <v>1</v>
      </c>
      <c r="J14" s="124" t="str">
        <f>IF(D14&lt;30%,"Alta",IF(D14&lt;60%,"Media","Baja"))</f>
        <v>Alta</v>
      </c>
      <c r="K14" s="127" t="str">
        <f>IF(D14=0,"Pendiente",IF(D14&gt;=70%,"Fuerte",IF(D14&gt;=40%,"En desarrollo","Crítica")))</f>
        <v>Pendiente</v>
      </c>
      <c r="L14" s="122"/>
      <c r="M14" s="122"/>
      <c r="N14" s="122"/>
    </row>
    <row r="15" spans="2:14" ht="14.25">
      <c r="B15" s="123" t="s">
        <v>122</v>
      </c>
      <c r="C15" s="124" t="str">
        <f>IF('BCO Gioti 3'!C14="","0",'BCO Gioti 3'!C14)</f>
        <v>N1</v>
      </c>
      <c r="D15" s="125">
        <f>IFERROR('BCO Gioti 3'!E47,0)</f>
        <v>0</v>
      </c>
      <c r="E15" s="125">
        <f>IFERROR('BCO Gioti 3'!C55,0)</f>
        <v>0.68</v>
      </c>
      <c r="F15" s="125">
        <f>IFERROR('BCO Gioti 3'!C57,0)</f>
        <v>0.89</v>
      </c>
      <c r="G15" s="126">
        <f>IFERROR('BCO Gioti 3'!C78,0)</f>
        <v>0</v>
      </c>
      <c r="H15" s="126">
        <f>IFERROR('BCO Gioti 3'!C61,0)</f>
        <v>12</v>
      </c>
      <c r="I15" s="126">
        <f>COUNTIF('BCO Gioti 3'!C87:C104,"Sí")+COUNTIF('BCO Gioti 3'!C87:C104,"Si")+0.5*COUNTIF('BCO Gioti 3'!C87:C104,"Parcial")</f>
        <v>0</v>
      </c>
      <c r="J15" s="124" t="str">
        <f>IF(D15&lt;30%,"Alta",IF(D15&lt;60%,"Media","Baja"))</f>
        <v>Alta</v>
      </c>
      <c r="K15" s="127" t="str">
        <f>IF(D15=0,"Pendiente",IF(D15&gt;=70%,"Fuerte",IF(D15&gt;=40%,"En desarrollo","Crítica")))</f>
        <v>Pendiente</v>
      </c>
      <c r="L15" s="122"/>
      <c r="M15" s="122"/>
      <c r="N15" s="122"/>
    </row>
    <row r="16" spans="2:14" ht="14.25">
      <c r="B16" s="123" t="s">
        <v>123</v>
      </c>
      <c r="C16" s="124" t="str">
        <f>IF('BCO Gioti 4'!C14="","0",'BCO Gioti 4'!C14)</f>
        <v>N1</v>
      </c>
      <c r="D16" s="125">
        <f>IFERROR('BCO Gioti 4'!E47,0)</f>
        <v>0</v>
      </c>
      <c r="E16" s="125">
        <f>IFERROR('BCO Gioti 4'!C55,0)</f>
        <v>0.68</v>
      </c>
      <c r="F16" s="125">
        <f>IFERROR('BCO Gioti 4'!C57,0)</f>
        <v>0.89</v>
      </c>
      <c r="G16" s="126">
        <f>IFERROR('BCO Gioti 4'!C78,0)</f>
        <v>0</v>
      </c>
      <c r="H16" s="126">
        <f>IFERROR('BCO Gioti 4'!C61,0)</f>
        <v>12</v>
      </c>
      <c r="I16" s="126">
        <f>COUNTIF('BCO Gioti 4'!C87:C104,"Sí")+COUNTIF('BCO Gioti 4'!C87:C104,"Si")+0.5*COUNTIF('BCO Gioti 4'!C87:C104,"Parcial")</f>
        <v>0</v>
      </c>
      <c r="J16" s="124" t="str">
        <f>IF(D16&lt;30%,"Alta",IF(D16&lt;60%,"Media","Baja"))</f>
        <v>Alta</v>
      </c>
      <c r="K16" s="127" t="str">
        <f>IF(D16=0,"Pendiente",IF(D16&gt;=70%,"Fuerte",IF(D16&gt;=40%,"En desarrollo","Crítica")))</f>
        <v>Pendiente</v>
      </c>
      <c r="L16" s="122"/>
      <c r="M16" s="122"/>
      <c r="N16" s="122"/>
    </row>
    <row r="17" spans="2:14" ht="14.25">
      <c r="B17" s="123" t="s">
        <v>124</v>
      </c>
      <c r="C17" s="124" t="str">
        <f>IF(AES!C14="","0",AES!C14)</f>
        <v>N1</v>
      </c>
      <c r="D17" s="125">
        <f>IFERROR(AES!E47,0)</f>
        <v>0</v>
      </c>
      <c r="E17" s="125">
        <f>IFERROR(AES!C55,0)</f>
        <v>0.68</v>
      </c>
      <c r="F17" s="125">
        <f>IFERROR(AES!C57,0)</f>
        <v>0.89</v>
      </c>
      <c r="G17" s="126">
        <f>IFERROR(AES!C78,0)</f>
        <v>0</v>
      </c>
      <c r="H17" s="126">
        <f>IFERROR(AES!C61,0)</f>
        <v>12</v>
      </c>
      <c r="I17" s="126">
        <f>COUNTIF(AES!C87:C104,"Sí")+COUNTIF(AES!C87:C104,"Si")+0.5*COUNTIF(AES!C87:C104,"Parcial")</f>
        <v>0</v>
      </c>
      <c r="J17" s="124" t="str">
        <f>IF(D17&lt;30%,"Alta",IF(D17&lt;60%,"Media","Baja"))</f>
        <v>Alta</v>
      </c>
      <c r="K17" s="127" t="str">
        <f>IF(D17=0,"Pendiente",IF(D17&gt;=70%,"Fuerte",IF(D17&gt;=40%,"En desarrollo","Crítica")))</f>
        <v>Pendiente</v>
      </c>
      <c r="L17" s="122"/>
      <c r="M17" s="122"/>
      <c r="N17" s="122"/>
    </row>
    <row r="18" spans="2:14" ht="14.25">
      <c r="B18" s="123" t="s">
        <v>125</v>
      </c>
      <c r="C18" s="124" t="str">
        <f>IF(XM!C14="","0",XM!C14)</f>
        <v>N1</v>
      </c>
      <c r="D18" s="125">
        <f>IFERROR(XM!E47,0)</f>
        <v>0</v>
      </c>
      <c r="E18" s="125">
        <f>IFERROR(XM!C55,0)</f>
        <v>0.68</v>
      </c>
      <c r="F18" s="125">
        <f>IFERROR(XM!C57,0)</f>
        <v>0.89</v>
      </c>
      <c r="G18" s="126">
        <f>IFERROR(XM!C78,0)</f>
        <v>0</v>
      </c>
      <c r="H18" s="126">
        <f>IFERROR(XM!C61,0)</f>
        <v>12</v>
      </c>
      <c r="I18" s="126">
        <f>COUNTIF(XM!C87:C104,"Sí")+COUNTIF(XM!C87:C104,"Si")+0.5*COUNTIF(XM!C87:C104,"Parcial")</f>
        <v>0</v>
      </c>
      <c r="J18" s="124" t="str">
        <f>IF(D18&lt;30%,"Alta",IF(D18&lt;60%,"Media","Baja"))</f>
        <v>Alta</v>
      </c>
      <c r="K18" s="127" t="str">
        <f>IF(D18=0,"Pendiente",IF(D18&gt;=70%,"Fuerte",IF(D18&gt;=40%,"En desarrollo","Crítica")))</f>
        <v>Pendiente</v>
      </c>
      <c r="L18" s="122"/>
      <c r="M18" s="122"/>
      <c r="N18" s="122"/>
    </row>
    <row r="19" spans="2:14" ht="14.25">
      <c r="B19" s="123" t="s">
        <v>126</v>
      </c>
      <c r="C19" s="124" t="str">
        <f>IF(MEDICARTE!C14="","0",MEDICARTE!C14)</f>
        <v>N1</v>
      </c>
      <c r="D19" s="125">
        <f>IFERROR(MEDICARTE!E47,0)</f>
        <v>0</v>
      </c>
      <c r="E19" s="125">
        <f>IFERROR(MEDICARTE!C55,0)</f>
        <v>0.68</v>
      </c>
      <c r="F19" s="125">
        <f>IFERROR(MEDICARTE!C57,0)</f>
        <v>0.89</v>
      </c>
      <c r="G19" s="126">
        <f>IFERROR(MEDICARTE!C78,0)</f>
        <v>0</v>
      </c>
      <c r="H19" s="126">
        <f>IFERROR(MEDICARTE!C61,0)</f>
        <v>12</v>
      </c>
      <c r="I19" s="126">
        <f>COUNTIF(MEDICARTE!C87:C104,"Sí")+COUNTIF(MEDICARTE!C87:C104,"Si")+0.5*COUNTIF(MEDICARTE!C87:C104,"Parcial")</f>
        <v>0</v>
      </c>
      <c r="J19" s="124" t="str">
        <f>IF(D19&lt;30%,"Alta",IF(D19&lt;60%,"Media","Baja"))</f>
        <v>Alta</v>
      </c>
      <c r="K19" s="127" t="str">
        <f>IF(D19=0,"Pendiente",IF(D19&gt;=70%,"Fuerte",IF(D19&gt;=40%,"En desarrollo","Crítica")))</f>
        <v>Pendiente</v>
      </c>
      <c r="L19" s="122"/>
      <c r="M19" s="122"/>
      <c r="N19" s="122"/>
    </row>
    <row r="20" spans="2:14">
      <c r="B20" s="122"/>
      <c r="C20" s="122"/>
      <c r="D20" s="122"/>
      <c r="E20" s="122"/>
      <c r="F20" s="122"/>
      <c r="G20" s="122"/>
      <c r="H20" s="122"/>
      <c r="I20" s="122"/>
      <c r="J20" s="122"/>
      <c r="K20" s="122"/>
      <c r="L20" s="122"/>
      <c r="M20" s="122"/>
      <c r="N20" s="122"/>
    </row>
    <row r="21" spans="2:14">
      <c r="B21" s="122"/>
      <c r="C21" s="122"/>
      <c r="D21" s="122"/>
      <c r="E21" s="122"/>
      <c r="F21" s="122"/>
      <c r="G21" s="122"/>
      <c r="H21" s="122"/>
      <c r="I21" s="122"/>
      <c r="J21" s="122"/>
      <c r="K21" s="122"/>
      <c r="L21" s="122"/>
      <c r="M21" s="122"/>
      <c r="N21" s="122"/>
    </row>
    <row r="22" spans="2:14" ht="19.5" customHeight="1">
      <c r="B22" s="144" t="s">
        <v>127</v>
      </c>
      <c r="C22" s="144"/>
      <c r="D22" s="144"/>
      <c r="E22" s="144"/>
      <c r="F22" s="144"/>
      <c r="G22" s="144"/>
      <c r="H22" s="144"/>
      <c r="I22" s="144"/>
      <c r="J22" s="144"/>
      <c r="K22" s="144"/>
      <c r="L22" s="144"/>
      <c r="M22" s="144"/>
      <c r="N22" s="144"/>
    </row>
    <row r="23" spans="2:14" ht="14.25">
      <c r="B23" s="123" t="s">
        <v>128</v>
      </c>
      <c r="C23" s="123"/>
      <c r="D23" s="123"/>
      <c r="E23" s="128">
        <f>AVERAGE(D9:D19)</f>
        <v>0.13101604278074866</v>
      </c>
      <c r="F23" s="122"/>
      <c r="G23" s="122"/>
      <c r="H23" s="122"/>
      <c r="I23" s="122"/>
      <c r="J23" s="122"/>
      <c r="K23" s="122"/>
      <c r="L23" s="122"/>
      <c r="M23" s="122"/>
      <c r="N23" s="122"/>
    </row>
    <row r="24" spans="2:14" ht="14.25">
      <c r="B24" s="123" t="s">
        <v>129</v>
      </c>
      <c r="C24" s="123"/>
      <c r="D24" s="123"/>
      <c r="E24" s="128">
        <f>MIN(D9:D19)</f>
        <v>0</v>
      </c>
      <c r="F24" s="122"/>
      <c r="G24" s="122"/>
      <c r="H24" s="122"/>
      <c r="I24" s="122"/>
      <c r="J24" s="122"/>
      <c r="K24" s="122"/>
      <c r="L24" s="122"/>
      <c r="M24" s="122"/>
      <c r="N24" s="122"/>
    </row>
    <row r="25" spans="2:14" ht="14.25">
      <c r="B25" s="123" t="s">
        <v>130</v>
      </c>
      <c r="C25" s="123"/>
      <c r="D25" s="123"/>
      <c r="E25" s="128">
        <f>MAX(D9:D19)</f>
        <v>0.79411764705882348</v>
      </c>
      <c r="F25" s="122"/>
      <c r="G25" s="122"/>
      <c r="H25" s="122"/>
      <c r="I25" s="122"/>
      <c r="J25" s="122"/>
      <c r="K25" s="122"/>
      <c r="L25" s="122"/>
      <c r="M25" s="122"/>
      <c r="N25" s="122"/>
    </row>
    <row r="26" spans="2:14">
      <c r="B26" s="123" t="s">
        <v>131</v>
      </c>
      <c r="C26" s="123"/>
      <c r="D26" s="123"/>
      <c r="E26" s="123">
        <f>SUM(H9:H19)</f>
        <v>132</v>
      </c>
      <c r="F26" s="122"/>
      <c r="G26" s="122"/>
      <c r="H26" s="122"/>
      <c r="I26" s="122"/>
      <c r="J26" s="122"/>
      <c r="K26" s="122"/>
      <c r="L26" s="122"/>
      <c r="M26" s="122"/>
      <c r="N26" s="122"/>
    </row>
    <row r="27" spans="2:14">
      <c r="B27" s="123" t="s">
        <v>132</v>
      </c>
      <c r="C27" s="123"/>
      <c r="D27" s="123"/>
      <c r="E27" s="123">
        <f>COUNTA(B9:B19)</f>
        <v>11</v>
      </c>
      <c r="F27" s="122"/>
      <c r="G27" s="122"/>
      <c r="H27" s="122"/>
      <c r="I27" s="122"/>
      <c r="J27" s="122"/>
      <c r="K27" s="122"/>
      <c r="L27" s="122"/>
      <c r="M27" s="122"/>
      <c r="N27" s="122"/>
    </row>
    <row r="28" spans="2:14">
      <c r="B28" s="123" t="s">
        <v>133</v>
      </c>
      <c r="C28" s="123"/>
      <c r="D28" s="123"/>
      <c r="E28" s="123">
        <f>COUNTIF(K9:K19,"Pendiente")</f>
        <v>8</v>
      </c>
      <c r="F28" s="122"/>
      <c r="G28" s="122"/>
      <c r="H28" s="122"/>
      <c r="I28" s="122"/>
      <c r="J28" s="122"/>
      <c r="K28" s="122"/>
      <c r="L28" s="122"/>
      <c r="M28" s="122"/>
      <c r="N28" s="122"/>
    </row>
    <row r="29" spans="2:14">
      <c r="B29" s="122"/>
      <c r="C29" s="122"/>
      <c r="D29" s="122"/>
      <c r="E29" s="122"/>
      <c r="F29" s="122"/>
      <c r="G29" s="122"/>
      <c r="H29" s="122"/>
      <c r="I29" s="122"/>
      <c r="J29" s="122"/>
      <c r="K29" s="122"/>
      <c r="L29" s="122"/>
      <c r="M29" s="122"/>
      <c r="N29" s="122"/>
    </row>
    <row r="30" spans="2:14">
      <c r="B30" s="122"/>
      <c r="C30" s="122"/>
      <c r="D30" s="122"/>
      <c r="E30" s="122"/>
      <c r="F30" s="122"/>
      <c r="G30" s="122"/>
      <c r="H30" s="122"/>
      <c r="I30" s="122"/>
      <c r="J30" s="122"/>
      <c r="K30" s="122"/>
      <c r="L30" s="122"/>
      <c r="M30" s="122"/>
      <c r="N30" s="122"/>
    </row>
    <row r="31" spans="2:14" ht="18" customHeight="1">
      <c r="B31" s="228" t="s">
        <v>134</v>
      </c>
      <c r="C31" s="228"/>
      <c r="D31" s="228"/>
      <c r="E31" s="228"/>
      <c r="F31" s="228"/>
      <c r="G31" s="228"/>
      <c r="H31" s="228"/>
      <c r="I31" s="122"/>
      <c r="J31" s="122"/>
      <c r="K31" s="122"/>
      <c r="L31" s="122"/>
      <c r="M31" s="122"/>
      <c r="N31" s="122"/>
    </row>
    <row r="32" spans="2:14" ht="37.5" customHeight="1">
      <c r="B32" s="121" t="s">
        <v>106</v>
      </c>
      <c r="C32" s="121" t="s">
        <v>135</v>
      </c>
      <c r="D32" s="121" t="s">
        <v>136</v>
      </c>
      <c r="E32" s="121" t="s">
        <v>108</v>
      </c>
      <c r="F32" s="121" t="s">
        <v>137</v>
      </c>
      <c r="G32" s="121" t="s">
        <v>138</v>
      </c>
      <c r="H32" s="121" t="s">
        <v>139</v>
      </c>
      <c r="I32" s="122"/>
      <c r="J32" s="122"/>
      <c r="K32" s="122"/>
      <c r="L32" s="122"/>
      <c r="M32" s="122"/>
      <c r="N32" s="122"/>
    </row>
    <row r="33" spans="1:15" ht="40.5">
      <c r="A33" s="231"/>
      <c r="B33" s="123" t="str">
        <f>B9</f>
        <v>SURA Cotizadores</v>
      </c>
      <c r="C33" s="123" t="str">
        <f>C9</f>
        <v>N1</v>
      </c>
      <c r="D33" s="123" t="str" cm="1">
        <f t="array" ref="D33">_xlfn.SWITCH(C33,"N0","Reactivo / Sin estructura","N1","Inicial / Ad hoc","N2","Definido","N3","Gestionado","N4","Optimizado","N5","Innovador / Diferenciador","— Por definir")</f>
        <v>Inicial / Ad hoc</v>
      </c>
      <c r="E33" s="128">
        <f>D9</f>
        <v>0.47058823529411764</v>
      </c>
      <c r="F33" s="123" t="str">
        <f>IF(E33&gt;=70%,"Buenas prácticas ITIL consolidadas",IF(E33&gt;=40%,"Base operativa existente","Información o práctica incompleta"))</f>
        <v>Base operativa existente</v>
      </c>
      <c r="G33" s="123" t="str">
        <f>IF(E33&lt;40%,"Bajo cumplimiento / datos pendientes",IF(E33&lt;70%,"Estandarización y medición","Escalamiento a automatización"))</f>
        <v>Estandarización y medición</v>
      </c>
      <c r="H33" s="123" t="str">
        <f>IF(E33&lt;40%,"Completar levantamiento y priorizar quick wins",IF(E33&lt;70%,"Formalizar procesos, métricas y gobierno","Escalar autoservicio, analítica e IA"))</f>
        <v>Formalizar procesos, métricas y gobierno</v>
      </c>
      <c r="I33" s="122"/>
      <c r="J33" s="122"/>
      <c r="K33" s="122"/>
      <c r="L33" s="122"/>
      <c r="M33" s="122"/>
      <c r="N33" s="122"/>
      <c r="O33" s="231"/>
    </row>
    <row r="34" spans="1:15" ht="27">
      <c r="A34" s="231"/>
      <c r="B34" s="123" t="str">
        <f>B10</f>
        <v>SURA Venta Digital</v>
      </c>
      <c r="C34" s="123" t="str">
        <f>C10</f>
        <v>N1</v>
      </c>
      <c r="D34" s="123" t="str" cm="1">
        <f t="array" ref="D34">_xlfn.SWITCH(C34,"N0","Reactivo / Sin estructura","N1","Inicial / Ad hoc","N2","Definido","N3","Gestionado","N4","Optimizado","N5","Innovador / Diferenciador","— Por definir")</f>
        <v>Inicial / Ad hoc</v>
      </c>
      <c r="E34" s="128">
        <f>D10</f>
        <v>0.17647058823529413</v>
      </c>
      <c r="F34" s="123" t="str">
        <f>IF(E34&gt;=70%,"Buenas prácticas ITIL consolidadas",IF(E34&gt;=40%,"Base operativa existente","Información o práctica incompleta"))</f>
        <v>Información o práctica incompleta</v>
      </c>
      <c r="G34" s="123" t="str">
        <f>IF(E34&lt;40%,"Bajo cumplimiento / datos pendientes",IF(E34&lt;70%,"Estandarización y medición","Escalamiento a automatización"))</f>
        <v>Bajo cumplimiento / datos pendientes</v>
      </c>
      <c r="H34" s="123" t="str">
        <f>IF(E34&lt;40%,"Completar levantamiento y priorizar quick wins",IF(E34&lt;70%,"Formalizar procesos, métricas y gobierno","Escalar autoservicio, analítica e IA"))</f>
        <v>Completar levantamiento y priorizar quick wins</v>
      </c>
      <c r="I34" s="122"/>
      <c r="J34" s="122"/>
      <c r="K34" s="122"/>
      <c r="L34" s="122"/>
      <c r="M34" s="122"/>
      <c r="N34" s="122"/>
      <c r="O34" s="231"/>
    </row>
    <row r="35" spans="1:15" ht="27">
      <c r="A35" s="231"/>
      <c r="B35" s="123" t="str">
        <f>B11</f>
        <v>SURA Torre Control</v>
      </c>
      <c r="C35" s="123" t="str">
        <f>C11</f>
        <v>N1</v>
      </c>
      <c r="D35" s="123" t="str" cm="1">
        <f t="array" ref="D35">_xlfn.SWITCH(C35,"N0","Reactivo / Sin estructura","N1","Inicial / Ad hoc","N2","Definido","N3","Gestionado","N4","Optimizado","N5","Innovador / Diferenciador","— Por definir")</f>
        <v>Inicial / Ad hoc</v>
      </c>
      <c r="E35" s="128">
        <f>D11</f>
        <v>0</v>
      </c>
      <c r="F35" s="123" t="str">
        <f>IF(E35&gt;=70%,"Buenas prácticas ITIL consolidadas",IF(E35&gt;=40%,"Base operativa existente","Información o práctica incompleta"))</f>
        <v>Información o práctica incompleta</v>
      </c>
      <c r="G35" s="123" t="str">
        <f>IF(E35&lt;40%,"Bajo cumplimiento / datos pendientes",IF(E35&lt;70%,"Estandarización y medición","Escalamiento a automatización"))</f>
        <v>Bajo cumplimiento / datos pendientes</v>
      </c>
      <c r="H35" s="123" t="str">
        <f>IF(E35&lt;40%,"Completar levantamiento y priorizar quick wins",IF(E35&lt;70%,"Formalizar procesos, métricas y gobierno","Escalar autoservicio, analítica e IA"))</f>
        <v>Completar levantamiento y priorizar quick wins</v>
      </c>
      <c r="I35" s="122"/>
      <c r="J35" s="122"/>
      <c r="K35" s="122"/>
      <c r="L35" s="122"/>
      <c r="M35" s="122"/>
      <c r="N35" s="122"/>
      <c r="O35" s="231"/>
    </row>
    <row r="36" spans="1:15" ht="27">
      <c r="A36" s="231"/>
      <c r="B36" s="123" t="str">
        <f>B12</f>
        <v>SURA Mesa 4</v>
      </c>
      <c r="C36" s="123" t="str">
        <f>C12</f>
        <v>N1</v>
      </c>
      <c r="D36" s="123" t="str" cm="1">
        <f t="array" ref="D36">_xlfn.SWITCH(C36,"N0","Reactivo / Sin estructura","N1","Inicial / Ad hoc","N2","Definido","N3","Gestionado","N4","Optimizado","N5","Innovador / Diferenciador","— Por definir")</f>
        <v>Inicial / Ad hoc</v>
      </c>
      <c r="E36" s="128">
        <f>D12</f>
        <v>0</v>
      </c>
      <c r="F36" s="123" t="str">
        <f>IF(E36&gt;=70%,"Buenas prácticas ITIL consolidadas",IF(E36&gt;=40%,"Base operativa existente","Información o práctica incompleta"))</f>
        <v>Información o práctica incompleta</v>
      </c>
      <c r="G36" s="123" t="str">
        <f>IF(E36&lt;40%,"Bajo cumplimiento / datos pendientes",IF(E36&lt;70%,"Estandarización y medición","Escalamiento a automatización"))</f>
        <v>Bajo cumplimiento / datos pendientes</v>
      </c>
      <c r="H36" s="123" t="str">
        <f>IF(E36&lt;40%,"Completar levantamiento y priorizar quick wins",IF(E36&lt;70%,"Formalizar procesos, métricas y gobierno","Escalar autoservicio, analítica e IA"))</f>
        <v>Completar levantamiento y priorizar quick wins</v>
      </c>
      <c r="I36" s="122"/>
      <c r="J36" s="122"/>
      <c r="K36" s="122"/>
      <c r="L36" s="122"/>
      <c r="M36" s="122"/>
      <c r="N36" s="122"/>
      <c r="O36" s="231"/>
    </row>
    <row r="37" spans="1:15" ht="27">
      <c r="A37" s="231"/>
      <c r="B37" s="123" t="str">
        <f>B13</f>
        <v>BCO Gioti 1</v>
      </c>
      <c r="C37" s="123" t="str">
        <f>C13</f>
        <v>N1</v>
      </c>
      <c r="D37" s="123" t="str" cm="1">
        <f t="array" ref="D37">_xlfn.SWITCH(C37,"N0","Reactivo / Sin estructura","N1","Inicial / Ad hoc","N2","Definido","N3","Gestionado","N4","Optimizado","N5","Innovador / Diferenciador","— Por definir")</f>
        <v>Inicial / Ad hoc</v>
      </c>
      <c r="E37" s="128">
        <f>D13</f>
        <v>0.79411764705882348</v>
      </c>
      <c r="F37" s="123" t="str">
        <f>IF(E37&gt;=70%,"Buenas prácticas ITIL consolidadas",IF(E37&gt;=40%,"Base operativa existente","Información o práctica incompleta"))</f>
        <v>Buenas prácticas ITIL consolidadas</v>
      </c>
      <c r="G37" s="123" t="str">
        <f>IF(E37&lt;40%,"Bajo cumplimiento / datos pendientes",IF(E37&lt;70%,"Estandarización y medición","Escalamiento a automatización"))</f>
        <v>Escalamiento a automatización</v>
      </c>
      <c r="H37" s="123" t="str">
        <f>IF(E37&lt;40%,"Completar levantamiento y priorizar quick wins",IF(E37&lt;70%,"Formalizar procesos, métricas y gobierno","Escalar autoservicio, analítica e IA"))</f>
        <v>Escalar autoservicio, analítica e IA</v>
      </c>
      <c r="I37" s="122"/>
      <c r="J37" s="122"/>
      <c r="K37" s="122"/>
      <c r="L37" s="122"/>
      <c r="M37" s="122"/>
      <c r="N37" s="122"/>
      <c r="O37" s="231"/>
    </row>
    <row r="38" spans="1:15" ht="27">
      <c r="A38" s="231"/>
      <c r="B38" s="123" t="str">
        <f>B14</f>
        <v>BCO Gioti 2</v>
      </c>
      <c r="C38" s="123" t="str">
        <f>C14</f>
        <v>N1</v>
      </c>
      <c r="D38" s="123" t="str" cm="1">
        <f t="array" ref="D38">_xlfn.SWITCH(C38,"N0","Reactivo / Sin estructura","N1","Inicial / Ad hoc","N2","Definido","N3","Gestionado","N4","Optimizado","N5","Innovador / Diferenciador","— Por definir")</f>
        <v>Inicial / Ad hoc</v>
      </c>
      <c r="E38" s="128">
        <f>D14</f>
        <v>0</v>
      </c>
      <c r="F38" s="123" t="str">
        <f>IF(E38&gt;=70%,"Buenas prácticas ITIL consolidadas",IF(E38&gt;=40%,"Base operativa existente","Información o práctica incompleta"))</f>
        <v>Información o práctica incompleta</v>
      </c>
      <c r="G38" s="123" t="str">
        <f>IF(E38&lt;40%,"Bajo cumplimiento / datos pendientes",IF(E38&lt;70%,"Estandarización y medición","Escalamiento a automatización"))</f>
        <v>Bajo cumplimiento / datos pendientes</v>
      </c>
      <c r="H38" s="123" t="str">
        <f>IF(E38&lt;40%,"Completar levantamiento y priorizar quick wins",IF(E38&lt;70%,"Formalizar procesos, métricas y gobierno","Escalar autoservicio, analítica e IA"))</f>
        <v>Completar levantamiento y priorizar quick wins</v>
      </c>
      <c r="I38" s="122"/>
      <c r="J38" s="122"/>
      <c r="K38" s="122"/>
      <c r="L38" s="122"/>
      <c r="M38" s="122"/>
      <c r="N38" s="122"/>
      <c r="O38" s="231"/>
    </row>
    <row r="39" spans="1:15" ht="27">
      <c r="A39" s="231"/>
      <c r="B39" s="123" t="str">
        <f>B15</f>
        <v>BCO Gioti 3</v>
      </c>
      <c r="C39" s="123" t="str">
        <f>C15</f>
        <v>N1</v>
      </c>
      <c r="D39" s="123" t="str" cm="1">
        <f t="array" ref="D39">_xlfn.SWITCH(C39,"N0","Reactivo / Sin estructura","N1","Inicial / Ad hoc","N2","Definido","N3","Gestionado","N4","Optimizado","N5","Innovador / Diferenciador","— Por definir")</f>
        <v>Inicial / Ad hoc</v>
      </c>
      <c r="E39" s="128">
        <f>D15</f>
        <v>0</v>
      </c>
      <c r="F39" s="123" t="str">
        <f>IF(E39&gt;=70%,"Buenas prácticas ITIL consolidadas",IF(E39&gt;=40%,"Base operativa existente","Información o práctica incompleta"))</f>
        <v>Información o práctica incompleta</v>
      </c>
      <c r="G39" s="123" t="str">
        <f>IF(E39&lt;40%,"Bajo cumplimiento / datos pendientes",IF(E39&lt;70%,"Estandarización y medición","Escalamiento a automatización"))</f>
        <v>Bajo cumplimiento / datos pendientes</v>
      </c>
      <c r="H39" s="123" t="str">
        <f>IF(E39&lt;40%,"Completar levantamiento y priorizar quick wins",IF(E39&lt;70%,"Formalizar procesos, métricas y gobierno","Escalar autoservicio, analítica e IA"))</f>
        <v>Completar levantamiento y priorizar quick wins</v>
      </c>
      <c r="I39" s="122"/>
      <c r="J39" s="122"/>
      <c r="K39" s="122"/>
      <c r="L39" s="122"/>
      <c r="M39" s="122"/>
      <c r="N39" s="122"/>
      <c r="O39" s="231"/>
    </row>
    <row r="40" spans="1:15" ht="27">
      <c r="A40" s="231"/>
      <c r="B40" s="123" t="str">
        <f>B16</f>
        <v>BCO Gioti 4</v>
      </c>
      <c r="C40" s="123" t="str">
        <f>C16</f>
        <v>N1</v>
      </c>
      <c r="D40" s="123" t="str" cm="1">
        <f t="array" ref="D40">_xlfn.SWITCH(C40,"N0","Reactivo / Sin estructura","N1","Inicial / Ad hoc","N2","Definido","N3","Gestionado","N4","Optimizado","N5","Innovador / Diferenciador","— Por definir")</f>
        <v>Inicial / Ad hoc</v>
      </c>
      <c r="E40" s="128">
        <f>D16</f>
        <v>0</v>
      </c>
      <c r="F40" s="123" t="str">
        <f>IF(E40&gt;=70%,"Buenas prácticas ITIL consolidadas",IF(E40&gt;=40%,"Base operativa existente","Información o práctica incompleta"))</f>
        <v>Información o práctica incompleta</v>
      </c>
      <c r="G40" s="123" t="str">
        <f>IF(E40&lt;40%,"Bajo cumplimiento / datos pendientes",IF(E40&lt;70%,"Estandarización y medición","Escalamiento a automatización"))</f>
        <v>Bajo cumplimiento / datos pendientes</v>
      </c>
      <c r="H40" s="123" t="str">
        <f>IF(E40&lt;40%,"Completar levantamiento y priorizar quick wins",IF(E40&lt;70%,"Formalizar procesos, métricas y gobierno","Escalar autoservicio, analítica e IA"))</f>
        <v>Completar levantamiento y priorizar quick wins</v>
      </c>
      <c r="I40" s="122"/>
      <c r="J40" s="122"/>
      <c r="K40" s="122"/>
      <c r="L40" s="122"/>
      <c r="M40" s="122"/>
      <c r="N40" s="122"/>
      <c r="O40" s="231"/>
    </row>
    <row r="41" spans="1:15" ht="27">
      <c r="A41" s="231"/>
      <c r="B41" s="123" t="str">
        <f>B17</f>
        <v>AES</v>
      </c>
      <c r="C41" s="123" t="str">
        <f>C17</f>
        <v>N1</v>
      </c>
      <c r="D41" s="123" t="str" cm="1">
        <f t="array" ref="D41">_xlfn.SWITCH(C41,"N0","Reactivo / Sin estructura","N1","Inicial / Ad hoc","N2","Definido","N3","Gestionado","N4","Optimizado","N5","Innovador / Diferenciador","— Por definir")</f>
        <v>Inicial / Ad hoc</v>
      </c>
      <c r="E41" s="128">
        <f>D17</f>
        <v>0</v>
      </c>
      <c r="F41" s="123" t="str">
        <f>IF(E41&gt;=70%,"Buenas prácticas ITIL consolidadas",IF(E41&gt;=40%,"Base operativa existente","Información o práctica incompleta"))</f>
        <v>Información o práctica incompleta</v>
      </c>
      <c r="G41" s="123" t="str">
        <f>IF(E41&lt;40%,"Bajo cumplimiento / datos pendientes",IF(E41&lt;70%,"Estandarización y medición","Escalamiento a automatización"))</f>
        <v>Bajo cumplimiento / datos pendientes</v>
      </c>
      <c r="H41" s="123" t="str">
        <f>IF(E41&lt;40%,"Completar levantamiento y priorizar quick wins",IF(E41&lt;70%,"Formalizar procesos, métricas y gobierno","Escalar autoservicio, analítica e IA"))</f>
        <v>Completar levantamiento y priorizar quick wins</v>
      </c>
      <c r="I41" s="122"/>
      <c r="J41" s="122"/>
      <c r="K41" s="122"/>
      <c r="L41" s="122"/>
      <c r="M41" s="122"/>
      <c r="N41" s="122"/>
      <c r="O41" s="231"/>
    </row>
    <row r="42" spans="1:15" ht="27">
      <c r="A42" s="231"/>
      <c r="B42" s="123" t="str">
        <f>B18</f>
        <v>XM</v>
      </c>
      <c r="C42" s="123" t="str">
        <f>C18</f>
        <v>N1</v>
      </c>
      <c r="D42" s="123" t="str" cm="1">
        <f t="array" ref="D42">_xlfn.SWITCH(C42,"N0","Reactivo / Sin estructura","N1","Inicial / Ad hoc","N2","Definido","N3","Gestionado","N4","Optimizado","N5","Innovador / Diferenciador","— Por definir")</f>
        <v>Inicial / Ad hoc</v>
      </c>
      <c r="E42" s="128">
        <f>D18</f>
        <v>0</v>
      </c>
      <c r="F42" s="123" t="str">
        <f>IF(E42&gt;=70%,"Buenas prácticas ITIL consolidadas",IF(E42&gt;=40%,"Base operativa existente","Información o práctica incompleta"))</f>
        <v>Información o práctica incompleta</v>
      </c>
      <c r="G42" s="123" t="str">
        <f>IF(E42&lt;40%,"Bajo cumplimiento / datos pendientes",IF(E42&lt;70%,"Estandarización y medición","Escalamiento a automatización"))</f>
        <v>Bajo cumplimiento / datos pendientes</v>
      </c>
      <c r="H42" s="123" t="str">
        <f>IF(E42&lt;40%,"Completar levantamiento y priorizar quick wins",IF(E42&lt;70%,"Formalizar procesos, métricas y gobierno","Escalar autoservicio, analítica e IA"))</f>
        <v>Completar levantamiento y priorizar quick wins</v>
      </c>
      <c r="I42" s="122"/>
      <c r="J42" s="122"/>
      <c r="K42" s="122"/>
      <c r="L42" s="122"/>
      <c r="M42" s="122"/>
      <c r="N42" s="122"/>
      <c r="O42" s="231"/>
    </row>
    <row r="43" spans="1:15" ht="27">
      <c r="A43" s="231"/>
      <c r="B43" s="123" t="str">
        <f>B19</f>
        <v>MEDICARTE</v>
      </c>
      <c r="C43" s="123" t="str">
        <f>C19</f>
        <v>N1</v>
      </c>
      <c r="D43" s="123" t="str" cm="1">
        <f t="array" ref="D43">_xlfn.SWITCH(C43,"N0","Reactivo / Sin estructura","N1","Inicial / Ad hoc","N2","Definido","N3","Gestionado","N4","Optimizado","N5","Innovador / Diferenciador","— Por definir")</f>
        <v>Inicial / Ad hoc</v>
      </c>
      <c r="E43" s="128">
        <f>D19</f>
        <v>0</v>
      </c>
      <c r="F43" s="123" t="str">
        <f>IF(E43&gt;=70%,"Buenas prácticas ITIL consolidadas",IF(E43&gt;=40%,"Base operativa existente","Información o práctica incompleta"))</f>
        <v>Información o práctica incompleta</v>
      </c>
      <c r="G43" s="123" t="str">
        <f>IF(E43&lt;40%,"Bajo cumplimiento / datos pendientes",IF(E43&lt;70%,"Estandarización y medición","Escalamiento a automatización"))</f>
        <v>Bajo cumplimiento / datos pendientes</v>
      </c>
      <c r="H43" s="123" t="str">
        <f>IF(E43&lt;40%,"Completar levantamiento y priorizar quick wins",IF(E43&lt;70%,"Formalizar procesos, métricas y gobierno","Escalar autoservicio, analítica e IA"))</f>
        <v>Completar levantamiento y priorizar quick wins</v>
      </c>
      <c r="I43" s="122"/>
      <c r="J43" s="122"/>
      <c r="K43" s="122"/>
      <c r="L43" s="122"/>
      <c r="M43" s="122"/>
      <c r="N43" s="122"/>
      <c r="O43" s="231"/>
    </row>
    <row r="44" spans="1:15">
      <c r="A44" s="231"/>
      <c r="B44" s="122"/>
      <c r="C44" s="122"/>
      <c r="D44" s="122"/>
      <c r="E44" s="122"/>
      <c r="F44" s="122"/>
      <c r="G44" s="122"/>
      <c r="H44" s="122"/>
      <c r="I44" s="122"/>
      <c r="J44" s="122"/>
      <c r="K44" s="122"/>
      <c r="L44" s="122"/>
      <c r="M44" s="122"/>
      <c r="N44" s="122"/>
      <c r="O44" s="231"/>
    </row>
    <row r="45" spans="1:15">
      <c r="A45" s="231"/>
      <c r="B45" s="238" t="s">
        <v>140</v>
      </c>
      <c r="C45" s="238"/>
      <c r="D45" s="238"/>
      <c r="E45" s="238"/>
      <c r="F45" s="238"/>
      <c r="G45" s="238"/>
      <c r="H45" s="238"/>
      <c r="I45" s="238"/>
      <c r="J45" s="238"/>
      <c r="K45" s="238"/>
      <c r="L45" s="238"/>
      <c r="M45" s="238"/>
      <c r="N45" s="238"/>
      <c r="O45" s="231"/>
    </row>
    <row r="46" spans="1:15" ht="27" customHeight="1">
      <c r="A46" s="231"/>
      <c r="B46" s="223" t="s">
        <v>141</v>
      </c>
      <c r="C46" s="224" t="s">
        <v>142</v>
      </c>
      <c r="D46" s="224" t="s">
        <v>143</v>
      </c>
      <c r="E46" s="224" t="s">
        <v>144</v>
      </c>
      <c r="F46" s="224" t="s">
        <v>145</v>
      </c>
      <c r="G46" s="224" t="s">
        <v>146</v>
      </c>
      <c r="H46" s="224" t="s">
        <v>147</v>
      </c>
      <c r="I46" s="224" t="s">
        <v>148</v>
      </c>
      <c r="J46" s="224" t="s">
        <v>149</v>
      </c>
      <c r="K46" s="223" t="s">
        <v>124</v>
      </c>
      <c r="L46" s="223" t="s">
        <v>125</v>
      </c>
      <c r="M46" s="223" t="s">
        <v>126</v>
      </c>
      <c r="N46" s="223" t="s">
        <v>150</v>
      </c>
      <c r="O46" s="231"/>
    </row>
    <row r="47" spans="1:15">
      <c r="A47" s="231"/>
      <c r="B47" s="227" t="s">
        <v>151</v>
      </c>
      <c r="C47" s="225" t="str">
        <f>IF(OR('SURA Cotizadores'!C88="Sí",'SURA Cotizadores'!C88="Si"),"✓",IF('SURA Cotizadores'!C88="Parcial","~",""))</f>
        <v>✓</v>
      </c>
      <c r="D47" s="225" t="str">
        <f>IF(OR('SURA Venta Digital'!C87="Sí",'SURA Venta Digital'!C87="Si"),"✓",IF('SURA Venta Digital'!C87="Parcial","~",""))</f>
        <v/>
      </c>
      <c r="E47" s="225" t="str">
        <f>IF(OR('SURA Torre Control'!C87="Sí",'SURA Torre Control'!C87="Si"),"✓",IF('SURA Torre Control'!C87="Parcial","~",""))</f>
        <v/>
      </c>
      <c r="F47" s="225" t="str">
        <f>IF(OR('SURA Mesa 4'!C87="Sí",'SURA Mesa 4'!C87="Si"),"✓",IF('SURA Mesa 4'!C87="Parcial","~",""))</f>
        <v/>
      </c>
      <c r="G47" s="225" t="str">
        <f>IF(OR('BCO Gioti 1'!C87="Sí",'BCO Gioti 1'!C87="Si"),"✓",IF('BCO Gioti 1'!C87="Parcial","~",""))</f>
        <v/>
      </c>
      <c r="H47" s="225" t="str">
        <f>IF(OR('BCO Gioti 2'!C87="Sí",'BCO Gioti 2'!C87="Si"),"✓",IF('BCO Gioti 2'!C87="Parcial","~",""))</f>
        <v/>
      </c>
      <c r="I47" s="225" t="str">
        <f>IF(OR('BCO Gioti 3'!C87="Sí",'BCO Gioti 3'!C87="Si"),"✓",IF('BCO Gioti 3'!C87="Parcial","~",""))</f>
        <v/>
      </c>
      <c r="J47" s="225" t="str">
        <f>IF(OR('BCO Gioti 4'!C87="Sí",'BCO Gioti 4'!C87="Si"),"✓",IF('BCO Gioti 4'!C87="Parcial","~",""))</f>
        <v/>
      </c>
      <c r="K47" s="225" t="str">
        <f>IF(OR(AES!C87="Sí",AES!C87="Si"),"✓",IF(AES!C87="Parcial","~",""))</f>
        <v/>
      </c>
      <c r="L47" s="225" t="str">
        <f>IF(OR(XM!C87="Sí",XM!C87="Si"),"✓",IF(XM!C87="Parcial","~",""))</f>
        <v/>
      </c>
      <c r="M47" s="225" t="str">
        <f>IF(OR(MEDICARTE!C87="Sí",MEDICARTE!C87="Si"),"✓",IF(MEDICARTE!C87="Parcial","~",""))</f>
        <v/>
      </c>
      <c r="N47" s="226">
        <f>COUNTIF(C47:M47,"✓")+0.5*COUNTIF(C47:M47,"~")</f>
        <v>1</v>
      </c>
      <c r="O47" s="231"/>
    </row>
    <row r="48" spans="1:15">
      <c r="A48" s="231"/>
      <c r="B48" s="227" t="s">
        <v>152</v>
      </c>
      <c r="C48" s="225" t="str">
        <f>IF(OR('SURA Cotizadores'!C89="Sí",'SURA Cotizadores'!C89="Si"),"✓",IF('SURA Cotizadores'!C89="Parcial","~",""))</f>
        <v>~</v>
      </c>
      <c r="D48" s="225" t="str">
        <f>IF(OR('SURA Venta Digital'!C88="Sí",'SURA Venta Digital'!C88="Si"),"✓",IF('SURA Venta Digital'!C88="Parcial","~",""))</f>
        <v>✓</v>
      </c>
      <c r="E48" s="225" t="str">
        <f>IF(OR('SURA Torre Control'!C88="Sí",'SURA Torre Control'!C88="Si"),"✓",IF('SURA Torre Control'!C88="Parcial","~",""))</f>
        <v/>
      </c>
      <c r="F48" s="225" t="str">
        <f>IF(OR('SURA Mesa 4'!C88="Sí",'SURA Mesa 4'!C88="Si"),"✓",IF('SURA Mesa 4'!C88="Parcial","~",""))</f>
        <v/>
      </c>
      <c r="G48" s="225" t="str">
        <f>IF(OR('BCO Gioti 1'!C88="Sí",'BCO Gioti 1'!C88="Si"),"✓",IF('BCO Gioti 1'!C88="Parcial","~",""))</f>
        <v>~</v>
      </c>
      <c r="H48" s="225" t="str">
        <f>IF(OR('BCO Gioti 2'!C88="Sí",'BCO Gioti 2'!C88="Si"),"✓",IF('BCO Gioti 2'!C88="Parcial","~",""))</f>
        <v/>
      </c>
      <c r="I48" s="225" t="str">
        <f>IF(OR('BCO Gioti 3'!C88="Sí",'BCO Gioti 3'!C88="Si"),"✓",IF('BCO Gioti 3'!C88="Parcial","~",""))</f>
        <v/>
      </c>
      <c r="J48" s="225" t="str">
        <f>IF(OR('BCO Gioti 4'!C88="Sí",'BCO Gioti 4'!C88="Si"),"✓",IF('BCO Gioti 4'!C88="Parcial","~",""))</f>
        <v/>
      </c>
      <c r="K48" s="225" t="str">
        <f>IF(OR(AES!C88="Sí",AES!C88="Si"),"✓",IF(AES!C88="Parcial","~",""))</f>
        <v/>
      </c>
      <c r="L48" s="225" t="str">
        <f>IF(OR(XM!C88="Sí",XM!C88="Si"),"✓",IF(XM!C88="Parcial","~",""))</f>
        <v/>
      </c>
      <c r="M48" s="225" t="str">
        <f>IF(OR(MEDICARTE!C88="Sí",MEDICARTE!C88="Si"),"✓",IF(MEDICARTE!C88="Parcial","~",""))</f>
        <v/>
      </c>
      <c r="N48" s="226">
        <f>COUNTIF(C48:M48,"✓")+0.5*COUNTIF(C48:M48,"~")</f>
        <v>2</v>
      </c>
      <c r="O48" s="231"/>
    </row>
    <row r="49" spans="1:15">
      <c r="A49" s="231"/>
      <c r="B49" s="227" t="s">
        <v>153</v>
      </c>
      <c r="C49" s="225" t="str">
        <f>IF(OR('SURA Cotizadores'!C90="Sí",'SURA Cotizadores'!C90="Si"),"✓",IF('SURA Cotizadores'!C90="Parcial","~",""))</f>
        <v>✓</v>
      </c>
      <c r="D49" s="225" t="str">
        <f>IF(OR('SURA Venta Digital'!C89="Sí",'SURA Venta Digital'!C89="Si"),"✓",IF('SURA Venta Digital'!C89="Parcial","~",""))</f>
        <v>✓</v>
      </c>
      <c r="E49" s="225" t="str">
        <f>IF(OR('SURA Torre Control'!C89="Sí",'SURA Torre Control'!C89="Si"),"✓",IF('SURA Torre Control'!C89="Parcial","~",""))</f>
        <v/>
      </c>
      <c r="F49" s="225" t="str">
        <f>IF(OR('SURA Mesa 4'!C89="Sí",'SURA Mesa 4'!C89="Si"),"✓",IF('SURA Mesa 4'!C89="Parcial","~",""))</f>
        <v/>
      </c>
      <c r="G49" s="225" t="str">
        <f>IF(OR('BCO Gioti 1'!C89="Sí",'BCO Gioti 1'!C89="Si"),"✓",IF('BCO Gioti 1'!C89="Parcial","~",""))</f>
        <v/>
      </c>
      <c r="H49" s="225" t="str">
        <f>IF(OR('BCO Gioti 2'!C89="Sí",'BCO Gioti 2'!C89="Si"),"✓",IF('BCO Gioti 2'!C89="Parcial","~",""))</f>
        <v/>
      </c>
      <c r="I49" s="225" t="str">
        <f>IF(OR('BCO Gioti 3'!C89="Sí",'BCO Gioti 3'!C89="Si"),"✓",IF('BCO Gioti 3'!C89="Parcial","~",""))</f>
        <v/>
      </c>
      <c r="J49" s="225" t="str">
        <f>IF(OR('BCO Gioti 4'!C89="Sí",'BCO Gioti 4'!C89="Si"),"✓",IF('BCO Gioti 4'!C89="Parcial","~",""))</f>
        <v/>
      </c>
      <c r="K49" s="225" t="str">
        <f>IF(OR(AES!C89="Sí",AES!C89="Si"),"✓",IF(AES!C89="Parcial","~",""))</f>
        <v/>
      </c>
      <c r="L49" s="225" t="str">
        <f>IF(OR(XM!C89="Sí",XM!C89="Si"),"✓",IF(XM!C89="Parcial","~",""))</f>
        <v/>
      </c>
      <c r="M49" s="225" t="str">
        <f>IF(OR(MEDICARTE!C89="Sí",MEDICARTE!C89="Si"),"✓",IF(MEDICARTE!C89="Parcial","~",""))</f>
        <v/>
      </c>
      <c r="N49" s="226">
        <f>COUNTIF(C49:M49,"✓")+0.5*COUNTIF(C49:M49,"~")</f>
        <v>2</v>
      </c>
      <c r="O49" s="231"/>
    </row>
    <row r="50" spans="1:15">
      <c r="A50" s="231"/>
      <c r="B50" s="227" t="s">
        <v>154</v>
      </c>
      <c r="C50" s="225" t="str">
        <f>IF(OR('SURA Cotizadores'!C91="Sí",'SURA Cotizadores'!C91="Si"),"✓",IF('SURA Cotizadores'!C91="Parcial","~",""))</f>
        <v>✓</v>
      </c>
      <c r="D50" s="225" t="str">
        <f>IF(OR('SURA Venta Digital'!C90="Sí",'SURA Venta Digital'!C90="Si"),"✓",IF('SURA Venta Digital'!C90="Parcial","~",""))</f>
        <v>✓</v>
      </c>
      <c r="E50" s="225" t="str">
        <f>IF(OR('SURA Torre Control'!C90="Sí",'SURA Torre Control'!C90="Si"),"✓",IF('SURA Torre Control'!C90="Parcial","~",""))</f>
        <v/>
      </c>
      <c r="F50" s="225" t="str">
        <f>IF(OR('SURA Mesa 4'!C90="Sí",'SURA Mesa 4'!C90="Si"),"✓",IF('SURA Mesa 4'!C90="Parcial","~",""))</f>
        <v/>
      </c>
      <c r="G50" s="225" t="str">
        <f>IF(OR('BCO Gioti 1'!C90="Sí",'BCO Gioti 1'!C90="Si"),"✓",IF('BCO Gioti 1'!C90="Parcial","~",""))</f>
        <v>~</v>
      </c>
      <c r="H50" s="225" t="str">
        <f>IF(OR('BCO Gioti 2'!C90="Sí",'BCO Gioti 2'!C90="Si"),"✓",IF('BCO Gioti 2'!C90="Parcial","~",""))</f>
        <v/>
      </c>
      <c r="I50" s="225" t="str">
        <f>IF(OR('BCO Gioti 3'!C90="Sí",'BCO Gioti 3'!C90="Si"),"✓",IF('BCO Gioti 3'!C90="Parcial","~",""))</f>
        <v/>
      </c>
      <c r="J50" s="225" t="str">
        <f>IF(OR('BCO Gioti 4'!C90="Sí",'BCO Gioti 4'!C90="Si"),"✓",IF('BCO Gioti 4'!C90="Parcial","~",""))</f>
        <v/>
      </c>
      <c r="K50" s="225" t="str">
        <f>IF(OR(AES!C90="Sí",AES!C90="Si"),"✓",IF(AES!C90="Parcial","~",""))</f>
        <v/>
      </c>
      <c r="L50" s="225" t="str">
        <f>IF(OR(XM!C90="Sí",XM!C90="Si"),"✓",IF(XM!C90="Parcial","~",""))</f>
        <v/>
      </c>
      <c r="M50" s="225" t="str">
        <f>IF(OR(MEDICARTE!C90="Sí",MEDICARTE!C90="Si"),"✓",IF(MEDICARTE!C90="Parcial","~",""))</f>
        <v/>
      </c>
      <c r="N50" s="226">
        <f>COUNTIF(C50:M50,"✓")+0.5*COUNTIF(C50:M50,"~")</f>
        <v>2.5</v>
      </c>
      <c r="O50" s="231"/>
    </row>
    <row r="51" spans="1:15">
      <c r="A51" s="231"/>
      <c r="B51" s="227" t="s">
        <v>155</v>
      </c>
      <c r="C51" s="225" t="str">
        <f>IF(OR('SURA Cotizadores'!C92="Sí",'SURA Cotizadores'!C92="Si"),"✓",IF('SURA Cotizadores'!C92="Parcial","~",""))</f>
        <v>✓</v>
      </c>
      <c r="D51" s="225" t="str">
        <f>IF(OR('SURA Venta Digital'!C91="Sí",'SURA Venta Digital'!C91="Si"),"✓",IF('SURA Venta Digital'!C91="Parcial","~",""))</f>
        <v>✓</v>
      </c>
      <c r="E51" s="225" t="str">
        <f>IF(OR('SURA Torre Control'!C91="Sí",'SURA Torre Control'!C91="Si"),"✓",IF('SURA Torre Control'!C91="Parcial","~",""))</f>
        <v/>
      </c>
      <c r="F51" s="225" t="str">
        <f>IF(OR('SURA Mesa 4'!C91="Sí",'SURA Mesa 4'!C91="Si"),"✓",IF('SURA Mesa 4'!C91="Parcial","~",""))</f>
        <v/>
      </c>
      <c r="G51" s="225" t="str">
        <f>IF(OR('BCO Gioti 1'!C91="Sí",'BCO Gioti 1'!C91="Si"),"✓",IF('BCO Gioti 1'!C91="Parcial","~",""))</f>
        <v/>
      </c>
      <c r="H51" s="225" t="str">
        <f>IF(OR('BCO Gioti 2'!C91="Sí",'BCO Gioti 2'!C91="Si"),"✓",IF('BCO Gioti 2'!C91="Parcial","~",""))</f>
        <v/>
      </c>
      <c r="I51" s="225" t="str">
        <f>IF(OR('BCO Gioti 3'!C91="Sí",'BCO Gioti 3'!C91="Si"),"✓",IF('BCO Gioti 3'!C91="Parcial","~",""))</f>
        <v/>
      </c>
      <c r="J51" s="225" t="str">
        <f>IF(OR('BCO Gioti 4'!C91="Sí",'BCO Gioti 4'!C91="Si"),"✓",IF('BCO Gioti 4'!C91="Parcial","~",""))</f>
        <v/>
      </c>
      <c r="K51" s="225" t="str">
        <f>IF(OR(AES!C91="Sí",AES!C91="Si"),"✓",IF(AES!C91="Parcial","~",""))</f>
        <v/>
      </c>
      <c r="L51" s="225" t="str">
        <f>IF(OR(XM!C91="Sí",XM!C91="Si"),"✓",IF(XM!C91="Parcial","~",""))</f>
        <v/>
      </c>
      <c r="M51" s="225" t="str">
        <f>IF(OR(MEDICARTE!C91="Sí",MEDICARTE!C91="Si"),"✓",IF(MEDICARTE!C91="Parcial","~",""))</f>
        <v/>
      </c>
      <c r="N51" s="226">
        <f>COUNTIF(C51:M51,"✓")+0.5*COUNTIF(C51:M51,"~")</f>
        <v>2</v>
      </c>
      <c r="O51" s="231"/>
    </row>
    <row r="52" spans="1:15">
      <c r="A52" s="231"/>
      <c r="B52" s="227" t="s">
        <v>156</v>
      </c>
      <c r="C52" s="225" t="str">
        <f>IF(OR('SURA Cotizadores'!C93="Sí",'SURA Cotizadores'!C93="Si"),"✓",IF('SURA Cotizadores'!C93="Parcial","~",""))</f>
        <v>~</v>
      </c>
      <c r="D52" s="225" t="str">
        <f>IF(OR('SURA Venta Digital'!C92="Sí",'SURA Venta Digital'!C92="Si"),"✓",IF('SURA Venta Digital'!C92="Parcial","~",""))</f>
        <v>✓</v>
      </c>
      <c r="E52" s="225" t="str">
        <f>IF(OR('SURA Torre Control'!C92="Sí",'SURA Torre Control'!C92="Si"),"✓",IF('SURA Torre Control'!C92="Parcial","~",""))</f>
        <v/>
      </c>
      <c r="F52" s="225" t="str">
        <f>IF(OR('SURA Mesa 4'!C92="Sí",'SURA Mesa 4'!C92="Si"),"✓",IF('SURA Mesa 4'!C92="Parcial","~",""))</f>
        <v/>
      </c>
      <c r="G52" s="225" t="str">
        <f>IF(OR('BCO Gioti 1'!C92="Sí",'BCO Gioti 1'!C92="Si"),"✓",IF('BCO Gioti 1'!C92="Parcial","~",""))</f>
        <v/>
      </c>
      <c r="H52" s="225" t="str">
        <f>IF(OR('BCO Gioti 2'!C92="Sí",'BCO Gioti 2'!C92="Si"),"✓",IF('BCO Gioti 2'!C92="Parcial","~",""))</f>
        <v/>
      </c>
      <c r="I52" s="225" t="str">
        <f>IF(OR('BCO Gioti 3'!C92="Sí",'BCO Gioti 3'!C92="Si"),"✓",IF('BCO Gioti 3'!C92="Parcial","~",""))</f>
        <v/>
      </c>
      <c r="J52" s="225" t="str">
        <f>IF(OR('BCO Gioti 4'!C92="Sí",'BCO Gioti 4'!C92="Si"),"✓",IF('BCO Gioti 4'!C92="Parcial","~",""))</f>
        <v/>
      </c>
      <c r="K52" s="225" t="str">
        <f>IF(OR(AES!C92="Sí",AES!C92="Si"),"✓",IF(AES!C92="Parcial","~",""))</f>
        <v/>
      </c>
      <c r="L52" s="225" t="str">
        <f>IF(OR(XM!C92="Sí",XM!C92="Si"),"✓",IF(XM!C92="Parcial","~",""))</f>
        <v/>
      </c>
      <c r="M52" s="225" t="str">
        <f>IF(OR(MEDICARTE!C92="Sí",MEDICARTE!C92="Si"),"✓",IF(MEDICARTE!C92="Parcial","~",""))</f>
        <v/>
      </c>
      <c r="N52" s="226">
        <f>COUNTIF(C52:M52,"✓")+0.5*COUNTIF(C52:M52,"~")</f>
        <v>1.5</v>
      </c>
      <c r="O52" s="231"/>
    </row>
    <row r="53" spans="1:15">
      <c r="A53" s="231"/>
      <c r="B53" s="227" t="s">
        <v>157</v>
      </c>
      <c r="C53" s="225" t="str">
        <f>IF(OR('SURA Cotizadores'!C94="Sí",'SURA Cotizadores'!C94="Si"),"✓",IF('SURA Cotizadores'!C94="Parcial","~",""))</f>
        <v/>
      </c>
      <c r="D53" s="225" t="str">
        <f>IF(OR('SURA Venta Digital'!C93="Sí",'SURA Venta Digital'!C93="Si"),"✓",IF('SURA Venta Digital'!C93="Parcial","~",""))</f>
        <v>✓</v>
      </c>
      <c r="E53" s="225" t="str">
        <f>IF(OR('SURA Torre Control'!C93="Sí",'SURA Torre Control'!C93="Si"),"✓",IF('SURA Torre Control'!C93="Parcial","~",""))</f>
        <v/>
      </c>
      <c r="F53" s="225" t="str">
        <f>IF(OR('SURA Mesa 4'!C93="Sí",'SURA Mesa 4'!C93="Si"),"✓",IF('SURA Mesa 4'!C93="Parcial","~",""))</f>
        <v/>
      </c>
      <c r="G53" s="225" t="str">
        <f>IF(OR('BCO Gioti 1'!C93="Sí",'BCO Gioti 1'!C93="Si"),"✓",IF('BCO Gioti 1'!C93="Parcial","~",""))</f>
        <v/>
      </c>
      <c r="H53" s="225" t="str">
        <f>IF(OR('BCO Gioti 2'!C93="Sí",'BCO Gioti 2'!C93="Si"),"✓",IF('BCO Gioti 2'!C93="Parcial","~",""))</f>
        <v/>
      </c>
      <c r="I53" s="225" t="str">
        <f>IF(OR('BCO Gioti 3'!C93="Sí",'BCO Gioti 3'!C93="Si"),"✓",IF('BCO Gioti 3'!C93="Parcial","~",""))</f>
        <v/>
      </c>
      <c r="J53" s="225" t="str">
        <f>IF(OR('BCO Gioti 4'!C93="Sí",'BCO Gioti 4'!C93="Si"),"✓",IF('BCO Gioti 4'!C93="Parcial","~",""))</f>
        <v/>
      </c>
      <c r="K53" s="225" t="str">
        <f>IF(OR(AES!C93="Sí",AES!C93="Si"),"✓",IF(AES!C93="Parcial","~",""))</f>
        <v/>
      </c>
      <c r="L53" s="225" t="str">
        <f>IF(OR(XM!C93="Sí",XM!C93="Si"),"✓",IF(XM!C93="Parcial","~",""))</f>
        <v/>
      </c>
      <c r="M53" s="225" t="str">
        <f>IF(OR(MEDICARTE!C93="Sí",MEDICARTE!C93="Si"),"✓",IF(MEDICARTE!C93="Parcial","~",""))</f>
        <v/>
      </c>
      <c r="N53" s="226">
        <f>COUNTIF(C53:M53,"✓")+0.5*COUNTIF(C53:M53,"~")</f>
        <v>1</v>
      </c>
      <c r="O53" s="231"/>
    </row>
    <row r="54" spans="1:15">
      <c r="A54" s="231"/>
      <c r="B54" s="227" t="s">
        <v>158</v>
      </c>
      <c r="C54" s="225" t="str">
        <f>IF(OR('SURA Cotizadores'!C95="Sí",'SURA Cotizadores'!C95="Si"),"✓",IF('SURA Cotizadores'!C95="Parcial","~",""))</f>
        <v/>
      </c>
      <c r="D54" s="225" t="str">
        <f>IF(OR('SURA Venta Digital'!C94="Sí",'SURA Venta Digital'!C94="Si"),"✓",IF('SURA Venta Digital'!C94="Parcial","~",""))</f>
        <v>✓</v>
      </c>
      <c r="E54" s="225" t="str">
        <f>IF(OR('SURA Torre Control'!C94="Sí",'SURA Torre Control'!C94="Si"),"✓",IF('SURA Torre Control'!C94="Parcial","~",""))</f>
        <v/>
      </c>
      <c r="F54" s="225" t="str">
        <f>IF(OR('SURA Mesa 4'!C94="Sí",'SURA Mesa 4'!C94="Si"),"✓",IF('SURA Mesa 4'!C94="Parcial","~",""))</f>
        <v/>
      </c>
      <c r="G54" s="225" t="str">
        <f>IF(OR('BCO Gioti 1'!C94="Sí",'BCO Gioti 1'!C94="Si"),"✓",IF('BCO Gioti 1'!C94="Parcial","~",""))</f>
        <v/>
      </c>
      <c r="H54" s="225" t="str">
        <f>IF(OR('BCO Gioti 2'!C94="Sí",'BCO Gioti 2'!C94="Si"),"✓",IF('BCO Gioti 2'!C94="Parcial","~",""))</f>
        <v/>
      </c>
      <c r="I54" s="225" t="str">
        <f>IF(OR('BCO Gioti 3'!C94="Sí",'BCO Gioti 3'!C94="Si"),"✓",IF('BCO Gioti 3'!C94="Parcial","~",""))</f>
        <v/>
      </c>
      <c r="J54" s="225" t="str">
        <f>IF(OR('BCO Gioti 4'!C94="Sí",'BCO Gioti 4'!C94="Si"),"✓",IF('BCO Gioti 4'!C94="Parcial","~",""))</f>
        <v/>
      </c>
      <c r="K54" s="225" t="str">
        <f>IF(OR(AES!C94="Sí",AES!C94="Si"),"✓",IF(AES!C94="Parcial","~",""))</f>
        <v/>
      </c>
      <c r="L54" s="225" t="str">
        <f>IF(OR(XM!C94="Sí",XM!C94="Si"),"✓",IF(XM!C94="Parcial","~",""))</f>
        <v/>
      </c>
      <c r="M54" s="225" t="str">
        <f>IF(OR(MEDICARTE!C94="Sí",MEDICARTE!C94="Si"),"✓",IF(MEDICARTE!C94="Parcial","~",""))</f>
        <v/>
      </c>
      <c r="N54" s="226">
        <f>COUNTIF(C54:M54,"✓")+0.5*COUNTIF(C54:M54,"~")</f>
        <v>1</v>
      </c>
      <c r="O54" s="231"/>
    </row>
    <row r="55" spans="1:15">
      <c r="A55" s="231"/>
      <c r="B55" s="227" t="s">
        <v>159</v>
      </c>
      <c r="C55" s="225" t="str">
        <f>IF(OR('SURA Cotizadores'!C96="Sí",'SURA Cotizadores'!C96="Si"),"✓",IF('SURA Cotizadores'!C96="Parcial","~",""))</f>
        <v/>
      </c>
      <c r="D55" s="225" t="str">
        <f>IF(OR('SURA Venta Digital'!C95="Sí",'SURA Venta Digital'!C95="Si"),"✓",IF('SURA Venta Digital'!C95="Parcial","~",""))</f>
        <v/>
      </c>
      <c r="E55" s="225" t="str">
        <f>IF(OR('SURA Torre Control'!C95="Sí",'SURA Torre Control'!C95="Si"),"✓",IF('SURA Torre Control'!C95="Parcial","~",""))</f>
        <v/>
      </c>
      <c r="F55" s="225" t="str">
        <f>IF(OR('SURA Mesa 4'!C95="Sí",'SURA Mesa 4'!C95="Si"),"✓",IF('SURA Mesa 4'!C95="Parcial","~",""))</f>
        <v/>
      </c>
      <c r="G55" s="225" t="str">
        <f>IF(OR('BCO Gioti 1'!C95="Sí",'BCO Gioti 1'!C95="Si"),"✓",IF('BCO Gioti 1'!C95="Parcial","~",""))</f>
        <v/>
      </c>
      <c r="H55" s="225" t="str">
        <f>IF(OR('BCO Gioti 2'!C95="Sí",'BCO Gioti 2'!C95="Si"),"✓",IF('BCO Gioti 2'!C95="Parcial","~",""))</f>
        <v/>
      </c>
      <c r="I55" s="225" t="str">
        <f>IF(OR('BCO Gioti 3'!C95="Sí",'BCO Gioti 3'!C95="Si"),"✓",IF('BCO Gioti 3'!C95="Parcial","~",""))</f>
        <v/>
      </c>
      <c r="J55" s="225" t="str">
        <f>IF(OR('BCO Gioti 4'!C95="Sí",'BCO Gioti 4'!C95="Si"),"✓",IF('BCO Gioti 4'!C95="Parcial","~",""))</f>
        <v/>
      </c>
      <c r="K55" s="225" t="str">
        <f>IF(OR(AES!C95="Sí",AES!C95="Si"),"✓",IF(AES!C95="Parcial","~",""))</f>
        <v/>
      </c>
      <c r="L55" s="225" t="str">
        <f>IF(OR(XM!C95="Sí",XM!C95="Si"),"✓",IF(XM!C95="Parcial","~",""))</f>
        <v/>
      </c>
      <c r="M55" s="225" t="str">
        <f>IF(OR(MEDICARTE!C95="Sí",MEDICARTE!C95="Si"),"✓",IF(MEDICARTE!C95="Parcial","~",""))</f>
        <v/>
      </c>
      <c r="N55" s="226">
        <f>COUNTIF(C55:M55,"✓")+0.5*COUNTIF(C55:M55,"~")</f>
        <v>0</v>
      </c>
      <c r="O55" s="231"/>
    </row>
    <row r="56" spans="1:15">
      <c r="A56" s="231"/>
      <c r="B56" s="227" t="s">
        <v>160</v>
      </c>
      <c r="C56" s="225" t="str">
        <f>IF(OR('SURA Cotizadores'!C97="Sí",'SURA Cotizadores'!C97="Si"),"✓",IF('SURA Cotizadores'!C97="Parcial","~",""))</f>
        <v>✓</v>
      </c>
      <c r="D56" s="225" t="str">
        <f>IF(OR('SURA Venta Digital'!C96="Sí",'SURA Venta Digital'!C96="Si"),"✓",IF('SURA Venta Digital'!C96="Parcial","~",""))</f>
        <v/>
      </c>
      <c r="E56" s="225" t="str">
        <f>IF(OR('SURA Torre Control'!C96="Sí",'SURA Torre Control'!C96="Si"),"✓",IF('SURA Torre Control'!C96="Parcial","~",""))</f>
        <v/>
      </c>
      <c r="F56" s="225" t="str">
        <f>IF(OR('SURA Mesa 4'!C96="Sí",'SURA Mesa 4'!C96="Si"),"✓",IF('SURA Mesa 4'!C96="Parcial","~",""))</f>
        <v/>
      </c>
      <c r="G56" s="225" t="str">
        <f>IF(OR('BCO Gioti 1'!C96="Sí",'BCO Gioti 1'!C96="Si"),"✓",IF('BCO Gioti 1'!C96="Parcial","~",""))</f>
        <v/>
      </c>
      <c r="H56" s="225" t="str">
        <f>IF(OR('BCO Gioti 2'!C96="Sí",'BCO Gioti 2'!C96="Si"),"✓",IF('BCO Gioti 2'!C96="Parcial","~",""))</f>
        <v/>
      </c>
      <c r="I56" s="225" t="str">
        <f>IF(OR('BCO Gioti 3'!C96="Sí",'BCO Gioti 3'!C96="Si"),"✓",IF('BCO Gioti 3'!C96="Parcial","~",""))</f>
        <v/>
      </c>
      <c r="J56" s="225" t="str">
        <f>IF(OR('BCO Gioti 4'!C96="Sí",'BCO Gioti 4'!C96="Si"),"✓",IF('BCO Gioti 4'!C96="Parcial","~",""))</f>
        <v/>
      </c>
      <c r="K56" s="225" t="str">
        <f>IF(OR(AES!C96="Sí",AES!C96="Si"),"✓",IF(AES!C96="Parcial","~",""))</f>
        <v/>
      </c>
      <c r="L56" s="225" t="str">
        <f>IF(OR(XM!C96="Sí",XM!C96="Si"),"✓",IF(XM!C96="Parcial","~",""))</f>
        <v/>
      </c>
      <c r="M56" s="225" t="str">
        <f>IF(OR(MEDICARTE!C96="Sí",MEDICARTE!C96="Si"),"✓",IF(MEDICARTE!C96="Parcial","~",""))</f>
        <v/>
      </c>
      <c r="N56" s="226">
        <f>COUNTIF(C56:M56,"✓")+0.5*COUNTIF(C56:M56,"~")</f>
        <v>1</v>
      </c>
      <c r="O56" s="231"/>
    </row>
    <row r="57" spans="1:15" ht="18" customHeight="1">
      <c r="A57" s="231"/>
      <c r="B57" s="227" t="s">
        <v>161</v>
      </c>
      <c r="C57" s="225" t="str">
        <f>IF(OR('SURA Cotizadores'!C98="Sí",'SURA Cotizadores'!C98="Si"),"✓",IF('SURA Cotizadores'!C98="Parcial","~",""))</f>
        <v/>
      </c>
      <c r="D57" s="225" t="str">
        <f>IF(OR('SURA Venta Digital'!C97="Sí",'SURA Venta Digital'!C97="Si"),"✓",IF('SURA Venta Digital'!C97="Parcial","~",""))</f>
        <v/>
      </c>
      <c r="E57" s="225" t="str">
        <f>IF(OR('SURA Torre Control'!C97="Sí",'SURA Torre Control'!C97="Si"),"✓",IF('SURA Torre Control'!C97="Parcial","~",""))</f>
        <v/>
      </c>
      <c r="F57" s="225" t="str">
        <f>IF(OR('SURA Mesa 4'!C97="Sí",'SURA Mesa 4'!C97="Si"),"✓",IF('SURA Mesa 4'!C97="Parcial","~",""))</f>
        <v/>
      </c>
      <c r="G57" s="225" t="str">
        <f>IF(OR('BCO Gioti 1'!C97="Sí",'BCO Gioti 1'!C97="Si"),"✓",IF('BCO Gioti 1'!C97="Parcial","~",""))</f>
        <v/>
      </c>
      <c r="H57" s="225" t="str">
        <f>IF(OR('BCO Gioti 2'!C97="Sí",'BCO Gioti 2'!C97="Si"),"✓",IF('BCO Gioti 2'!C97="Parcial","~",""))</f>
        <v/>
      </c>
      <c r="I57" s="225" t="str">
        <f>IF(OR('BCO Gioti 3'!C97="Sí",'BCO Gioti 3'!C97="Si"),"✓",IF('BCO Gioti 3'!C97="Parcial","~",""))</f>
        <v/>
      </c>
      <c r="J57" s="225" t="str">
        <f>IF(OR('BCO Gioti 4'!C97="Sí",'BCO Gioti 4'!C97="Si"),"✓",IF('BCO Gioti 4'!C97="Parcial","~",""))</f>
        <v/>
      </c>
      <c r="K57" s="225" t="str">
        <f>IF(OR(AES!C97="Sí",AES!C97="Si"),"✓",IF(AES!C97="Parcial","~",""))</f>
        <v/>
      </c>
      <c r="L57" s="225" t="str">
        <f>IF(OR(XM!C97="Sí",XM!C97="Si"),"✓",IF(XM!C97="Parcial","~",""))</f>
        <v/>
      </c>
      <c r="M57" s="225" t="str">
        <f>IF(OR(MEDICARTE!C97="Sí",MEDICARTE!C97="Si"),"✓",IF(MEDICARTE!C97="Parcial","~",""))</f>
        <v/>
      </c>
      <c r="N57" s="226">
        <f>COUNTIF(C57:M57,"✓")+0.5*COUNTIF(C57:M57,"~")</f>
        <v>0</v>
      </c>
      <c r="O57" s="231"/>
    </row>
    <row r="58" spans="1:15">
      <c r="A58" s="231"/>
      <c r="B58" s="227" t="s">
        <v>162</v>
      </c>
      <c r="C58" s="225" t="str">
        <f>IF(OR('SURA Cotizadores'!C99="Sí",'SURA Cotizadores'!C99="Si"),"✓",IF('SURA Cotizadores'!C99="Parcial","~",""))</f>
        <v/>
      </c>
      <c r="D58" s="225" t="str">
        <f>IF(OR('SURA Venta Digital'!C98="Sí",'SURA Venta Digital'!C98="Si"),"✓",IF('SURA Venta Digital'!C98="Parcial","~",""))</f>
        <v/>
      </c>
      <c r="E58" s="225" t="str">
        <f>IF(OR('SURA Torre Control'!C98="Sí",'SURA Torre Control'!C98="Si"),"✓",IF('SURA Torre Control'!C98="Parcial","~",""))</f>
        <v/>
      </c>
      <c r="F58" s="225" t="str">
        <f>IF(OR('SURA Mesa 4'!C98="Sí",'SURA Mesa 4'!C98="Si"),"✓",IF('SURA Mesa 4'!C98="Parcial","~",""))</f>
        <v/>
      </c>
      <c r="G58" s="225" t="str">
        <f>IF(OR('BCO Gioti 1'!C98="Sí",'BCO Gioti 1'!C98="Si"),"✓",IF('BCO Gioti 1'!C98="Parcial","~",""))</f>
        <v/>
      </c>
      <c r="H58" s="225" t="str">
        <f>IF(OR('BCO Gioti 2'!C98="Sí",'BCO Gioti 2'!C98="Si"),"✓",IF('BCO Gioti 2'!C98="Parcial","~",""))</f>
        <v/>
      </c>
      <c r="I58" s="225" t="str">
        <f>IF(OR('BCO Gioti 3'!C98="Sí",'BCO Gioti 3'!C98="Si"),"✓",IF('BCO Gioti 3'!C98="Parcial","~",""))</f>
        <v/>
      </c>
      <c r="J58" s="225" t="str">
        <f>IF(OR('BCO Gioti 4'!C98="Sí",'BCO Gioti 4'!C98="Si"),"✓",IF('BCO Gioti 4'!C98="Parcial","~",""))</f>
        <v/>
      </c>
      <c r="K58" s="225" t="str">
        <f>IF(OR(AES!C98="Sí",AES!C98="Si"),"✓",IF(AES!C98="Parcial","~",""))</f>
        <v/>
      </c>
      <c r="L58" s="225" t="str">
        <f>IF(OR(XM!C98="Sí",XM!C98="Si"),"✓",IF(XM!C98="Parcial","~",""))</f>
        <v/>
      </c>
      <c r="M58" s="225" t="str">
        <f>IF(OR(MEDICARTE!C98="Sí",MEDICARTE!C98="Si"),"✓",IF(MEDICARTE!C98="Parcial","~",""))</f>
        <v/>
      </c>
      <c r="N58" s="226">
        <f>COUNTIF(C58:M58,"✓")+0.5*COUNTIF(C58:M58,"~")</f>
        <v>0</v>
      </c>
      <c r="O58" s="231"/>
    </row>
    <row r="59" spans="1:15">
      <c r="A59" s="231"/>
      <c r="B59" s="227" t="s">
        <v>163</v>
      </c>
      <c r="C59" s="225" t="str">
        <f>IF(OR('SURA Cotizadores'!C100="Sí",'SURA Cotizadores'!C100="Si"),"✓",IF('SURA Cotizadores'!C100="Parcial","~",""))</f>
        <v/>
      </c>
      <c r="D59" s="225" t="str">
        <f>IF(OR('SURA Venta Digital'!C99="Sí",'SURA Venta Digital'!C99="Si"),"✓",IF('SURA Venta Digital'!C99="Parcial","~",""))</f>
        <v/>
      </c>
      <c r="E59" s="225" t="str">
        <f>IF(OR('SURA Torre Control'!C99="Sí",'SURA Torre Control'!C99="Si"),"✓",IF('SURA Torre Control'!C99="Parcial","~",""))</f>
        <v/>
      </c>
      <c r="F59" s="225" t="str">
        <f>IF(OR('SURA Mesa 4'!C99="Sí",'SURA Mesa 4'!C99="Si"),"✓",IF('SURA Mesa 4'!C99="Parcial","~",""))</f>
        <v/>
      </c>
      <c r="G59" s="225" t="str">
        <f>IF(OR('BCO Gioti 1'!C99="Sí",'BCO Gioti 1'!C99="Si"),"✓",IF('BCO Gioti 1'!C99="Parcial","~",""))</f>
        <v/>
      </c>
      <c r="H59" s="225" t="str">
        <f>IF(OR('BCO Gioti 2'!C99="Sí",'BCO Gioti 2'!C99="Si"),"✓",IF('BCO Gioti 2'!C99="Parcial","~",""))</f>
        <v/>
      </c>
      <c r="I59" s="225" t="str">
        <f>IF(OR('BCO Gioti 3'!C99="Sí",'BCO Gioti 3'!C99="Si"),"✓",IF('BCO Gioti 3'!C99="Parcial","~",""))</f>
        <v/>
      </c>
      <c r="J59" s="225" t="str">
        <f>IF(OR('BCO Gioti 4'!C99="Sí",'BCO Gioti 4'!C99="Si"),"✓",IF('BCO Gioti 4'!C99="Parcial","~",""))</f>
        <v/>
      </c>
      <c r="K59" s="225" t="str">
        <f>IF(OR(AES!C99="Sí",AES!C99="Si"),"✓",IF(AES!C99="Parcial","~",""))</f>
        <v/>
      </c>
      <c r="L59" s="225" t="str">
        <f>IF(OR(XM!C99="Sí",XM!C99="Si"),"✓",IF(XM!C99="Parcial","~",""))</f>
        <v/>
      </c>
      <c r="M59" s="225" t="str">
        <f>IF(OR(MEDICARTE!C99="Sí",MEDICARTE!C99="Si"),"✓",IF(MEDICARTE!C99="Parcial","~",""))</f>
        <v/>
      </c>
      <c r="N59" s="226">
        <f>COUNTIF(C59:M59,"✓")+0.5*COUNTIF(C59:M59,"~")</f>
        <v>0</v>
      </c>
      <c r="O59" s="231"/>
    </row>
    <row r="60" spans="1:15">
      <c r="A60" s="231"/>
      <c r="B60" s="227" t="s">
        <v>164</v>
      </c>
      <c r="C60" s="225" t="str">
        <f>IF(OR('SURA Cotizadores'!C101="Sí",'SURA Cotizadores'!C101="Si"),"✓",IF('SURA Cotizadores'!C101="Parcial","~",""))</f>
        <v/>
      </c>
      <c r="D60" s="225" t="str">
        <f>IF(OR('SURA Venta Digital'!C100="Sí",'SURA Venta Digital'!C100="Si"),"✓",IF('SURA Venta Digital'!C100="Parcial","~",""))</f>
        <v/>
      </c>
      <c r="E60" s="225" t="str">
        <f>IF(OR('SURA Torre Control'!C100="Sí",'SURA Torre Control'!C100="Si"),"✓",IF('SURA Torre Control'!C100="Parcial","~",""))</f>
        <v/>
      </c>
      <c r="F60" s="225" t="str">
        <f>IF(OR('SURA Mesa 4'!C100="Sí",'SURA Mesa 4'!C100="Si"),"✓",IF('SURA Mesa 4'!C100="Parcial","~",""))</f>
        <v/>
      </c>
      <c r="G60" s="225" t="str">
        <f>IF(OR('BCO Gioti 1'!C100="Sí",'BCO Gioti 1'!C100="Si"),"✓",IF('BCO Gioti 1'!C100="Parcial","~",""))</f>
        <v/>
      </c>
      <c r="H60" s="225" t="str">
        <f>IF(OR('BCO Gioti 2'!C100="Sí",'BCO Gioti 2'!C100="Si"),"✓",IF('BCO Gioti 2'!C100="Parcial","~",""))</f>
        <v/>
      </c>
      <c r="I60" s="225" t="str">
        <f>IF(OR('BCO Gioti 3'!C100="Sí",'BCO Gioti 3'!C100="Si"),"✓",IF('BCO Gioti 3'!C100="Parcial","~",""))</f>
        <v/>
      </c>
      <c r="J60" s="225" t="str">
        <f>IF(OR('BCO Gioti 4'!C100="Sí",'BCO Gioti 4'!C100="Si"),"✓",IF('BCO Gioti 4'!C100="Parcial","~",""))</f>
        <v/>
      </c>
      <c r="K60" s="225" t="str">
        <f>IF(OR(AES!C100="Sí",AES!C100="Si"),"✓",IF(AES!C100="Parcial","~",""))</f>
        <v/>
      </c>
      <c r="L60" s="225" t="str">
        <f>IF(OR(XM!C100="Sí",XM!C100="Si"),"✓",IF(XM!C100="Parcial","~",""))</f>
        <v/>
      </c>
      <c r="M60" s="225" t="str">
        <f>IF(OR(MEDICARTE!C100="Sí",MEDICARTE!C100="Si"),"✓",IF(MEDICARTE!C100="Parcial","~",""))</f>
        <v/>
      </c>
      <c r="N60" s="226">
        <f>COUNTIF(C60:M60,"✓")+0.5*COUNTIF(C60:M60,"~")</f>
        <v>0</v>
      </c>
      <c r="O60" s="231"/>
    </row>
    <row r="61" spans="1:15">
      <c r="A61" s="231"/>
      <c r="B61" s="227" t="s">
        <v>165</v>
      </c>
      <c r="C61" s="225" t="str">
        <f>IF(OR('SURA Cotizadores'!C102="Sí",'SURA Cotizadores'!C102="Si"),"✓",IF('SURA Cotizadores'!C102="Parcial","~",""))</f>
        <v/>
      </c>
      <c r="D61" s="225" t="str">
        <f>IF(OR('SURA Venta Digital'!C101="Sí",'SURA Venta Digital'!C101="Si"),"✓",IF('SURA Venta Digital'!C101="Parcial","~",""))</f>
        <v/>
      </c>
      <c r="E61" s="225" t="str">
        <f>IF(OR('SURA Torre Control'!C101="Sí",'SURA Torre Control'!C101="Si"),"✓",IF('SURA Torre Control'!C101="Parcial","~",""))</f>
        <v/>
      </c>
      <c r="F61" s="225" t="str">
        <f>IF(OR('SURA Mesa 4'!C101="Sí",'SURA Mesa 4'!C101="Si"),"✓",IF('SURA Mesa 4'!C101="Parcial","~",""))</f>
        <v/>
      </c>
      <c r="G61" s="225" t="str">
        <f>IF(OR('BCO Gioti 1'!C101="Sí",'BCO Gioti 1'!C101="Si"),"✓",IF('BCO Gioti 1'!C101="Parcial","~",""))</f>
        <v/>
      </c>
      <c r="H61" s="225" t="str">
        <f>IF(OR('BCO Gioti 2'!C101="Sí",'BCO Gioti 2'!C101="Si"),"✓",IF('BCO Gioti 2'!C101="Parcial","~",""))</f>
        <v/>
      </c>
      <c r="I61" s="225" t="str">
        <f>IF(OR('BCO Gioti 3'!C101="Sí",'BCO Gioti 3'!C101="Si"),"✓",IF('BCO Gioti 3'!C101="Parcial","~",""))</f>
        <v/>
      </c>
      <c r="J61" s="225" t="str">
        <f>IF(OR('BCO Gioti 4'!C101="Sí",'BCO Gioti 4'!C101="Si"),"✓",IF('BCO Gioti 4'!C101="Parcial","~",""))</f>
        <v/>
      </c>
      <c r="K61" s="225" t="str">
        <f>IF(OR(AES!C101="Sí",AES!C101="Si"),"✓",IF(AES!C101="Parcial","~",""))</f>
        <v/>
      </c>
      <c r="L61" s="225" t="str">
        <f>IF(OR(XM!C101="Sí",XM!C101="Si"),"✓",IF(XM!C101="Parcial","~",""))</f>
        <v/>
      </c>
      <c r="M61" s="225" t="str">
        <f>IF(OR(MEDICARTE!C101="Sí",MEDICARTE!C101="Si"),"✓",IF(MEDICARTE!C101="Parcial","~",""))</f>
        <v/>
      </c>
      <c r="N61" s="226">
        <f>COUNTIF(C61:M61,"✓")+0.5*COUNTIF(C61:M61,"~")</f>
        <v>0</v>
      </c>
      <c r="O61" s="231"/>
    </row>
    <row r="62" spans="1:15">
      <c r="A62" s="231"/>
      <c r="B62" s="227" t="s">
        <v>166</v>
      </c>
      <c r="C62" s="225" t="str">
        <f>IF(OR('SURA Cotizadores'!C103="Sí",'SURA Cotizadores'!C103="Si"),"✓",IF('SURA Cotizadores'!C103="Parcial","~",""))</f>
        <v/>
      </c>
      <c r="D62" s="225" t="str">
        <f>IF(OR('SURA Venta Digital'!C102="Sí",'SURA Venta Digital'!C102="Si"),"✓",IF('SURA Venta Digital'!C102="Parcial","~",""))</f>
        <v/>
      </c>
      <c r="E62" s="225" t="str">
        <f>IF(OR('SURA Torre Control'!C102="Sí",'SURA Torre Control'!C102="Si"),"✓",IF('SURA Torre Control'!C102="Parcial","~",""))</f>
        <v/>
      </c>
      <c r="F62" s="225" t="str">
        <f>IF(OR('SURA Mesa 4'!C102="Sí",'SURA Mesa 4'!C102="Si"),"✓",IF('SURA Mesa 4'!C102="Parcial","~",""))</f>
        <v/>
      </c>
      <c r="G62" s="225" t="str">
        <f>IF(OR('BCO Gioti 1'!C102="Sí",'BCO Gioti 1'!C102="Si"),"✓",IF('BCO Gioti 1'!C102="Parcial","~",""))</f>
        <v/>
      </c>
      <c r="H62" s="225" t="str">
        <f>IF(OR('BCO Gioti 2'!C102="Sí",'BCO Gioti 2'!C102="Si"),"✓",IF('BCO Gioti 2'!C102="Parcial","~",""))</f>
        <v/>
      </c>
      <c r="I62" s="225" t="str">
        <f>IF(OR('BCO Gioti 3'!C102="Sí",'BCO Gioti 3'!C102="Si"),"✓",IF('BCO Gioti 3'!C102="Parcial","~",""))</f>
        <v/>
      </c>
      <c r="J62" s="225" t="str">
        <f>IF(OR('BCO Gioti 4'!C102="Sí",'BCO Gioti 4'!C102="Si"),"✓",IF('BCO Gioti 4'!C102="Parcial","~",""))</f>
        <v/>
      </c>
      <c r="K62" s="225" t="str">
        <f>IF(OR(AES!C102="Sí",AES!C102="Si"),"✓",IF(AES!C102="Parcial","~",""))</f>
        <v/>
      </c>
      <c r="L62" s="225" t="str">
        <f>IF(OR(XM!C102="Sí",XM!C102="Si"),"✓",IF(XM!C102="Parcial","~",""))</f>
        <v/>
      </c>
      <c r="M62" s="225" t="str">
        <f>IF(OR(MEDICARTE!C102="Sí",MEDICARTE!C102="Si"),"✓",IF(MEDICARTE!C102="Parcial","~",""))</f>
        <v/>
      </c>
      <c r="N62" s="226">
        <f>COUNTIF(C62:M62,"✓")+0.5*COUNTIF(C62:M62,"~")</f>
        <v>0</v>
      </c>
      <c r="O62" s="231"/>
    </row>
    <row r="63" spans="1:15">
      <c r="A63" s="231"/>
      <c r="B63" s="227" t="s">
        <v>167</v>
      </c>
      <c r="C63" s="225" t="str">
        <f>IF(OR('SURA Cotizadores'!C104="Sí",'SURA Cotizadores'!C104="Si"),"✓",IF('SURA Cotizadores'!C104="Parcial","~",""))</f>
        <v/>
      </c>
      <c r="D63" s="225" t="str">
        <f>IF(OR('SURA Venta Digital'!C103="Sí",'SURA Venta Digital'!C103="Si"),"✓",IF('SURA Venta Digital'!C103="Parcial","~",""))</f>
        <v/>
      </c>
      <c r="E63" s="225" t="str">
        <f>IF(OR('SURA Torre Control'!C103="Sí",'SURA Torre Control'!C103="Si"),"✓",IF('SURA Torre Control'!C103="Parcial","~",""))</f>
        <v/>
      </c>
      <c r="F63" s="225" t="str">
        <f>IF(OR('SURA Mesa 4'!C103="Sí",'SURA Mesa 4'!C103="Si"),"✓",IF('SURA Mesa 4'!C103="Parcial","~",""))</f>
        <v/>
      </c>
      <c r="G63" s="225" t="str">
        <f>IF(OR('BCO Gioti 1'!C103="Sí",'BCO Gioti 1'!C103="Si"),"✓",IF('BCO Gioti 1'!C103="Parcial","~",""))</f>
        <v/>
      </c>
      <c r="H63" s="225" t="str">
        <f>IF(OR('BCO Gioti 2'!C103="Sí",'BCO Gioti 2'!C103="Si"),"✓",IF('BCO Gioti 2'!C103="Parcial","~",""))</f>
        <v>✓</v>
      </c>
      <c r="I63" s="225" t="str">
        <f>IF(OR('BCO Gioti 3'!C103="Sí",'BCO Gioti 3'!C103="Si"),"✓",IF('BCO Gioti 3'!C103="Parcial","~",""))</f>
        <v/>
      </c>
      <c r="J63" s="225" t="str">
        <f>IF(OR('BCO Gioti 4'!C103="Sí",'BCO Gioti 4'!C103="Si"),"✓",IF('BCO Gioti 4'!C103="Parcial","~",""))</f>
        <v/>
      </c>
      <c r="K63" s="225" t="str">
        <f>IF(OR(AES!C103="Sí",AES!C103="Si"),"✓",IF(AES!C103="Parcial","~",""))</f>
        <v/>
      </c>
      <c r="L63" s="225" t="str">
        <f>IF(OR(XM!C103="Sí",XM!C103="Si"),"✓",IF(XM!C103="Parcial","~",""))</f>
        <v/>
      </c>
      <c r="M63" s="225" t="str">
        <f>IF(OR(MEDICARTE!C103="Sí",MEDICARTE!C103="Si"),"✓",IF(MEDICARTE!C103="Parcial","~",""))</f>
        <v/>
      </c>
      <c r="N63" s="226">
        <f>COUNTIF(C63:M63,"✓")+0.5*COUNTIF(C63:M63,"~")</f>
        <v>1</v>
      </c>
      <c r="O63" s="231"/>
    </row>
    <row r="64" spans="1:15">
      <c r="A64" s="231"/>
      <c r="B64" s="227" t="s">
        <v>168</v>
      </c>
      <c r="C64" s="225" t="str">
        <f>IF(OR('SURA Cotizadores'!C105="Sí",'SURA Cotizadores'!C105="Si"),"✓",IF('SURA Cotizadores'!C105="Parcial","~",""))</f>
        <v>✓</v>
      </c>
      <c r="D64" s="225" t="str">
        <f>IF(OR('SURA Venta Digital'!C104="Sí",'SURA Venta Digital'!C104="Si"),"✓",IF('SURA Venta Digital'!C104="Parcial","~",""))</f>
        <v/>
      </c>
      <c r="E64" s="225" t="str">
        <f>IF(OR('SURA Torre Control'!C104="Sí",'SURA Torre Control'!C104="Si"),"✓",IF('SURA Torre Control'!C104="Parcial","~",""))</f>
        <v/>
      </c>
      <c r="F64" s="225" t="str">
        <f>IF(OR('SURA Mesa 4'!C104="Sí",'SURA Mesa 4'!C104="Si"),"✓",IF('SURA Mesa 4'!C104="Parcial","~",""))</f>
        <v/>
      </c>
      <c r="G64" s="225" t="str">
        <f>IF(OR('BCO Gioti 1'!C104="Sí",'BCO Gioti 1'!C104="Si"),"✓",IF('BCO Gioti 1'!C104="Parcial","~",""))</f>
        <v/>
      </c>
      <c r="H64" s="225" t="str">
        <f>IF(OR('BCO Gioti 2'!C104="Sí",'BCO Gioti 2'!C104="Si"),"✓",IF('BCO Gioti 2'!C104="Parcial","~",""))</f>
        <v/>
      </c>
      <c r="I64" s="225" t="str">
        <f>IF(OR('BCO Gioti 3'!C104="Sí",'BCO Gioti 3'!C104="Si"),"✓",IF('BCO Gioti 3'!C104="Parcial","~",""))</f>
        <v/>
      </c>
      <c r="J64" s="225" t="str">
        <f>IF(OR('BCO Gioti 4'!C104="Sí",'BCO Gioti 4'!C104="Si"),"✓",IF('BCO Gioti 4'!C104="Parcial","~",""))</f>
        <v/>
      </c>
      <c r="K64" s="225" t="str">
        <f>IF(OR(AES!C104="Sí",AES!C104="Si"),"✓",IF(AES!C104="Parcial","~",""))</f>
        <v/>
      </c>
      <c r="L64" s="225" t="str">
        <f>IF(OR(XM!C104="Sí",XM!C104="Si"),"✓",IF(XM!C104="Parcial","~",""))</f>
        <v/>
      </c>
      <c r="M64" s="225" t="str">
        <f>IF(OR(MEDICARTE!C104="Sí",MEDICARTE!C104="Si"),"✓",IF(MEDICARTE!C104="Parcial","~",""))</f>
        <v/>
      </c>
      <c r="N64" s="226">
        <f>COUNTIF(C64:M64,"✓")+0.5*COUNTIF(C64:M64,"~")</f>
        <v>1</v>
      </c>
      <c r="O64" s="231"/>
    </row>
    <row r="65" spans="1:15">
      <c r="A65" s="231"/>
      <c r="B65"/>
      <c r="C65"/>
      <c r="D65"/>
      <c r="E65"/>
      <c r="F65"/>
      <c r="G65"/>
      <c r="H65"/>
      <c r="I65"/>
      <c r="J65"/>
      <c r="K65"/>
      <c r="L65"/>
      <c r="M65"/>
      <c r="N65"/>
      <c r="O65" s="231"/>
    </row>
    <row r="66" spans="1:15">
      <c r="A66" s="231"/>
      <c r="B66"/>
      <c r="C66"/>
      <c r="D66"/>
      <c r="E66"/>
      <c r="F66"/>
      <c r="G66"/>
      <c r="H66"/>
      <c r="I66"/>
      <c r="J66"/>
      <c r="K66"/>
      <c r="L66"/>
      <c r="M66"/>
      <c r="N66"/>
      <c r="O66" s="231"/>
    </row>
    <row r="67" spans="1:15">
      <c r="A67" s="231"/>
      <c r="B67"/>
      <c r="C67"/>
      <c r="D67"/>
      <c r="E67"/>
      <c r="F67"/>
      <c r="G67"/>
      <c r="H67"/>
      <c r="I67"/>
      <c r="J67"/>
      <c r="K67"/>
      <c r="L67"/>
      <c r="M67"/>
      <c r="N67"/>
      <c r="O67" s="231"/>
    </row>
    <row r="68" spans="1:15">
      <c r="A68" s="231"/>
      <c r="B68"/>
      <c r="C68"/>
      <c r="D68"/>
      <c r="E68"/>
      <c r="F68"/>
      <c r="G68"/>
      <c r="H68"/>
      <c r="I68"/>
      <c r="J68"/>
      <c r="K68"/>
      <c r="L68"/>
      <c r="M68"/>
      <c r="N68"/>
      <c r="O68" s="231"/>
    </row>
    <row r="69" spans="1:15">
      <c r="A69" s="231"/>
      <c r="B69"/>
      <c r="C69"/>
      <c r="D69"/>
      <c r="E69"/>
      <c r="F69"/>
      <c r="G69"/>
      <c r="H69"/>
      <c r="I69"/>
      <c r="J69"/>
      <c r="K69"/>
      <c r="L69"/>
      <c r="M69"/>
      <c r="N69"/>
      <c r="O69" s="231"/>
    </row>
    <row r="70" spans="1:15">
      <c r="A70" s="231"/>
      <c r="B70"/>
      <c r="C70"/>
      <c r="D70"/>
      <c r="E70"/>
      <c r="F70"/>
      <c r="G70"/>
      <c r="H70"/>
      <c r="I70"/>
      <c r="J70"/>
      <c r="K70"/>
      <c r="L70"/>
      <c r="M70"/>
      <c r="N70"/>
      <c r="O70" s="231"/>
    </row>
    <row r="71" spans="1:15">
      <c r="A71" s="231"/>
      <c r="B71"/>
      <c r="C71"/>
      <c r="D71"/>
      <c r="E71"/>
      <c r="F71"/>
      <c r="G71"/>
      <c r="H71"/>
      <c r="I71"/>
      <c r="J71"/>
      <c r="K71"/>
      <c r="L71"/>
      <c r="M71"/>
      <c r="N71"/>
      <c r="O71" s="231"/>
    </row>
    <row r="72" spans="1:15">
      <c r="A72" s="231"/>
      <c r="B72"/>
      <c r="C72"/>
      <c r="D72"/>
      <c r="E72"/>
      <c r="F72"/>
      <c r="G72"/>
      <c r="H72"/>
      <c r="I72"/>
      <c r="J72"/>
      <c r="K72"/>
      <c r="L72"/>
      <c r="M72"/>
      <c r="N72"/>
      <c r="O72" s="231"/>
    </row>
    <row r="73" spans="1:15">
      <c r="A73" s="231"/>
      <c r="B73" s="122"/>
      <c r="C73" s="122"/>
      <c r="D73" s="122"/>
      <c r="E73" s="122"/>
      <c r="F73" s="122"/>
      <c r="G73" s="122"/>
      <c r="H73" s="122"/>
      <c r="I73" s="122"/>
      <c r="J73" s="122"/>
      <c r="K73" s="122"/>
      <c r="L73" s="122"/>
      <c r="M73" s="122"/>
      <c r="N73" s="122"/>
      <c r="O73" s="231"/>
    </row>
    <row r="74" spans="1:15">
      <c r="A74" s="231"/>
      <c r="B74" s="122"/>
      <c r="C74" s="122"/>
      <c r="D74" s="122"/>
      <c r="E74" s="122"/>
      <c r="F74" s="122"/>
      <c r="G74" s="122"/>
      <c r="H74" s="122"/>
      <c r="I74" s="122"/>
      <c r="J74" s="122"/>
      <c r="K74" s="122"/>
      <c r="L74" s="122"/>
      <c r="M74" s="122"/>
      <c r="N74" s="122"/>
      <c r="O74" s="231"/>
    </row>
    <row r="75" spans="1:15">
      <c r="A75" s="231"/>
      <c r="B75" s="122"/>
      <c r="C75" s="122"/>
      <c r="D75" s="122"/>
      <c r="E75" s="122"/>
      <c r="F75" s="122"/>
      <c r="G75" s="122"/>
      <c r="H75" s="122"/>
      <c r="I75" s="122"/>
      <c r="J75" s="122"/>
      <c r="K75" s="122"/>
      <c r="L75" s="122"/>
      <c r="M75" s="122"/>
      <c r="N75" s="122"/>
      <c r="O75" s="231"/>
    </row>
    <row r="76" spans="1:15">
      <c r="A76" s="231"/>
      <c r="B76" s="122"/>
      <c r="C76" s="122"/>
      <c r="D76" s="122"/>
      <c r="E76" s="122"/>
      <c r="F76" s="122"/>
      <c r="G76" s="122"/>
      <c r="H76" s="122"/>
      <c r="I76" s="122"/>
      <c r="J76" s="122"/>
      <c r="K76" s="122"/>
      <c r="L76" s="122"/>
      <c r="M76" s="122"/>
      <c r="N76" s="122"/>
      <c r="O76" s="231"/>
    </row>
    <row r="77" spans="1:15">
      <c r="A77" s="231"/>
      <c r="B77" s="122"/>
      <c r="C77" s="122"/>
      <c r="D77" s="122"/>
      <c r="E77" s="122"/>
      <c r="F77" s="122"/>
      <c r="G77" s="122"/>
      <c r="H77" s="122"/>
      <c r="I77" s="122"/>
      <c r="J77" s="122"/>
      <c r="K77" s="122"/>
      <c r="L77" s="122"/>
      <c r="M77" s="122"/>
      <c r="N77" s="122"/>
      <c r="O77" s="231"/>
    </row>
    <row r="78" spans="1:15">
      <c r="A78" s="231"/>
      <c r="B78" s="122"/>
      <c r="C78" s="122"/>
      <c r="D78" s="122"/>
      <c r="E78" s="122"/>
      <c r="F78" s="122"/>
      <c r="G78" s="122"/>
      <c r="H78" s="122"/>
      <c r="I78" s="122"/>
      <c r="J78" s="122"/>
      <c r="K78" s="122"/>
      <c r="L78" s="122"/>
      <c r="M78" s="122"/>
      <c r="N78" s="122"/>
      <c r="O78" s="231"/>
    </row>
    <row r="79" spans="1:15">
      <c r="A79" s="231"/>
      <c r="B79" s="122"/>
      <c r="C79" s="122"/>
      <c r="D79" s="122"/>
      <c r="E79" s="122"/>
      <c r="F79" s="122"/>
      <c r="G79" s="122"/>
      <c r="H79" s="122"/>
      <c r="I79" s="122"/>
      <c r="J79" s="122"/>
      <c r="K79" s="122"/>
      <c r="L79" s="122"/>
      <c r="M79" s="122"/>
      <c r="N79" s="122"/>
      <c r="O79" s="231"/>
    </row>
    <row r="80" spans="1:15">
      <c r="A80" s="231"/>
      <c r="B80" s="122"/>
      <c r="C80" s="122"/>
      <c r="D80" s="122"/>
      <c r="E80" s="122"/>
      <c r="F80" s="122"/>
      <c r="G80" s="122"/>
      <c r="H80" s="122"/>
      <c r="I80" s="122"/>
      <c r="J80" s="122"/>
      <c r="K80" s="122"/>
      <c r="L80" s="122"/>
      <c r="M80" s="122"/>
      <c r="N80" s="122"/>
      <c r="O80" s="231"/>
    </row>
    <row r="81" spans="1:15">
      <c r="A81" s="231"/>
      <c r="B81" s="122"/>
      <c r="C81" s="122"/>
      <c r="D81" s="122"/>
      <c r="E81" s="122"/>
      <c r="F81" s="122"/>
      <c r="G81" s="122"/>
      <c r="H81" s="122"/>
      <c r="I81" s="122"/>
      <c r="J81" s="122"/>
      <c r="K81" s="122"/>
      <c r="L81" s="122"/>
      <c r="M81" s="122"/>
      <c r="N81" s="122"/>
      <c r="O81" s="231"/>
    </row>
    <row r="82" spans="1:15">
      <c r="A82" s="231"/>
      <c r="B82" s="122"/>
      <c r="C82" s="122"/>
      <c r="D82" s="122"/>
      <c r="E82" s="122"/>
      <c r="F82" s="122"/>
      <c r="G82" s="122"/>
      <c r="H82" s="122"/>
      <c r="I82" s="122"/>
      <c r="J82" s="122"/>
      <c r="K82" s="122"/>
      <c r="L82" s="122"/>
      <c r="M82" s="122"/>
      <c r="N82" s="122"/>
      <c r="O82" s="231"/>
    </row>
    <row r="83" spans="1:15">
      <c r="A83" s="231"/>
      <c r="B83" s="122"/>
      <c r="C83" s="122"/>
      <c r="D83" s="122"/>
      <c r="E83" s="122"/>
      <c r="F83" s="122"/>
      <c r="G83" s="122"/>
      <c r="H83" s="122"/>
      <c r="I83" s="122"/>
      <c r="J83" s="122"/>
      <c r="K83" s="122"/>
      <c r="L83" s="122"/>
      <c r="M83" s="122"/>
      <c r="N83" s="122"/>
      <c r="O83" s="231"/>
    </row>
    <row r="84" spans="1:15">
      <c r="A84" s="231"/>
      <c r="B84" s="122"/>
      <c r="C84" s="122"/>
      <c r="D84" s="122"/>
      <c r="E84" s="122"/>
      <c r="F84" s="122"/>
      <c r="G84" s="122"/>
      <c r="H84" s="122"/>
      <c r="I84" s="122"/>
      <c r="J84" s="122"/>
      <c r="K84" s="122"/>
      <c r="L84" s="122"/>
      <c r="M84" s="122"/>
      <c r="N84" s="122"/>
      <c r="O84" s="231"/>
    </row>
    <row r="85" spans="1:15">
      <c r="A85" s="231"/>
      <c r="B85" s="122"/>
      <c r="C85" s="122"/>
      <c r="D85" s="122"/>
      <c r="E85" s="122"/>
      <c r="F85" s="122"/>
      <c r="G85" s="122"/>
      <c r="H85" s="122"/>
      <c r="I85" s="122"/>
      <c r="J85" s="122"/>
      <c r="K85" s="122"/>
      <c r="L85" s="122"/>
      <c r="M85" s="122"/>
      <c r="N85" s="122"/>
      <c r="O85" s="231"/>
    </row>
    <row r="86" spans="1:15">
      <c r="A86" s="231"/>
      <c r="B86" s="122"/>
      <c r="C86" s="122"/>
      <c r="D86" s="122"/>
      <c r="E86" s="122"/>
      <c r="F86" s="122"/>
      <c r="G86" s="122"/>
      <c r="H86" s="122"/>
      <c r="I86" s="122"/>
      <c r="J86" s="122"/>
      <c r="K86" s="122"/>
      <c r="L86" s="122"/>
      <c r="M86" s="122"/>
      <c r="N86" s="122"/>
      <c r="O86" s="231"/>
    </row>
    <row r="87" spans="1:15">
      <c r="A87" s="231"/>
      <c r="B87" s="122"/>
      <c r="C87" s="122"/>
      <c r="D87" s="122"/>
      <c r="E87" s="122"/>
      <c r="F87" s="122"/>
      <c r="G87" s="122"/>
      <c r="H87" s="122"/>
      <c r="I87" s="122"/>
      <c r="J87" s="122"/>
      <c r="K87" s="122"/>
      <c r="L87" s="122"/>
      <c r="M87" s="122"/>
      <c r="N87" s="122"/>
      <c r="O87" s="231"/>
    </row>
    <row r="88" spans="1:15">
      <c r="A88" s="231"/>
      <c r="B88" s="122"/>
      <c r="C88" s="122"/>
      <c r="D88" s="122"/>
      <c r="E88" s="122"/>
      <c r="F88" s="122"/>
      <c r="G88" s="122"/>
      <c r="H88" s="122"/>
      <c r="I88" s="122"/>
      <c r="J88" s="122"/>
      <c r="K88" s="122"/>
      <c r="L88" s="122"/>
      <c r="M88" s="122"/>
      <c r="N88" s="122"/>
      <c r="O88" s="231"/>
    </row>
    <row r="89" spans="1:15">
      <c r="A89" s="231"/>
      <c r="B89" s="122"/>
      <c r="C89" s="122"/>
      <c r="D89" s="122"/>
      <c r="E89" s="122"/>
      <c r="F89" s="122"/>
      <c r="G89" s="122"/>
      <c r="H89" s="122"/>
      <c r="I89" s="122"/>
      <c r="J89" s="122"/>
      <c r="K89" s="122"/>
      <c r="L89" s="122"/>
      <c r="M89" s="122"/>
      <c r="N89" s="122"/>
      <c r="O89" s="231"/>
    </row>
    <row r="90" spans="1:15">
      <c r="A90" s="231"/>
      <c r="B90" s="122"/>
      <c r="C90" s="122"/>
      <c r="D90" s="122"/>
      <c r="E90" s="122"/>
      <c r="F90" s="122"/>
      <c r="G90" s="122"/>
      <c r="H90" s="122"/>
      <c r="I90" s="122"/>
      <c r="J90" s="122"/>
      <c r="K90" s="122"/>
      <c r="L90" s="122"/>
      <c r="M90" s="122"/>
      <c r="N90" s="122"/>
      <c r="O90" s="231"/>
    </row>
    <row r="91" spans="1:15">
      <c r="A91" s="231"/>
      <c r="B91" s="122"/>
      <c r="C91" s="122"/>
      <c r="D91" s="122"/>
      <c r="E91" s="122"/>
      <c r="F91" s="122"/>
      <c r="G91" s="122"/>
      <c r="H91" s="122"/>
      <c r="I91" s="122"/>
      <c r="J91" s="122"/>
      <c r="K91" s="122"/>
      <c r="L91" s="122"/>
      <c r="M91" s="122"/>
      <c r="N91" s="122"/>
      <c r="O91" s="231"/>
    </row>
    <row r="92" spans="1:15">
      <c r="A92" s="231"/>
      <c r="B92" s="122"/>
      <c r="C92" s="122"/>
      <c r="D92" s="122"/>
      <c r="E92" s="122"/>
      <c r="F92" s="122"/>
      <c r="G92" s="122"/>
      <c r="H92" s="122"/>
      <c r="I92" s="122"/>
      <c r="J92" s="122"/>
      <c r="K92" s="122"/>
      <c r="L92" s="122"/>
      <c r="M92" s="122"/>
      <c r="N92" s="122"/>
      <c r="O92" s="231"/>
    </row>
    <row r="93" spans="1:15">
      <c r="A93" s="231"/>
      <c r="B93" s="122"/>
      <c r="C93" s="122"/>
      <c r="D93" s="122"/>
      <c r="E93" s="122"/>
      <c r="F93" s="122"/>
      <c r="G93" s="122"/>
      <c r="H93" s="122"/>
      <c r="I93" s="122"/>
      <c r="J93" s="122"/>
      <c r="K93" s="122"/>
      <c r="L93" s="122"/>
      <c r="M93" s="122"/>
      <c r="N93" s="122"/>
      <c r="O93" s="231"/>
    </row>
    <row r="94" spans="1:15">
      <c r="A94" s="231"/>
      <c r="B94" s="122"/>
      <c r="C94" s="122"/>
      <c r="D94" s="122"/>
      <c r="E94" s="122"/>
      <c r="F94" s="122"/>
      <c r="G94" s="122"/>
      <c r="H94" s="122"/>
      <c r="I94" s="122"/>
      <c r="J94" s="122"/>
      <c r="K94" s="122"/>
      <c r="L94" s="122"/>
      <c r="M94" s="122"/>
      <c r="N94" s="122"/>
      <c r="O94" s="231"/>
    </row>
    <row r="95" spans="1:15">
      <c r="A95" s="231"/>
      <c r="B95" s="122"/>
      <c r="C95" s="122"/>
      <c r="D95" s="122"/>
      <c r="E95" s="122"/>
      <c r="F95" s="122"/>
      <c r="G95" s="122"/>
      <c r="H95" s="122"/>
      <c r="I95" s="122"/>
      <c r="J95" s="122"/>
      <c r="K95" s="122"/>
      <c r="L95" s="122"/>
      <c r="M95" s="122"/>
      <c r="N95" s="122"/>
      <c r="O95" s="231"/>
    </row>
    <row r="96" spans="1:15">
      <c r="A96" s="231"/>
      <c r="B96" s="122"/>
      <c r="C96" s="122"/>
      <c r="D96" s="122"/>
      <c r="E96" s="122"/>
      <c r="F96" s="122"/>
      <c r="G96" s="122"/>
      <c r="H96" s="122"/>
      <c r="I96" s="122"/>
      <c r="J96" s="122"/>
      <c r="K96" s="122"/>
      <c r="L96" s="122"/>
      <c r="M96" s="122"/>
      <c r="N96" s="122"/>
      <c r="O96" s="231"/>
    </row>
    <row r="97" spans="1:15">
      <c r="A97" s="231"/>
      <c r="B97" s="122"/>
      <c r="C97" s="122"/>
      <c r="D97" s="122"/>
      <c r="E97" s="122"/>
      <c r="F97" s="122"/>
      <c r="G97" s="122"/>
      <c r="H97" s="122"/>
      <c r="I97" s="122"/>
      <c r="J97" s="122"/>
      <c r="K97" s="122"/>
      <c r="L97" s="122"/>
      <c r="M97" s="122"/>
      <c r="N97" s="122"/>
      <c r="O97" s="231"/>
    </row>
    <row r="98" spans="1:15">
      <c r="A98" s="231"/>
      <c r="B98" s="122"/>
      <c r="C98" s="122"/>
      <c r="D98" s="122"/>
      <c r="E98" s="122"/>
      <c r="F98" s="122"/>
      <c r="G98" s="122"/>
      <c r="H98" s="122"/>
      <c r="I98" s="122"/>
      <c r="J98" s="122"/>
      <c r="K98" s="122"/>
      <c r="L98" s="122"/>
      <c r="M98" s="122"/>
      <c r="N98" s="122"/>
      <c r="O98" s="231"/>
    </row>
    <row r="99" spans="1:15">
      <c r="A99" s="231"/>
      <c r="B99" s="122"/>
      <c r="C99" s="122"/>
      <c r="D99" s="122"/>
      <c r="E99" s="122"/>
      <c r="F99" s="122"/>
      <c r="G99" s="122"/>
      <c r="H99" s="122"/>
      <c r="I99" s="122"/>
      <c r="J99" s="122"/>
      <c r="K99" s="122"/>
      <c r="L99" s="122"/>
      <c r="M99" s="122"/>
      <c r="N99" s="122"/>
      <c r="O99" s="231"/>
    </row>
    <row r="100" spans="1:15">
      <c r="A100" s="231"/>
      <c r="B100" s="122"/>
      <c r="C100" s="122"/>
      <c r="D100" s="122"/>
      <c r="E100" s="122"/>
      <c r="F100" s="122"/>
      <c r="G100" s="122"/>
      <c r="H100" s="122"/>
      <c r="I100" s="122"/>
      <c r="J100" s="122"/>
      <c r="K100" s="122"/>
      <c r="L100" s="122"/>
      <c r="M100" s="122"/>
      <c r="N100" s="122"/>
      <c r="O100" s="231"/>
    </row>
    <row r="101" spans="1:15">
      <c r="A101" s="231"/>
      <c r="B101" s="122"/>
      <c r="C101" s="122"/>
      <c r="D101" s="122"/>
      <c r="E101" s="122"/>
      <c r="F101" s="122"/>
      <c r="G101" s="122"/>
      <c r="H101" s="122"/>
      <c r="I101" s="122"/>
      <c r="J101" s="122"/>
      <c r="K101" s="122"/>
      <c r="L101" s="122"/>
      <c r="M101" s="122"/>
      <c r="N101" s="122"/>
      <c r="O101" s="231"/>
    </row>
    <row r="102" spans="1:15">
      <c r="A102" s="231"/>
      <c r="B102" s="122"/>
      <c r="C102" s="122"/>
      <c r="D102" s="122"/>
      <c r="E102" s="122"/>
      <c r="F102" s="122"/>
      <c r="G102" s="122"/>
      <c r="H102" s="122"/>
      <c r="I102" s="122"/>
      <c r="J102" s="122"/>
      <c r="K102" s="122"/>
      <c r="L102" s="122"/>
      <c r="M102" s="122"/>
      <c r="N102" s="122"/>
      <c r="O102" s="231"/>
    </row>
    <row r="103" spans="1:15">
      <c r="A103" s="231"/>
      <c r="B103" s="122"/>
      <c r="C103" s="122"/>
      <c r="D103" s="122"/>
      <c r="E103" s="122"/>
      <c r="F103" s="122"/>
      <c r="G103" s="122"/>
      <c r="H103" s="122"/>
      <c r="I103" s="122"/>
      <c r="J103" s="122"/>
      <c r="K103" s="122"/>
      <c r="L103" s="122"/>
      <c r="M103" s="122"/>
      <c r="N103" s="122"/>
      <c r="O103" s="231"/>
    </row>
    <row r="104" spans="1:15">
      <c r="A104" s="231"/>
      <c r="B104" s="122"/>
      <c r="C104" s="122"/>
      <c r="D104" s="122"/>
      <c r="E104" s="122"/>
      <c r="F104" s="122"/>
      <c r="G104" s="122"/>
      <c r="H104" s="122"/>
      <c r="I104" s="122"/>
      <c r="J104" s="122"/>
      <c r="K104" s="122"/>
      <c r="L104" s="122"/>
      <c r="M104" s="122"/>
      <c r="N104" s="122"/>
      <c r="O104" s="231"/>
    </row>
    <row r="105" spans="1:15">
      <c r="A105" s="231"/>
      <c r="B105" s="122"/>
      <c r="C105" s="122"/>
      <c r="D105" s="122"/>
      <c r="E105" s="122"/>
      <c r="F105" s="122"/>
      <c r="G105" s="122"/>
      <c r="H105" s="122"/>
      <c r="I105" s="122"/>
      <c r="J105" s="122"/>
      <c r="K105" s="122"/>
      <c r="L105" s="122"/>
      <c r="M105" s="122"/>
      <c r="N105" s="122"/>
      <c r="O105" s="231"/>
    </row>
    <row r="106" spans="1:15">
      <c r="A106" s="231"/>
      <c r="B106" s="122"/>
      <c r="C106" s="122"/>
      <c r="D106" s="122"/>
      <c r="E106" s="122"/>
      <c r="F106" s="122"/>
      <c r="G106" s="122"/>
      <c r="H106" s="122"/>
      <c r="I106" s="122"/>
      <c r="J106" s="122"/>
      <c r="K106" s="122"/>
      <c r="L106" s="122"/>
      <c r="M106" s="122"/>
      <c r="N106" s="122"/>
      <c r="O106" s="231"/>
    </row>
    <row r="107" spans="1:15">
      <c r="A107" s="231"/>
      <c r="B107" s="122"/>
      <c r="C107" s="122"/>
      <c r="D107" s="122"/>
      <c r="E107" s="122"/>
      <c r="F107" s="122"/>
      <c r="G107" s="122"/>
      <c r="H107" s="122"/>
      <c r="I107" s="122"/>
      <c r="J107" s="122"/>
      <c r="K107" s="122"/>
      <c r="L107" s="122"/>
      <c r="M107" s="122"/>
      <c r="N107" s="122"/>
      <c r="O107" s="231"/>
    </row>
    <row r="108" spans="1:15">
      <c r="A108" s="231"/>
      <c r="B108" s="122"/>
      <c r="C108" s="122"/>
      <c r="D108" s="122"/>
      <c r="E108" s="122"/>
      <c r="F108" s="122"/>
      <c r="G108" s="122"/>
      <c r="H108" s="122"/>
      <c r="I108" s="122"/>
      <c r="J108" s="122"/>
      <c r="K108" s="122"/>
      <c r="L108" s="122"/>
      <c r="M108" s="122"/>
      <c r="N108" s="122"/>
      <c r="O108" s="231"/>
    </row>
    <row r="109" spans="1:15">
      <c r="A109" s="231"/>
      <c r="B109" s="231"/>
      <c r="C109" s="231"/>
      <c r="D109" s="231"/>
      <c r="E109" s="231"/>
      <c r="F109" s="231"/>
      <c r="G109" s="231"/>
      <c r="H109" s="231"/>
      <c r="I109" s="231"/>
      <c r="J109" s="231"/>
      <c r="K109" s="231"/>
      <c r="L109" s="231"/>
      <c r="M109" s="231"/>
      <c r="N109" s="231"/>
      <c r="O109" s="231"/>
    </row>
    <row r="110" spans="1:15">
      <c r="A110" s="231"/>
      <c r="B110" s="231"/>
      <c r="C110" s="231"/>
      <c r="D110" s="231"/>
      <c r="E110" s="231"/>
      <c r="F110" s="231"/>
      <c r="G110" s="231"/>
      <c r="H110" s="231"/>
      <c r="I110" s="231"/>
      <c r="J110" s="231"/>
      <c r="K110" s="231"/>
      <c r="L110" s="231"/>
      <c r="M110" s="231"/>
      <c r="N110" s="231"/>
      <c r="O110" s="231"/>
    </row>
    <row r="111" spans="1:15">
      <c r="A111" s="231"/>
      <c r="B111" s="238" t="s">
        <v>169</v>
      </c>
      <c r="C111" s="238"/>
      <c r="D111" s="238"/>
      <c r="E111" s="238"/>
      <c r="F111" s="238"/>
      <c r="G111" s="238"/>
      <c r="H111" s="238"/>
      <c r="I111" s="238"/>
      <c r="J111" s="238"/>
      <c r="K111" s="238"/>
      <c r="L111" s="238"/>
      <c r="M111" s="238"/>
      <c r="N111" s="238"/>
      <c r="O111" s="231"/>
    </row>
    <row r="112" spans="1:15">
      <c r="A112" s="231"/>
      <c r="B112" s="231"/>
      <c r="C112" s="231"/>
      <c r="D112" s="231"/>
      <c r="E112" s="231"/>
      <c r="F112" s="231"/>
      <c r="G112" s="231"/>
      <c r="H112" s="231"/>
      <c r="I112" s="231"/>
      <c r="J112" s="231"/>
      <c r="K112" s="231"/>
      <c r="L112" s="231"/>
      <c r="M112" s="231"/>
      <c r="N112" s="231"/>
      <c r="O112" s="231"/>
    </row>
    <row r="113" spans="1:15">
      <c r="A113" s="231"/>
      <c r="B113" s="231"/>
      <c r="C113" s="231"/>
      <c r="D113" s="231"/>
      <c r="E113" s="231"/>
      <c r="F113" s="231"/>
      <c r="G113" s="231"/>
      <c r="H113" s="231"/>
      <c r="I113" s="231"/>
      <c r="J113" s="231"/>
      <c r="K113" s="231"/>
      <c r="L113" s="231"/>
      <c r="M113" s="231"/>
      <c r="N113" s="231"/>
      <c r="O113" s="231"/>
    </row>
    <row r="114" spans="1:15">
      <c r="A114" s="231"/>
      <c r="B114" s="231"/>
      <c r="C114" s="231"/>
      <c r="D114" s="231"/>
      <c r="E114" s="231"/>
      <c r="F114" s="231"/>
      <c r="G114" s="231"/>
      <c r="H114" s="231"/>
      <c r="I114" s="231"/>
      <c r="J114" s="231"/>
      <c r="K114" s="231"/>
      <c r="L114" s="231"/>
      <c r="M114" s="231"/>
      <c r="N114" s="231"/>
      <c r="O114" s="231"/>
    </row>
    <row r="115" spans="1:15">
      <c r="A115" s="231"/>
      <c r="B115" s="231"/>
      <c r="C115" s="231"/>
      <c r="D115" s="231"/>
      <c r="E115" s="231"/>
      <c r="F115" s="231"/>
      <c r="G115" s="231"/>
      <c r="H115" s="231"/>
      <c r="I115" s="231"/>
      <c r="J115" s="231"/>
      <c r="K115" s="231"/>
      <c r="L115" s="231"/>
      <c r="M115" s="231"/>
      <c r="N115" s="231"/>
      <c r="O115" s="231"/>
    </row>
    <row r="116" spans="1:15">
      <c r="A116" s="231"/>
      <c r="B116" s="231"/>
      <c r="C116" s="231"/>
      <c r="D116" s="231"/>
      <c r="E116" s="231"/>
      <c r="F116" s="231"/>
      <c r="G116" s="231"/>
      <c r="H116" s="231"/>
      <c r="I116" s="231"/>
      <c r="J116" s="231"/>
      <c r="K116" s="231"/>
      <c r="L116" s="231"/>
      <c r="M116" s="231"/>
      <c r="N116" s="231"/>
      <c r="O116" s="231"/>
    </row>
    <row r="117" spans="1:15">
      <c r="A117" s="231"/>
      <c r="B117" s="231"/>
      <c r="C117" s="231"/>
      <c r="D117" s="231"/>
      <c r="E117" s="231"/>
      <c r="F117" s="231"/>
      <c r="G117" s="231"/>
      <c r="H117" s="231"/>
      <c r="I117" s="231"/>
      <c r="J117" s="231"/>
      <c r="K117" s="231"/>
      <c r="L117" s="231"/>
      <c r="M117" s="231"/>
      <c r="N117" s="231"/>
      <c r="O117" s="231"/>
    </row>
    <row r="118" spans="1:15">
      <c r="A118" s="231"/>
      <c r="B118" s="231"/>
      <c r="C118" s="231"/>
      <c r="D118" s="231"/>
      <c r="E118" s="231"/>
      <c r="F118" s="231"/>
      <c r="G118" s="231"/>
      <c r="H118" s="231"/>
      <c r="I118" s="231"/>
      <c r="J118" s="231"/>
      <c r="K118" s="231"/>
      <c r="L118" s="231"/>
      <c r="M118" s="231"/>
      <c r="N118" s="231"/>
      <c r="O118" s="231"/>
    </row>
    <row r="121" spans="1:15">
      <c r="A121" s="231"/>
      <c r="B121" s="231"/>
      <c r="C121" s="231"/>
      <c r="D121" s="231"/>
      <c r="E121" s="231"/>
      <c r="F121" s="231"/>
      <c r="G121" s="231"/>
      <c r="H121" s="231"/>
      <c r="I121" s="231"/>
      <c r="J121" s="231"/>
      <c r="K121" s="231"/>
      <c r="L121" s="231"/>
      <c r="M121" s="231"/>
      <c r="N121" s="231"/>
      <c r="O121" s="231"/>
    </row>
  </sheetData>
  <mergeCells count="9">
    <mergeCell ref="B111:N111"/>
    <mergeCell ref="B45:N45"/>
    <mergeCell ref="B22:N22"/>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131"/>
  <sheetViews>
    <sheetView showGridLines="0" topLeftCell="A90" zoomScaleNormal="100" workbookViewId="0">
      <selection activeCell="R17" sqref="R17"/>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180"/>
      <c r="C2" s="181"/>
      <c r="D2" s="181"/>
      <c r="E2" s="190" t="s">
        <v>170</v>
      </c>
      <c r="F2" s="191"/>
      <c r="G2" s="191"/>
      <c r="H2" s="191"/>
      <c r="I2" s="191"/>
      <c r="J2" s="191"/>
      <c r="K2" s="191"/>
      <c r="L2" s="191"/>
      <c r="M2" s="192"/>
      <c r="N2" s="186" t="s">
        <v>171</v>
      </c>
      <c r="O2" s="181"/>
      <c r="P2" s="187"/>
    </row>
    <row r="3" spans="2:16" ht="14.45" customHeight="1">
      <c r="B3" s="182"/>
      <c r="C3" s="183"/>
      <c r="D3" s="183"/>
      <c r="E3" s="193" t="s">
        <v>172</v>
      </c>
      <c r="F3" s="194"/>
      <c r="G3" s="194"/>
      <c r="H3" s="194"/>
      <c r="I3" s="194"/>
      <c r="J3" s="194"/>
      <c r="K3" s="194"/>
      <c r="L3" s="194"/>
      <c r="M3" s="195"/>
      <c r="N3" s="183"/>
      <c r="O3" s="183"/>
      <c r="P3" s="188"/>
    </row>
    <row r="4" spans="2:16" ht="14.45" customHeight="1">
      <c r="B4" s="182"/>
      <c r="C4" s="183"/>
      <c r="D4" s="183"/>
      <c r="E4" s="182"/>
      <c r="F4" s="183"/>
      <c r="G4" s="183"/>
      <c r="H4" s="183"/>
      <c r="I4" s="183"/>
      <c r="J4" s="183"/>
      <c r="K4" s="183"/>
      <c r="L4" s="183"/>
      <c r="M4" s="188"/>
      <c r="N4" s="183"/>
      <c r="O4" s="183"/>
      <c r="P4" s="188"/>
    </row>
    <row r="5" spans="2:16" ht="14.45" customHeight="1">
      <c r="B5" s="184"/>
      <c r="C5" s="185"/>
      <c r="D5" s="185"/>
      <c r="E5" s="196" t="s">
        <v>173</v>
      </c>
      <c r="F5" s="185"/>
      <c r="G5" s="185"/>
      <c r="H5" s="185"/>
      <c r="I5" s="185"/>
      <c r="J5" s="185"/>
      <c r="K5" s="185"/>
      <c r="L5" s="185"/>
      <c r="M5" s="189"/>
      <c r="N5" s="185"/>
      <c r="O5" s="185"/>
      <c r="P5" s="189"/>
    </row>
    <row r="6" spans="2:16" ht="15"/>
    <row r="7" spans="2:16" ht="15.75">
      <c r="B7" s="239" t="s">
        <v>174</v>
      </c>
      <c r="C7" s="239"/>
      <c r="D7" s="239"/>
      <c r="E7" s="239"/>
      <c r="F7" s="239"/>
      <c r="G7" s="239"/>
      <c r="H7" s="239"/>
      <c r="I7" s="239"/>
      <c r="J7" s="239"/>
      <c r="K7" s="239"/>
      <c r="L7" s="239"/>
      <c r="M7" s="239"/>
      <c r="N7" s="239"/>
      <c r="O7" s="239"/>
      <c r="P7" s="239"/>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c r="B86" s="90"/>
      <c r="C86" s="90"/>
      <c r="D86" s="90"/>
      <c r="E86" s="90"/>
      <c r="F86" s="90"/>
      <c r="G86" s="90"/>
      <c r="H86" s="90"/>
      <c r="I86" s="90"/>
      <c r="J86" s="90"/>
      <c r="K86" s="90"/>
      <c r="L86" s="90"/>
      <c r="M86" s="90"/>
      <c r="N86" s="90"/>
      <c r="O86" s="90"/>
      <c r="P86" s="90"/>
    </row>
    <row r="87" spans="2:16" ht="15">
      <c r="B87" s="90"/>
      <c r="C87" s="90"/>
      <c r="D87" s="90"/>
      <c r="E87" s="90"/>
      <c r="F87" s="90"/>
      <c r="G87" s="90"/>
      <c r="H87" s="90"/>
      <c r="I87" s="90"/>
      <c r="J87" s="90"/>
      <c r="K87" s="90"/>
      <c r="L87" s="90"/>
      <c r="M87" s="90"/>
      <c r="N87" s="90"/>
      <c r="O87" s="90"/>
      <c r="P87" s="90"/>
    </row>
    <row r="88" spans="2:16" ht="15">
      <c r="B88" s="90"/>
      <c r="C88" s="90"/>
      <c r="D88" s="90"/>
      <c r="E88" s="90"/>
      <c r="F88" s="90"/>
      <c r="G88" s="90"/>
      <c r="H88" s="90"/>
      <c r="I88" s="90"/>
      <c r="J88" s="90"/>
      <c r="K88" s="90"/>
      <c r="L88" s="90"/>
      <c r="M88" s="90"/>
      <c r="N88" s="90"/>
      <c r="O88" s="90"/>
      <c r="P88" s="90"/>
    </row>
    <row r="89" spans="2:16" ht="15">
      <c r="B89" s="90"/>
      <c r="C89" s="90"/>
      <c r="D89" s="90"/>
      <c r="E89" s="90"/>
      <c r="F89" s="90"/>
      <c r="G89" s="90"/>
      <c r="H89" s="90"/>
      <c r="I89" s="90"/>
      <c r="J89" s="90"/>
      <c r="K89" s="90"/>
      <c r="L89" s="90"/>
      <c r="M89" s="90"/>
      <c r="N89" s="90"/>
      <c r="O89" s="90"/>
      <c r="P89" s="90"/>
    </row>
    <row r="90" spans="2:16" ht="15">
      <c r="B90" s="90"/>
      <c r="C90" s="90"/>
      <c r="D90" s="90"/>
      <c r="E90" s="90"/>
      <c r="F90" s="90"/>
      <c r="G90" s="90"/>
      <c r="H90" s="90"/>
      <c r="I90" s="90"/>
      <c r="J90" s="90"/>
      <c r="K90" s="90"/>
      <c r="L90" s="90"/>
      <c r="M90" s="90"/>
      <c r="N90" s="90"/>
      <c r="O90" s="90"/>
      <c r="P90" s="90"/>
    </row>
    <row r="91" spans="2:16" ht="15">
      <c r="B91" s="90"/>
      <c r="C91" s="90"/>
      <c r="D91" s="90"/>
      <c r="E91" s="90"/>
      <c r="F91" s="90"/>
      <c r="G91" s="90"/>
      <c r="H91" s="90"/>
      <c r="I91" s="90"/>
      <c r="J91" s="90"/>
      <c r="K91" s="90"/>
      <c r="L91" s="90"/>
      <c r="M91" s="90"/>
      <c r="N91" s="90"/>
      <c r="O91" s="90"/>
      <c r="P91" s="90"/>
    </row>
    <row r="92" spans="2:16" ht="15">
      <c r="B92" s="90"/>
      <c r="C92" s="90"/>
      <c r="D92" s="90"/>
      <c r="E92" s="90"/>
      <c r="F92" s="90"/>
      <c r="G92" s="90"/>
      <c r="H92" s="90"/>
      <c r="I92" s="90"/>
      <c r="J92" s="90"/>
      <c r="K92" s="90"/>
      <c r="L92" s="90"/>
      <c r="M92" s="90"/>
      <c r="N92" s="90"/>
      <c r="O92" s="90"/>
      <c r="P92" s="90"/>
    </row>
    <row r="93" spans="2:16" ht="15">
      <c r="B93" s="90"/>
      <c r="C93" s="90"/>
      <c r="D93" s="90"/>
      <c r="E93" s="90"/>
      <c r="F93" s="90"/>
      <c r="G93" s="90"/>
      <c r="H93" s="90"/>
      <c r="I93" s="90"/>
      <c r="J93" s="90"/>
      <c r="K93" s="90"/>
      <c r="L93" s="90"/>
      <c r="M93" s="90"/>
      <c r="N93" s="90"/>
      <c r="O93" s="90"/>
      <c r="P93" s="90"/>
    </row>
    <row r="94" spans="2:16" ht="15">
      <c r="B94" s="90"/>
      <c r="C94" s="90"/>
      <c r="D94" s="90"/>
      <c r="E94" s="90"/>
      <c r="F94" s="90"/>
      <c r="G94" s="90"/>
      <c r="H94" s="90"/>
      <c r="I94" s="90"/>
      <c r="J94" s="90"/>
      <c r="K94" s="90"/>
      <c r="L94" s="90"/>
      <c r="M94" s="90"/>
      <c r="N94" s="90"/>
      <c r="O94" s="90"/>
      <c r="P94" s="90"/>
    </row>
    <row r="95" spans="2:16" ht="15">
      <c r="B95" s="90"/>
      <c r="C95" s="90"/>
      <c r="D95" s="90"/>
      <c r="E95" s="90"/>
      <c r="F95" s="90"/>
      <c r="G95" s="90"/>
      <c r="H95" s="90"/>
      <c r="I95" s="90"/>
      <c r="J95" s="90"/>
      <c r="K95" s="90"/>
      <c r="L95" s="90"/>
      <c r="M95" s="90"/>
      <c r="N95" s="90"/>
      <c r="O95" s="90"/>
      <c r="P95" s="90"/>
    </row>
    <row r="96" spans="2:16" ht="15">
      <c r="B96" s="90"/>
      <c r="C96" s="90"/>
      <c r="D96" s="90"/>
      <c r="E96" s="90"/>
      <c r="F96" s="90"/>
      <c r="G96" s="90"/>
      <c r="H96" s="90"/>
      <c r="I96" s="90"/>
      <c r="J96" s="90"/>
      <c r="K96" s="90"/>
      <c r="L96" s="90"/>
      <c r="M96" s="90"/>
      <c r="N96" s="90"/>
      <c r="O96" s="90"/>
      <c r="P96" s="90"/>
    </row>
    <row r="97" spans="2:16" ht="15">
      <c r="B97" s="90"/>
      <c r="C97" s="90"/>
      <c r="D97" s="90"/>
      <c r="E97" s="90"/>
      <c r="F97" s="90"/>
      <c r="G97" s="90"/>
      <c r="H97" s="90"/>
      <c r="I97" s="90"/>
      <c r="J97" s="90"/>
      <c r="K97" s="90"/>
      <c r="L97" s="90"/>
      <c r="M97" s="90"/>
      <c r="N97" s="90"/>
      <c r="O97" s="90"/>
      <c r="P97" s="90"/>
    </row>
    <row r="98" spans="2:16" ht="15">
      <c r="B98" s="90"/>
      <c r="C98" s="90"/>
      <c r="D98" s="90"/>
      <c r="E98" s="90"/>
      <c r="F98" s="90"/>
      <c r="G98" s="90"/>
      <c r="H98" s="90"/>
      <c r="I98" s="90"/>
      <c r="J98" s="90"/>
      <c r="K98" s="90"/>
      <c r="L98" s="90"/>
      <c r="M98" s="90"/>
      <c r="N98" s="90"/>
      <c r="O98" s="90"/>
      <c r="P98" s="90"/>
    </row>
    <row r="99" spans="2:16" ht="15">
      <c r="B99" s="90"/>
      <c r="C99" s="90"/>
      <c r="D99" s="90"/>
      <c r="E99" s="90"/>
      <c r="F99" s="90"/>
      <c r="G99" s="90"/>
      <c r="H99" s="90"/>
      <c r="I99" s="90"/>
      <c r="J99" s="90"/>
      <c r="K99" s="90"/>
      <c r="L99" s="90"/>
      <c r="M99" s="90"/>
      <c r="N99" s="90"/>
      <c r="O99" s="90"/>
      <c r="P99" s="90"/>
    </row>
    <row r="100" spans="2:16" ht="15">
      <c r="B100" s="90"/>
      <c r="C100" s="90"/>
      <c r="D100" s="90"/>
      <c r="E100" s="90"/>
      <c r="F100" s="90"/>
      <c r="G100" s="90"/>
      <c r="H100" s="90"/>
      <c r="I100" s="90"/>
      <c r="J100" s="90"/>
      <c r="K100" s="90"/>
      <c r="L100" s="90"/>
      <c r="M100" s="90"/>
      <c r="N100" s="90"/>
      <c r="O100" s="90"/>
      <c r="P100" s="90"/>
    </row>
    <row r="101" spans="2:16" ht="15">
      <c r="B101" s="90"/>
      <c r="C101" s="90"/>
      <c r="D101" s="90"/>
      <c r="E101" s="90"/>
      <c r="F101" s="90"/>
      <c r="G101" s="90"/>
      <c r="H101" s="90"/>
      <c r="I101" s="90"/>
      <c r="J101" s="90"/>
      <c r="K101" s="90"/>
      <c r="L101" s="90"/>
      <c r="M101" s="90"/>
      <c r="N101" s="90"/>
      <c r="O101" s="90"/>
      <c r="P101" s="90"/>
    </row>
    <row r="102" spans="2:16" ht="15">
      <c r="B102" s="90"/>
      <c r="C102" s="90"/>
      <c r="D102" s="90"/>
      <c r="E102" s="90"/>
      <c r="F102" s="90"/>
      <c r="G102" s="90"/>
      <c r="H102" s="90"/>
      <c r="I102" s="90"/>
      <c r="J102" s="90"/>
      <c r="K102" s="90"/>
      <c r="L102" s="90"/>
      <c r="M102" s="90"/>
      <c r="N102" s="90"/>
      <c r="O102" s="90"/>
      <c r="P102" s="90"/>
    </row>
    <row r="103" spans="2:16" ht="15">
      <c r="B103" s="90"/>
      <c r="C103" s="90"/>
      <c r="D103" s="90"/>
      <c r="E103" s="90"/>
      <c r="F103" s="90"/>
      <c r="G103" s="90"/>
      <c r="H103" s="90"/>
      <c r="I103" s="90"/>
      <c r="J103" s="90"/>
      <c r="K103" s="90"/>
      <c r="L103" s="90"/>
      <c r="M103" s="90"/>
      <c r="N103" s="90"/>
      <c r="O103" s="90"/>
      <c r="P103" s="90"/>
    </row>
    <row r="104" spans="2:16" ht="15">
      <c r="B104" s="90"/>
      <c r="C104" s="90"/>
      <c r="D104" s="90"/>
      <c r="E104" s="90"/>
      <c r="F104" s="90"/>
      <c r="G104" s="90"/>
      <c r="H104" s="90"/>
      <c r="I104" s="90"/>
      <c r="J104" s="90"/>
      <c r="K104" s="90"/>
      <c r="L104" s="90"/>
      <c r="M104" s="90"/>
      <c r="N104" s="90"/>
      <c r="O104" s="90"/>
      <c r="P104" s="90"/>
    </row>
    <row r="105" spans="2:16" ht="15">
      <c r="B105" s="90"/>
      <c r="C105" s="90"/>
      <c r="D105" s="90"/>
      <c r="E105" s="90"/>
      <c r="F105" s="90"/>
      <c r="G105" s="90"/>
      <c r="H105" s="90"/>
      <c r="I105" s="90"/>
      <c r="J105" s="90"/>
      <c r="K105" s="90"/>
      <c r="L105" s="90"/>
      <c r="M105" s="90"/>
      <c r="N105" s="90"/>
      <c r="O105" s="90"/>
      <c r="P105" s="90"/>
    </row>
    <row r="106" spans="2:16" ht="15">
      <c r="B106" s="90"/>
      <c r="C106" s="90"/>
      <c r="D106" s="90"/>
      <c r="E106" s="90"/>
      <c r="F106" s="90"/>
      <c r="G106" s="90"/>
      <c r="H106" s="90"/>
      <c r="I106" s="90"/>
      <c r="J106" s="90"/>
      <c r="K106" s="90"/>
      <c r="L106" s="90"/>
      <c r="M106" s="90"/>
      <c r="N106" s="90"/>
      <c r="O106" s="90"/>
      <c r="P106" s="90"/>
    </row>
    <row r="107" spans="2:16" ht="15">
      <c r="B107" s="90"/>
      <c r="C107" s="90"/>
      <c r="D107" s="90"/>
      <c r="E107" s="90"/>
      <c r="F107" s="90"/>
      <c r="G107" s="90"/>
      <c r="H107" s="90"/>
      <c r="I107" s="90"/>
      <c r="J107" s="90"/>
      <c r="K107" s="90"/>
      <c r="L107" s="90"/>
      <c r="M107" s="90"/>
      <c r="N107" s="90"/>
      <c r="O107" s="90"/>
      <c r="P107" s="90"/>
    </row>
    <row r="108" spans="2:16" ht="15">
      <c r="B108" s="90"/>
      <c r="C108" s="90"/>
      <c r="D108" s="90"/>
      <c r="E108" s="90"/>
      <c r="F108" s="90"/>
      <c r="G108" s="90"/>
      <c r="H108" s="90"/>
      <c r="I108" s="90"/>
      <c r="J108" s="90"/>
      <c r="K108" s="90"/>
      <c r="L108" s="90"/>
      <c r="M108" s="90"/>
      <c r="N108" s="90"/>
      <c r="O108" s="90"/>
      <c r="P108" s="90"/>
    </row>
    <row r="109" spans="2:16" ht="15">
      <c r="B109" s="90"/>
      <c r="C109" s="90"/>
      <c r="D109" s="90"/>
      <c r="E109" s="90"/>
      <c r="F109" s="90"/>
      <c r="G109" s="90"/>
      <c r="H109" s="90"/>
      <c r="I109" s="90"/>
      <c r="J109" s="90"/>
      <c r="K109" s="90"/>
      <c r="L109" s="90"/>
      <c r="M109" s="90"/>
      <c r="N109" s="90"/>
      <c r="O109" s="90"/>
      <c r="P109" s="90"/>
    </row>
    <row r="110" spans="2:16" ht="15">
      <c r="B110" s="90"/>
      <c r="C110" s="90"/>
      <c r="D110" s="90"/>
      <c r="E110" s="90"/>
      <c r="F110" s="90"/>
      <c r="G110" s="90"/>
      <c r="H110" s="90"/>
      <c r="I110" s="90"/>
      <c r="J110" s="90"/>
      <c r="K110" s="90"/>
      <c r="L110" s="90"/>
      <c r="M110" s="90"/>
      <c r="N110" s="90"/>
      <c r="O110" s="90"/>
      <c r="P110" s="90"/>
    </row>
    <row r="111" spans="2:16" ht="15">
      <c r="B111" s="90"/>
      <c r="C111" s="90"/>
      <c r="D111" s="90"/>
      <c r="E111" s="90"/>
      <c r="F111" s="90"/>
      <c r="G111" s="90"/>
      <c r="H111" s="90"/>
      <c r="I111" s="90"/>
      <c r="J111" s="90"/>
      <c r="K111" s="90"/>
      <c r="L111" s="90"/>
      <c r="M111" s="90"/>
      <c r="N111" s="90"/>
      <c r="O111" s="90"/>
      <c r="P111" s="90"/>
    </row>
    <row r="112" spans="2:16" ht="15">
      <c r="B112" s="90"/>
      <c r="C112" s="90"/>
      <c r="D112" s="90"/>
      <c r="E112" s="90"/>
      <c r="F112" s="90"/>
      <c r="G112" s="90"/>
      <c r="H112" s="90"/>
      <c r="I112" s="90"/>
      <c r="J112" s="90"/>
      <c r="K112" s="90"/>
      <c r="L112" s="90"/>
      <c r="M112" s="90"/>
      <c r="N112" s="90"/>
      <c r="O112" s="90"/>
      <c r="P112" s="90"/>
    </row>
    <row r="113" spans="2:16" ht="15">
      <c r="B113" s="90"/>
      <c r="C113" s="90"/>
      <c r="D113" s="90"/>
      <c r="E113" s="90"/>
      <c r="F113" s="90"/>
      <c r="G113" s="90"/>
      <c r="H113" s="90"/>
      <c r="I113" s="90"/>
      <c r="J113" s="90"/>
      <c r="K113" s="90"/>
      <c r="L113" s="90"/>
      <c r="M113" s="90"/>
      <c r="N113" s="90"/>
      <c r="O113" s="90"/>
      <c r="P113" s="90"/>
    </row>
    <row r="114" spans="2:16" ht="15">
      <c r="B114" s="90"/>
      <c r="C114" s="90"/>
      <c r="D114" s="90"/>
      <c r="E114" s="90"/>
      <c r="F114" s="90"/>
      <c r="G114" s="90"/>
      <c r="H114" s="90"/>
      <c r="I114" s="90"/>
      <c r="J114" s="90"/>
      <c r="K114" s="90"/>
      <c r="L114" s="90"/>
      <c r="M114" s="90"/>
      <c r="N114" s="90"/>
      <c r="O114" s="90"/>
      <c r="P114" s="90"/>
    </row>
    <row r="115" spans="2:16" ht="15">
      <c r="B115" s="90"/>
      <c r="C115" s="90"/>
      <c r="D115" s="90"/>
      <c r="E115" s="90"/>
      <c r="F115" s="90"/>
      <c r="G115" s="90"/>
      <c r="H115" s="90"/>
      <c r="I115" s="90"/>
      <c r="J115" s="90"/>
      <c r="K115" s="90"/>
      <c r="L115" s="90"/>
      <c r="M115" s="90"/>
      <c r="N115" s="90"/>
      <c r="O115" s="90"/>
      <c r="P115" s="90"/>
    </row>
    <row r="116" spans="2:16" ht="15">
      <c r="B116" s="90"/>
      <c r="C116" s="90"/>
      <c r="D116" s="90"/>
      <c r="E116" s="90"/>
      <c r="F116" s="90"/>
      <c r="G116" s="90"/>
      <c r="H116" s="90"/>
      <c r="I116" s="90"/>
      <c r="J116" s="90"/>
      <c r="K116" s="90"/>
      <c r="L116" s="90"/>
      <c r="M116" s="90"/>
      <c r="N116" s="90"/>
      <c r="O116" s="90"/>
      <c r="P116" s="90"/>
    </row>
    <row r="117" spans="2:16" ht="15">
      <c r="B117" s="90"/>
      <c r="C117" s="90"/>
      <c r="D117" s="90"/>
      <c r="E117" s="90"/>
      <c r="F117" s="90"/>
      <c r="G117" s="90"/>
      <c r="H117" s="90"/>
      <c r="I117" s="90"/>
      <c r="J117" s="90"/>
      <c r="K117" s="90"/>
      <c r="L117" s="90"/>
      <c r="M117" s="90"/>
      <c r="N117" s="90"/>
      <c r="O117" s="90"/>
      <c r="P117" s="90"/>
    </row>
    <row r="118" spans="2:16" ht="15">
      <c r="B118" s="90"/>
      <c r="C118" s="90"/>
      <c r="D118" s="90"/>
      <c r="E118" s="90"/>
      <c r="F118" s="90"/>
      <c r="G118" s="90"/>
      <c r="H118" s="90"/>
      <c r="I118" s="90"/>
      <c r="J118" s="90"/>
      <c r="K118" s="90"/>
      <c r="L118" s="90"/>
      <c r="M118" s="90"/>
      <c r="N118" s="90"/>
      <c r="O118" s="90"/>
      <c r="P118" s="90"/>
    </row>
    <row r="119" spans="2:16" ht="15">
      <c r="B119" s="90"/>
      <c r="C119" s="90"/>
      <c r="D119" s="90"/>
      <c r="E119" s="90"/>
      <c r="F119" s="90"/>
      <c r="G119" s="90"/>
      <c r="H119" s="90"/>
      <c r="I119" s="90"/>
      <c r="J119" s="90"/>
      <c r="K119" s="90"/>
      <c r="L119" s="90"/>
      <c r="M119" s="90"/>
      <c r="N119" s="90"/>
      <c r="O119" s="90"/>
      <c r="P119" s="90"/>
    </row>
    <row r="120" spans="2:16" ht="15">
      <c r="B120" s="90"/>
      <c r="C120" s="90"/>
      <c r="D120" s="90"/>
      <c r="E120" s="90"/>
      <c r="F120" s="90"/>
      <c r="G120" s="90"/>
      <c r="H120" s="90"/>
      <c r="I120" s="90"/>
      <c r="J120" s="90"/>
      <c r="K120" s="90"/>
      <c r="L120" s="90"/>
      <c r="M120" s="90"/>
      <c r="N120" s="90"/>
      <c r="O120" s="90"/>
      <c r="P120" s="90"/>
    </row>
    <row r="121" spans="2:16" ht="15">
      <c r="B121" s="90"/>
      <c r="C121" s="90"/>
      <c r="D121" s="90"/>
      <c r="E121" s="90"/>
      <c r="F121" s="90"/>
      <c r="G121" s="90"/>
      <c r="H121" s="90"/>
      <c r="I121" s="90"/>
      <c r="J121" s="90"/>
      <c r="K121" s="90"/>
      <c r="L121" s="90"/>
      <c r="M121" s="90"/>
      <c r="N121" s="90"/>
      <c r="O121" s="90"/>
      <c r="P121" s="90"/>
    </row>
    <row r="122" spans="2:16" ht="15">
      <c r="B122" s="90"/>
      <c r="C122" s="90"/>
      <c r="D122" s="90"/>
      <c r="E122" s="90"/>
      <c r="F122" s="90"/>
      <c r="G122" s="90"/>
      <c r="H122" s="90"/>
      <c r="I122" s="90"/>
      <c r="J122" s="90"/>
      <c r="K122" s="90"/>
      <c r="L122" s="90"/>
      <c r="M122" s="90"/>
      <c r="N122" s="90"/>
      <c r="O122" s="90"/>
      <c r="P122" s="90"/>
    </row>
    <row r="123" spans="2:16" ht="15">
      <c r="B123" s="90"/>
      <c r="C123" s="90"/>
      <c r="D123" s="90"/>
      <c r="E123" s="90"/>
      <c r="F123" s="90"/>
      <c r="G123" s="90"/>
      <c r="H123" s="90"/>
      <c r="I123" s="90"/>
      <c r="J123" s="90"/>
      <c r="K123" s="90"/>
      <c r="L123" s="90"/>
      <c r="M123" s="90"/>
      <c r="N123" s="90"/>
      <c r="O123" s="90"/>
      <c r="P123" s="90"/>
    </row>
    <row r="124" spans="2:16" ht="15">
      <c r="B124" s="90"/>
      <c r="C124" s="90"/>
      <c r="D124" s="90"/>
      <c r="E124" s="90"/>
      <c r="F124" s="90"/>
      <c r="G124" s="90"/>
      <c r="H124" s="90"/>
      <c r="I124" s="90"/>
      <c r="J124" s="90"/>
      <c r="K124" s="90"/>
      <c r="L124" s="90"/>
      <c r="M124" s="90"/>
      <c r="N124" s="90"/>
      <c r="O124" s="90"/>
      <c r="P124" s="90"/>
    </row>
    <row r="125" spans="2:16" ht="15">
      <c r="B125" s="90"/>
      <c r="C125" s="90"/>
      <c r="D125" s="90"/>
      <c r="E125" s="90"/>
      <c r="F125" s="90"/>
      <c r="G125" s="90"/>
      <c r="H125" s="90"/>
      <c r="I125" s="90"/>
      <c r="J125" s="90"/>
      <c r="K125" s="90"/>
      <c r="L125" s="90"/>
      <c r="M125" s="90"/>
      <c r="N125" s="90"/>
      <c r="O125" s="90"/>
      <c r="P125" s="90"/>
    </row>
    <row r="126" spans="2:16" ht="15">
      <c r="B126" s="90"/>
      <c r="C126" s="90"/>
      <c r="D126" s="90"/>
      <c r="E126" s="90"/>
      <c r="F126" s="90"/>
      <c r="G126" s="90"/>
      <c r="H126" s="90"/>
      <c r="I126" s="90"/>
      <c r="J126" s="90"/>
      <c r="K126" s="90"/>
      <c r="L126" s="90"/>
      <c r="M126" s="90"/>
      <c r="N126" s="90"/>
      <c r="O126" s="90"/>
      <c r="P126" s="90"/>
    </row>
    <row r="127" spans="2:16" ht="15">
      <c r="B127" s="90"/>
      <c r="C127" s="90"/>
      <c r="D127" s="90"/>
      <c r="E127" s="90"/>
      <c r="F127" s="90"/>
      <c r="G127" s="90"/>
      <c r="H127" s="90"/>
      <c r="I127" s="90"/>
      <c r="J127" s="90"/>
      <c r="K127" s="90"/>
      <c r="L127" s="90"/>
      <c r="M127" s="90"/>
      <c r="N127" s="90"/>
      <c r="O127" s="90"/>
      <c r="P127" s="90"/>
    </row>
    <row r="128" spans="2:16" ht="15">
      <c r="B128" s="90"/>
      <c r="C128" s="90"/>
      <c r="D128" s="90"/>
      <c r="E128" s="90"/>
      <c r="F128" s="90"/>
      <c r="G128" s="90"/>
      <c r="H128" s="90"/>
      <c r="I128" s="90"/>
      <c r="J128" s="90"/>
      <c r="K128" s="90"/>
      <c r="L128" s="90"/>
      <c r="M128" s="90"/>
      <c r="N128" s="90"/>
      <c r="O128" s="90"/>
      <c r="P128" s="90"/>
    </row>
    <row r="129" spans="2:16" ht="15">
      <c r="B129" s="90"/>
      <c r="C129" s="90"/>
      <c r="D129" s="90"/>
      <c r="E129" s="90"/>
      <c r="F129" s="90"/>
      <c r="G129" s="90"/>
      <c r="H129" s="90"/>
      <c r="I129" s="90"/>
      <c r="J129" s="90"/>
      <c r="K129" s="90"/>
      <c r="L129" s="90"/>
      <c r="M129" s="90"/>
      <c r="N129" s="90"/>
      <c r="O129" s="90"/>
      <c r="P129" s="90"/>
    </row>
    <row r="130" spans="2:16" ht="15">
      <c r="B130" s="90"/>
      <c r="C130" s="90"/>
      <c r="D130" s="90"/>
      <c r="E130" s="90"/>
      <c r="F130" s="90"/>
      <c r="G130" s="90"/>
      <c r="H130" s="90"/>
      <c r="I130" s="90"/>
      <c r="J130" s="90"/>
      <c r="K130" s="90"/>
      <c r="L130" s="90"/>
      <c r="M130" s="90"/>
      <c r="N130" s="90"/>
      <c r="O130" s="90"/>
      <c r="P130" s="90"/>
    </row>
    <row r="131"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80"/>
  <sheetViews>
    <sheetView showGridLines="0" topLeftCell="A3" zoomScaleNormal="100" workbookViewId="0">
      <selection activeCell="J14" sqref="J14"/>
    </sheetView>
  </sheetViews>
  <sheetFormatPr defaultColWidth="8.5703125" defaultRowHeight="14.45"/>
  <cols>
    <col min="1" max="1" width="51.5703125" style="1" bestFit="1" customWidth="1"/>
    <col min="2" max="2" width="18.5703125" style="1" bestFit="1" customWidth="1"/>
    <col min="3" max="3" width="20.140625" style="1" bestFit="1" customWidth="1"/>
    <col min="4" max="4" width="22.85546875" style="1" bestFit="1" customWidth="1"/>
    <col min="5" max="5" width="15.28515625" style="1" bestFit="1" customWidth="1"/>
    <col min="6" max="6" width="11.7109375" style="1" bestFit="1" customWidth="1"/>
    <col min="7" max="7" width="16.140625" style="1" bestFit="1" customWidth="1"/>
    <col min="8" max="8" width="15.7109375" style="1" bestFit="1" customWidth="1"/>
    <col min="9" max="9" width="11.85546875" style="1" bestFit="1" customWidth="1"/>
    <col min="10" max="10" width="21" style="1" customWidth="1"/>
    <col min="11" max="11" width="22.7109375" style="1" bestFit="1" customWidth="1"/>
    <col min="12" max="12" width="15.140625" style="1" bestFit="1" customWidth="1"/>
    <col min="13" max="13" width="5.140625" style="1" bestFit="1" customWidth="1"/>
    <col min="14" max="14" width="11.140625" style="1" bestFit="1" customWidth="1"/>
    <col min="15" max="15" width="16.5703125" style="1" bestFit="1" customWidth="1"/>
    <col min="16" max="16" width="21" style="1" customWidth="1"/>
    <col min="17" max="17" width="11.140625" style="1" bestFit="1" customWidth="1"/>
    <col min="18" max="18" width="17.42578125" style="1" bestFit="1" customWidth="1"/>
    <col min="19" max="19" width="21" style="1" customWidth="1"/>
    <col min="20" max="20" width="11.140625" style="1" bestFit="1" customWidth="1"/>
    <col min="21" max="21" width="11.7109375" style="1" bestFit="1" customWidth="1"/>
    <col min="22" max="22" width="21" style="1" customWidth="1"/>
    <col min="23" max="23" width="8.5703125" style="1"/>
    <col min="24" max="24" width="31.28515625" style="1" bestFit="1" customWidth="1"/>
    <col min="25" max="25" width="10.7109375" style="1" bestFit="1" customWidth="1"/>
    <col min="26" max="26" width="8.5703125" style="1"/>
    <col min="27" max="27" width="21.28515625" style="1" bestFit="1" customWidth="1"/>
    <col min="28" max="28" width="7.5703125" style="1" bestFit="1" customWidth="1"/>
    <col min="29" max="29" width="7.28515625" style="1" bestFit="1" customWidth="1"/>
    <col min="30" max="30" width="8.5703125" style="1"/>
    <col min="31" max="31" width="24.7109375" style="1" bestFit="1" customWidth="1"/>
    <col min="32" max="32" width="8.42578125" style="1" bestFit="1" customWidth="1"/>
    <col min="33" max="33" width="8.5703125" style="1"/>
    <col min="34" max="34" width="25.140625" style="1" bestFit="1" customWidth="1"/>
    <col min="35" max="36" width="5.5703125" style="1" bestFit="1" customWidth="1"/>
    <col min="37" max="38" width="8.5703125" style="1"/>
    <col min="39" max="39" width="34" style="1" bestFit="1" customWidth="1"/>
    <col min="40" max="40" width="17.85546875" style="1" bestFit="1" customWidth="1"/>
    <col min="41" max="41" width="8.5703125" style="1"/>
    <col min="42" max="42" width="15.7109375" style="1" bestFit="1" customWidth="1"/>
    <col min="43" max="43" width="4.140625" style="1" bestFit="1" customWidth="1"/>
    <col min="44" max="44" width="8.5703125" style="1"/>
    <col min="45" max="45" width="25.85546875" style="1" bestFit="1" customWidth="1"/>
    <col min="46" max="46" width="13" style="1" bestFit="1" customWidth="1"/>
    <col min="47" max="47" width="8.5703125" style="1"/>
    <col min="48" max="48" width="28.42578125" style="1" bestFit="1" customWidth="1"/>
    <col min="49" max="49" width="10.7109375" style="1" bestFit="1" customWidth="1"/>
    <col min="50" max="50" width="8.5703125" style="1"/>
    <col min="51" max="51" width="44.7109375" style="1" bestFit="1" customWidth="1"/>
    <col min="52" max="52" width="20.85546875" style="1" bestFit="1" customWidth="1"/>
    <col min="53" max="53" width="8.5703125" style="1"/>
    <col min="54" max="54" width="29.28515625" style="1" bestFit="1" customWidth="1"/>
    <col min="55" max="55" width="10.7109375" style="1" bestFit="1" customWidth="1"/>
    <col min="56" max="56" width="8.5703125" style="1"/>
    <col min="57" max="57" width="30.85546875" style="1" bestFit="1" customWidth="1"/>
    <col min="58" max="58" width="10.7109375" style="1" bestFit="1" customWidth="1"/>
    <col min="59" max="59" width="8.5703125" style="1"/>
    <col min="60" max="60" width="26" style="1" bestFit="1" customWidth="1"/>
    <col min="61" max="61" width="10.7109375" style="1" bestFit="1" customWidth="1"/>
    <col min="62" max="62" width="8.5703125" style="1"/>
    <col min="63" max="63" width="31.28515625" style="1" bestFit="1" customWidth="1"/>
    <col min="64" max="64" width="8.42578125" style="1" bestFit="1" customWidth="1"/>
    <col min="65" max="65" width="6.42578125" style="1" bestFit="1" customWidth="1"/>
    <col min="66" max="16384" width="8.5703125" style="1"/>
  </cols>
  <sheetData>
    <row r="1" spans="1:69" ht="15" customHeight="1">
      <c r="A1" s="102" t="s">
        <v>175</v>
      </c>
      <c r="B1" s="102"/>
      <c r="C1" s="102"/>
      <c r="D1" s="102"/>
      <c r="E1" s="102"/>
      <c r="F1" s="102"/>
      <c r="G1" s="102"/>
      <c r="H1" s="102"/>
      <c r="I1" s="102"/>
      <c r="J1" s="102"/>
      <c r="K1" s="102" t="s">
        <v>176</v>
      </c>
      <c r="L1" s="102"/>
      <c r="M1" s="102"/>
      <c r="N1" s="102"/>
      <c r="O1" s="102"/>
      <c r="P1" s="102"/>
      <c r="Q1" s="102"/>
      <c r="R1" s="102"/>
      <c r="S1" s="102"/>
      <c r="T1" s="102"/>
      <c r="U1" s="102"/>
      <c r="V1" s="102"/>
      <c r="X1" s="220" t="s">
        <v>177</v>
      </c>
      <c r="Y1" s="220"/>
      <c r="Z1" s="219"/>
      <c r="AA1" s="220" t="s">
        <v>178</v>
      </c>
      <c r="AB1" s="220"/>
      <c r="AC1" s="220"/>
      <c r="AD1" s="219"/>
      <c r="AE1" s="220" t="s">
        <v>179</v>
      </c>
      <c r="AF1" s="220"/>
      <c r="AG1" s="219"/>
      <c r="AH1" s="220" t="s">
        <v>180</v>
      </c>
      <c r="AI1" s="220"/>
      <c r="AJ1" s="220"/>
      <c r="AK1" s="219"/>
      <c r="AL1" s="219"/>
      <c r="AM1" s="220" t="s">
        <v>181</v>
      </c>
      <c r="AN1" s="220"/>
      <c r="AO1" s="219"/>
      <c r="AP1" s="220" t="s">
        <v>182</v>
      </c>
      <c r="AQ1" s="220"/>
      <c r="AR1" s="219"/>
      <c r="AS1" t="s">
        <v>183</v>
      </c>
      <c r="AT1"/>
      <c r="AU1" s="219"/>
      <c r="AV1" s="220" t="s">
        <v>184</v>
      </c>
      <c r="AW1" s="220"/>
      <c r="AX1" s="219"/>
      <c r="AY1" s="220" t="s">
        <v>185</v>
      </c>
      <c r="AZ1" s="220"/>
      <c r="BA1" s="219"/>
      <c r="BB1" s="220" t="s">
        <v>186</v>
      </c>
      <c r="BC1" s="220"/>
      <c r="BD1" s="219"/>
      <c r="BE1" s="220" t="s">
        <v>187</v>
      </c>
      <c r="BF1" s="220"/>
      <c r="BG1" s="219"/>
      <c r="BH1" s="220" t="s">
        <v>188</v>
      </c>
      <c r="BI1" s="220"/>
      <c r="BJ1" s="219"/>
      <c r="BK1" s="220" t="s">
        <v>189</v>
      </c>
      <c r="BL1" s="220"/>
      <c r="BM1" s="220"/>
      <c r="BN1"/>
      <c r="BO1" t="s">
        <v>190</v>
      </c>
      <c r="BP1"/>
      <c r="BQ1"/>
    </row>
    <row r="2" spans="1:69" ht="15" customHeight="1">
      <c r="A2" s="91" t="s">
        <v>191</v>
      </c>
      <c r="B2" s="91" t="s">
        <v>192</v>
      </c>
      <c r="C2" s="91" t="s">
        <v>193</v>
      </c>
      <c r="D2" s="91" t="s">
        <v>194</v>
      </c>
      <c r="E2" s="91"/>
      <c r="F2" s="91"/>
      <c r="G2" s="91"/>
      <c r="H2" s="91"/>
      <c r="I2" s="91"/>
      <c r="J2" s="91"/>
      <c r="K2" s="102" t="s">
        <v>191</v>
      </c>
      <c r="L2" s="102" t="s">
        <v>195</v>
      </c>
      <c r="M2" s="102" t="s">
        <v>196</v>
      </c>
      <c r="N2" s="91"/>
      <c r="O2" s="91"/>
      <c r="P2" s="91"/>
      <c r="Q2" s="91"/>
      <c r="R2" s="91"/>
      <c r="S2" s="91"/>
      <c r="T2" s="91"/>
      <c r="U2" s="91"/>
      <c r="V2" s="91"/>
      <c r="X2" s="220" t="s">
        <v>191</v>
      </c>
      <c r="Y2" s="220" t="s">
        <v>197</v>
      </c>
      <c r="Z2" s="219"/>
      <c r="AA2" s="220" t="s">
        <v>191</v>
      </c>
      <c r="AB2" s="220" t="s">
        <v>195</v>
      </c>
      <c r="AC2" s="220" t="s">
        <v>198</v>
      </c>
      <c r="AD2" s="219"/>
      <c r="AE2" s="220" t="s">
        <v>191</v>
      </c>
      <c r="AF2" s="220" t="s">
        <v>199</v>
      </c>
      <c r="AG2" s="219"/>
      <c r="AH2" s="220" t="s">
        <v>191</v>
      </c>
      <c r="AI2" s="220" t="s">
        <v>200</v>
      </c>
      <c r="AJ2" s="220" t="s">
        <v>201</v>
      </c>
      <c r="AK2" s="219"/>
      <c r="AL2" s="219"/>
      <c r="AM2" s="220" t="s">
        <v>191</v>
      </c>
      <c r="AN2" s="220" t="s">
        <v>202</v>
      </c>
      <c r="AO2" s="219"/>
      <c r="AP2" s="220" t="s">
        <v>191</v>
      </c>
      <c r="AQ2" s="220" t="s">
        <v>111</v>
      </c>
      <c r="AR2" s="219"/>
      <c r="AS2" t="s">
        <v>191</v>
      </c>
      <c r="AT2" t="s">
        <v>203</v>
      </c>
      <c r="AU2" s="219"/>
      <c r="AV2" s="220" t="s">
        <v>191</v>
      </c>
      <c r="AW2" s="220" t="s">
        <v>197</v>
      </c>
      <c r="AX2" s="219"/>
      <c r="AY2" s="220" t="s">
        <v>191</v>
      </c>
      <c r="AZ2" s="220" t="s">
        <v>204</v>
      </c>
      <c r="BA2" s="219"/>
      <c r="BB2" s="220" t="s">
        <v>191</v>
      </c>
      <c r="BC2" s="220" t="s">
        <v>197</v>
      </c>
      <c r="BD2" s="219"/>
      <c r="BE2" s="220" t="s">
        <v>191</v>
      </c>
      <c r="BF2" s="220" t="s">
        <v>197</v>
      </c>
      <c r="BG2" s="219"/>
      <c r="BH2" s="220" t="s">
        <v>191</v>
      </c>
      <c r="BI2" s="220" t="s">
        <v>197</v>
      </c>
      <c r="BJ2" s="219"/>
      <c r="BK2" s="220" t="s">
        <v>205</v>
      </c>
      <c r="BL2" s="220" t="s">
        <v>206</v>
      </c>
      <c r="BM2" s="220" t="s">
        <v>196</v>
      </c>
      <c r="BN2"/>
      <c r="BO2" t="s">
        <v>207</v>
      </c>
      <c r="BP2" t="s">
        <v>208</v>
      </c>
      <c r="BQ2"/>
    </row>
    <row r="3" spans="1:69" ht="15" customHeight="1">
      <c r="A3" s="91" t="s">
        <v>209</v>
      </c>
      <c r="B3" s="91" t="str">
        <f>IF('SURA Cotizadores'!C13="","0",'SURA Cotizadores'!C13)</f>
        <v>N1</v>
      </c>
      <c r="C3" s="91">
        <f>IFERROR(VALUE(RIGHT(B3,1)),0)</f>
        <v>1</v>
      </c>
      <c r="D3" s="91">
        <v>3</v>
      </c>
      <c r="E3" s="91"/>
      <c r="F3" s="91"/>
      <c r="G3" s="91"/>
      <c r="H3" s="91"/>
      <c r="I3" s="91"/>
      <c r="J3" s="91"/>
      <c r="K3" s="91" t="str">
        <f>A3</f>
        <v>SURA Cotiz.</v>
      </c>
      <c r="L3" s="91">
        <f>C3</f>
        <v>1</v>
      </c>
      <c r="M3" s="91">
        <f>D3</f>
        <v>3</v>
      </c>
      <c r="N3" s="91"/>
      <c r="O3" s="91"/>
      <c r="P3" s="91"/>
      <c r="Q3" s="91"/>
      <c r="R3" s="91"/>
      <c r="S3" s="91"/>
      <c r="T3" s="91"/>
      <c r="U3" s="91"/>
      <c r="V3" s="91"/>
      <c r="X3" s="219" t="s">
        <v>209</v>
      </c>
      <c r="Y3" s="221">
        <f>IFERROR(COUNTA('SURA Cotizadores'!C4:C18)/15,0)</f>
        <v>0.4</v>
      </c>
      <c r="Z3" s="219"/>
      <c r="AA3" s="219" t="s">
        <v>209</v>
      </c>
      <c r="AB3" s="222">
        <f>IFERROR(VALUE(RIGHT('SURA Cotizadores'!C13,1)),0)</f>
        <v>1</v>
      </c>
      <c r="AC3" s="222">
        <f>3</f>
        <v>3</v>
      </c>
      <c r="AD3" s="219"/>
      <c r="AE3" s="219" t="s">
        <v>209</v>
      </c>
      <c r="AF3" s="221">
        <f>IFERROR((COUNTIF('SURA Cotizadores'!D23:D45,"Sí")+COUNTIF('SURA Cotizadores'!D23:D45,"Si")+0.5*COUNTIF('SURA Cotizadores'!D23:D45,"Parcial"))/(COUNTIF('SURA Cotizadores'!D23:D45,"Sí")+COUNTIF('SURA Cotizadores'!D23:D45,"Si")+COUNTIF('SURA Cotizadores'!D23:D45,"Parcial")+COUNTIF('SURA Cotizadores'!D23:D45,"No")),0)</f>
        <v>0.47058823529411764</v>
      </c>
      <c r="AG3" s="219"/>
      <c r="AH3" s="219" t="s">
        <v>209</v>
      </c>
      <c r="AI3" s="221">
        <f>IFERROR('SURA Cotizadores'!C55,0)</f>
        <v>0.68</v>
      </c>
      <c r="AJ3" s="221">
        <f>IFERROR('SURA Cotizadores'!C57,0)</f>
        <v>0.89</v>
      </c>
      <c r="AK3" s="219"/>
      <c r="AL3" s="219"/>
      <c r="AM3" s="219" t="s">
        <v>209</v>
      </c>
      <c r="AN3" s="222">
        <f>IFERROR(SUM('SURA Cotizadores'!C66:C74),0)</f>
        <v>0</v>
      </c>
      <c r="AO3" s="219"/>
      <c r="AP3" s="219" t="s">
        <v>209</v>
      </c>
      <c r="AQ3" s="222">
        <f>IFERROR('SURA Cotizadores'!C78,0)</f>
        <v>0</v>
      </c>
      <c r="AR3" s="219"/>
      <c r="AS3" t="s">
        <v>209</v>
      </c>
      <c r="AT3">
        <f>COUNTIF('SURA Cotizadores'!C88:C105,"Sí")+COUNTIF('SURA Cotizadores'!C88:C105,"Si")+0.5*COUNTIF('SURA Cotizadores'!C88:C105,"Parcial")</f>
        <v>7</v>
      </c>
      <c r="AU3" s="219"/>
      <c r="AV3" s="219" t="s">
        <v>209</v>
      </c>
      <c r="AW3" s="221">
        <f>IFERROR(COUNTA('SURA Cotizadores'!C109:C116)/8,0)</f>
        <v>0</v>
      </c>
      <c r="AX3" s="219"/>
      <c r="AY3" s="219" t="s">
        <v>209</v>
      </c>
      <c r="AZ3" s="222">
        <f>IFERROR(COUNTA('SURA Cotizadores'!C120:C129),0)</f>
        <v>0</v>
      </c>
      <c r="BA3" s="219"/>
      <c r="BB3" s="219" t="s">
        <v>209</v>
      </c>
      <c r="BC3" s="221">
        <f>IFERROR(COUNTA('SURA Cotizadores'!C133:C139)/7,0)</f>
        <v>0</v>
      </c>
      <c r="BD3" s="219"/>
      <c r="BE3" s="219" t="s">
        <v>209</v>
      </c>
      <c r="BF3" s="221">
        <f>IFERROR(COUNTA('SURA Cotizadores'!C143:C151)/9,0)</f>
        <v>0.1111111111111111</v>
      </c>
      <c r="BG3" s="219"/>
      <c r="BH3" s="219" t="s">
        <v>209</v>
      </c>
      <c r="BI3" s="221">
        <f>IFERROR(COUNTA('SURA Cotizadores'!C155:G165)/20,0)</f>
        <v>0.35</v>
      </c>
      <c r="BJ3" s="219"/>
      <c r="BK3" s="219" t="s">
        <v>210</v>
      </c>
      <c r="BL3" s="221">
        <f>AVERAGE(Y3:Y13)</f>
        <v>0.39393939393939392</v>
      </c>
      <c r="BM3" s="221">
        <f>100%</f>
        <v>1</v>
      </c>
      <c r="BN3"/>
      <c r="BO3" t="s">
        <v>151</v>
      </c>
      <c r="BP3">
        <f>Dashboard!N47</f>
        <v>1</v>
      </c>
      <c r="BQ3"/>
    </row>
    <row r="4" spans="1:69" ht="15" customHeight="1">
      <c r="A4" s="91" t="s">
        <v>211</v>
      </c>
      <c r="B4" s="91" t="str">
        <f>IF('SURA Venta Digital'!C14="","0",'SURA Venta Digital'!C14)</f>
        <v>N1</v>
      </c>
      <c r="C4" s="91">
        <f>IFERROR(VALUE(RIGHT(B4,1)),0)</f>
        <v>1</v>
      </c>
      <c r="D4" s="91">
        <v>3</v>
      </c>
      <c r="E4" s="91"/>
      <c r="F4" s="91"/>
      <c r="G4" s="91"/>
      <c r="H4" s="91"/>
      <c r="I4" s="91"/>
      <c r="J4" s="91"/>
      <c r="K4" s="91" t="str">
        <f>A4</f>
        <v>SURA V.Dig.</v>
      </c>
      <c r="L4" s="91">
        <f>C4</f>
        <v>1</v>
      </c>
      <c r="M4" s="91">
        <f>D4</f>
        <v>3</v>
      </c>
      <c r="N4" s="91"/>
      <c r="O4" s="91"/>
      <c r="P4" s="91"/>
      <c r="Q4" s="91"/>
      <c r="R4" s="91"/>
      <c r="S4" s="91"/>
      <c r="T4" s="91"/>
      <c r="U4" s="91"/>
      <c r="V4" s="91"/>
      <c r="X4" s="219" t="s">
        <v>211</v>
      </c>
      <c r="Y4" s="221">
        <f>IFERROR(COUNTA('SURA Venta Digital'!C4:C18)/15,0)</f>
        <v>0.4</v>
      </c>
      <c r="Z4" s="219"/>
      <c r="AA4" s="219" t="s">
        <v>211</v>
      </c>
      <c r="AB4" s="222">
        <f>IFERROR(VALUE(RIGHT('SURA Venta Digital'!C14,1)),0)</f>
        <v>1</v>
      </c>
      <c r="AC4" s="222">
        <f>3</f>
        <v>3</v>
      </c>
      <c r="AD4" s="219"/>
      <c r="AE4" s="219" t="s">
        <v>211</v>
      </c>
      <c r="AF4" s="221">
        <f>IFERROR((COUNTIF('SURA Venta Digital'!D23:D45,"Sí")+COUNTIF('SURA Venta Digital'!D23:D45,"Si")+0.5*COUNTIF('SURA Venta Digital'!D23:D45,"Parcial"))/(COUNTIF('SURA Venta Digital'!D23:D45,"Sí")+COUNTIF('SURA Venta Digital'!D23:D45,"Si")+COUNTIF('SURA Venta Digital'!D23:D45,"Parcial")+COUNTIF('SURA Venta Digital'!D23:D45,"No")),0)</f>
        <v>0.17647058823529413</v>
      </c>
      <c r="AG4" s="219"/>
      <c r="AH4" s="219" t="s">
        <v>211</v>
      </c>
      <c r="AI4" s="221">
        <f>IFERROR('SURA Venta Digital'!C55,0)</f>
        <v>0.68</v>
      </c>
      <c r="AJ4" s="221">
        <f>IFERROR('SURA Venta Digital'!C57,0)</f>
        <v>0.89</v>
      </c>
      <c r="AK4" s="219"/>
      <c r="AL4" s="219"/>
      <c r="AM4" s="219" t="s">
        <v>211</v>
      </c>
      <c r="AN4" s="222">
        <f>IFERROR(SUM('SURA Venta Digital'!C66:C74),0)</f>
        <v>0</v>
      </c>
      <c r="AO4" s="219"/>
      <c r="AP4" s="219" t="s">
        <v>211</v>
      </c>
      <c r="AQ4" s="222">
        <f>IFERROR('SURA Venta Digital'!C78,0)</f>
        <v>0</v>
      </c>
      <c r="AR4" s="219"/>
      <c r="AS4" t="s">
        <v>211</v>
      </c>
      <c r="AT4">
        <f>COUNTIF('SURA Venta Digital'!C87:C104,"Sí")+COUNTIF('SURA Venta Digital'!C87:C104,"Si")+0.5*COUNTIF('SURA Venta Digital'!C87:C104,"Parcial")</f>
        <v>7</v>
      </c>
      <c r="AU4" s="219"/>
      <c r="AV4" s="219" t="s">
        <v>211</v>
      </c>
      <c r="AW4" s="221">
        <f>IFERROR(COUNTA('SURA Venta Digital'!C109:C116)/8,0)</f>
        <v>0</v>
      </c>
      <c r="AX4" s="219"/>
      <c r="AY4" s="219" t="s">
        <v>211</v>
      </c>
      <c r="AZ4" s="222">
        <f>IFERROR(COUNTA('SURA Venta Digital'!C120:C129),0)</f>
        <v>0</v>
      </c>
      <c r="BA4" s="219"/>
      <c r="BB4" s="219" t="s">
        <v>211</v>
      </c>
      <c r="BC4" s="221">
        <f>IFERROR(COUNTA('SURA Venta Digital'!C133:C139)/7,0)</f>
        <v>0</v>
      </c>
      <c r="BD4" s="219"/>
      <c r="BE4" s="219" t="s">
        <v>211</v>
      </c>
      <c r="BF4" s="221">
        <f>IFERROR(COUNTA('SURA Venta Digital'!C143:C151)/9,0)</f>
        <v>0.1111111111111111</v>
      </c>
      <c r="BG4" s="219"/>
      <c r="BH4" s="219" t="s">
        <v>211</v>
      </c>
      <c r="BI4" s="221">
        <f>IFERROR(COUNTA('SURA Venta Digital'!C155:G165)/20,0)</f>
        <v>0.35</v>
      </c>
      <c r="BJ4" s="219"/>
      <c r="BK4" s="219" t="s">
        <v>212</v>
      </c>
      <c r="BL4" s="221">
        <f>AVERAGE(AB3:AB13)/5</f>
        <v>0.2</v>
      </c>
      <c r="BM4" s="221">
        <f>60%</f>
        <v>0.6</v>
      </c>
      <c r="BN4"/>
      <c r="BO4" t="s">
        <v>152</v>
      </c>
      <c r="BP4">
        <f>Dashboard!N48</f>
        <v>2</v>
      </c>
      <c r="BQ4"/>
    </row>
    <row r="5" spans="1:69" ht="15" customHeight="1">
      <c r="A5" s="91" t="s">
        <v>213</v>
      </c>
      <c r="B5" s="91" t="str">
        <f>IF('SURA Torre Control'!C14="","0",'SURA Torre Control'!C14)</f>
        <v>N1</v>
      </c>
      <c r="C5" s="91">
        <f>IFERROR(VALUE(RIGHT(B5,1)),0)</f>
        <v>1</v>
      </c>
      <c r="D5" s="91">
        <v>3</v>
      </c>
      <c r="E5" s="91"/>
      <c r="F5" s="91"/>
      <c r="G5" s="91"/>
      <c r="H5" s="91"/>
      <c r="I5" s="91"/>
      <c r="J5" s="91"/>
      <c r="K5" s="91" t="str">
        <f>A5</f>
        <v>SURA Torre</v>
      </c>
      <c r="L5" s="91">
        <f>C5</f>
        <v>1</v>
      </c>
      <c r="M5" s="91">
        <f>D5</f>
        <v>3</v>
      </c>
      <c r="N5" s="91"/>
      <c r="O5" s="91"/>
      <c r="P5" s="91"/>
      <c r="Q5" s="91"/>
      <c r="R5" s="91"/>
      <c r="S5" s="91"/>
      <c r="T5" s="91"/>
      <c r="U5" s="91"/>
      <c r="V5" s="91"/>
      <c r="X5" s="219" t="s">
        <v>213</v>
      </c>
      <c r="Y5" s="221">
        <f>IFERROR(COUNTA('SURA Torre Control'!C4:C18)/15,0)</f>
        <v>0.4</v>
      </c>
      <c r="Z5" s="219"/>
      <c r="AA5" s="219" t="s">
        <v>213</v>
      </c>
      <c r="AB5" s="222">
        <f>IFERROR(VALUE(RIGHT('SURA Torre Control'!C14,1)),0)</f>
        <v>1</v>
      </c>
      <c r="AC5" s="222">
        <f>3</f>
        <v>3</v>
      </c>
      <c r="AD5" s="219"/>
      <c r="AE5" s="219" t="s">
        <v>213</v>
      </c>
      <c r="AF5" s="221">
        <f>IFERROR((COUNTIF('SURA Torre Control'!D23:D45,"Sí")+COUNTIF('SURA Torre Control'!D23:D45,"Si")+0.5*COUNTIF('SURA Torre Control'!D23:D45,"Parcial"))/(COUNTIF('SURA Torre Control'!D23:D45,"Sí")+COUNTIF('SURA Torre Control'!D23:D45,"Si")+COUNTIF('SURA Torre Control'!D23:D45,"Parcial")+COUNTIF('SURA Torre Control'!D23:D45,"No")),0)</f>
        <v>0</v>
      </c>
      <c r="AG5" s="219"/>
      <c r="AH5" s="219" t="s">
        <v>213</v>
      </c>
      <c r="AI5" s="221">
        <f>IFERROR('SURA Torre Control'!C55,0)</f>
        <v>0.68</v>
      </c>
      <c r="AJ5" s="221">
        <f>IFERROR('SURA Torre Control'!C57,0)</f>
        <v>0.89</v>
      </c>
      <c r="AK5" s="219"/>
      <c r="AL5" s="219"/>
      <c r="AM5" s="219" t="s">
        <v>213</v>
      </c>
      <c r="AN5" s="222">
        <f>IFERROR(SUM('SURA Torre Control'!C66:C74),0)</f>
        <v>0</v>
      </c>
      <c r="AO5" s="219"/>
      <c r="AP5" s="219" t="s">
        <v>213</v>
      </c>
      <c r="AQ5" s="222">
        <f>IFERROR('SURA Torre Control'!C78,0)</f>
        <v>0</v>
      </c>
      <c r="AR5" s="219"/>
      <c r="AS5" t="s">
        <v>213</v>
      </c>
      <c r="AT5">
        <f>COUNTIF('SURA Torre Control'!C87:C104,"Sí")+COUNTIF('SURA Torre Control'!C87:C104,"Si")+0.5*COUNTIF('SURA Torre Control'!C87:C104,"Parcial")</f>
        <v>0</v>
      </c>
      <c r="AU5" s="219"/>
      <c r="AV5" s="219" t="s">
        <v>213</v>
      </c>
      <c r="AW5" s="221">
        <f>IFERROR(COUNTA('SURA Torre Control'!C109:C116)/8,0)</f>
        <v>0</v>
      </c>
      <c r="AX5" s="219"/>
      <c r="AY5" s="219" t="s">
        <v>213</v>
      </c>
      <c r="AZ5" s="222">
        <f>IFERROR(COUNTA('SURA Torre Control'!C120:C129),0)</f>
        <v>0</v>
      </c>
      <c r="BA5" s="219"/>
      <c r="BB5" s="219" t="s">
        <v>213</v>
      </c>
      <c r="BC5" s="221">
        <f>IFERROR(COUNTA('SURA Torre Control'!C133:C139)/7,0)</f>
        <v>0</v>
      </c>
      <c r="BD5" s="219"/>
      <c r="BE5" s="219" t="s">
        <v>213</v>
      </c>
      <c r="BF5" s="221">
        <f>IFERROR(COUNTA('SURA Torre Control'!C143:C151)/9,0)</f>
        <v>0.1111111111111111</v>
      </c>
      <c r="BG5" s="219"/>
      <c r="BH5" s="219" t="s">
        <v>213</v>
      </c>
      <c r="BI5" s="221">
        <f>IFERROR(COUNTA('SURA Torre Control'!C155:G165)/20,0)</f>
        <v>0.35</v>
      </c>
      <c r="BJ5" s="219"/>
      <c r="BK5" s="219" t="s">
        <v>214</v>
      </c>
      <c r="BL5" s="221">
        <f>AVERAGE(AF3:AF13)</f>
        <v>0.13101604278074866</v>
      </c>
      <c r="BM5" s="221">
        <f>70%</f>
        <v>0.7</v>
      </c>
      <c r="BN5"/>
      <c r="BO5" t="s">
        <v>153</v>
      </c>
      <c r="BP5">
        <f>Dashboard!N49</f>
        <v>2</v>
      </c>
      <c r="BQ5"/>
    </row>
    <row r="6" spans="1:69" ht="15" customHeight="1">
      <c r="A6" s="91" t="s">
        <v>215</v>
      </c>
      <c r="B6" s="91" t="str">
        <f>IF('SURA Mesa 4'!C14="","0",'SURA Mesa 4'!C14)</f>
        <v>N1</v>
      </c>
      <c r="C6" s="91">
        <f>IFERROR(VALUE(RIGHT(B6,1)),0)</f>
        <v>1</v>
      </c>
      <c r="D6" s="91">
        <v>3</v>
      </c>
      <c r="E6" s="91"/>
      <c r="F6" s="91"/>
      <c r="G6" s="91"/>
      <c r="H6" s="91"/>
      <c r="I6" s="91"/>
      <c r="J6" s="91"/>
      <c r="K6" s="91" t="str">
        <f>A6</f>
        <v>SURA Mesa4</v>
      </c>
      <c r="L6" s="91">
        <f>C6</f>
        <v>1</v>
      </c>
      <c r="M6" s="91">
        <f>D6</f>
        <v>3</v>
      </c>
      <c r="N6" s="91"/>
      <c r="O6" s="91"/>
      <c r="P6" s="91"/>
      <c r="Q6" s="91"/>
      <c r="R6" s="91"/>
      <c r="S6" s="91"/>
      <c r="T6" s="91"/>
      <c r="U6" s="91"/>
      <c r="V6" s="91"/>
      <c r="X6" s="219" t="s">
        <v>215</v>
      </c>
      <c r="Y6" s="221">
        <f>IFERROR(COUNTA('SURA Mesa 4'!C4:C18)/15,0)</f>
        <v>0.4</v>
      </c>
      <c r="Z6" s="219"/>
      <c r="AA6" s="219" t="s">
        <v>215</v>
      </c>
      <c r="AB6" s="222">
        <f>IFERROR(VALUE(RIGHT('SURA Mesa 4'!C14,1)),0)</f>
        <v>1</v>
      </c>
      <c r="AC6" s="222">
        <f>3</f>
        <v>3</v>
      </c>
      <c r="AD6" s="219"/>
      <c r="AE6" s="219" t="s">
        <v>215</v>
      </c>
      <c r="AF6" s="221">
        <f>IFERROR((COUNTIF('SURA Mesa 4'!D23:D45,"Sí")+COUNTIF('SURA Mesa 4'!D23:D45,"Si")+0.5*COUNTIF('SURA Mesa 4'!D23:D45,"Parcial"))/(COUNTIF('SURA Mesa 4'!D23:D45,"Sí")+COUNTIF('SURA Mesa 4'!D23:D45,"Si")+COUNTIF('SURA Mesa 4'!D23:D45,"Parcial")+COUNTIF('SURA Mesa 4'!D23:D45,"No")),0)</f>
        <v>0</v>
      </c>
      <c r="AG6" s="219"/>
      <c r="AH6" s="219" t="s">
        <v>215</v>
      </c>
      <c r="AI6" s="221">
        <f>IFERROR('SURA Mesa 4'!C55,0)</f>
        <v>0.68</v>
      </c>
      <c r="AJ6" s="221">
        <f>IFERROR('SURA Mesa 4'!C57,0)</f>
        <v>0.89</v>
      </c>
      <c r="AK6" s="219"/>
      <c r="AL6" s="219"/>
      <c r="AM6" s="219" t="s">
        <v>215</v>
      </c>
      <c r="AN6" s="222">
        <f>IFERROR(SUM('SURA Mesa 4'!C66:C74),0)</f>
        <v>0</v>
      </c>
      <c r="AO6" s="219"/>
      <c r="AP6" s="219" t="s">
        <v>215</v>
      </c>
      <c r="AQ6" s="222">
        <f>IFERROR('SURA Mesa 4'!C78,0)</f>
        <v>0</v>
      </c>
      <c r="AR6" s="219"/>
      <c r="AS6" t="s">
        <v>215</v>
      </c>
      <c r="AT6">
        <f>COUNTIF('SURA Mesa 4'!C87:C104,"Sí")+COUNTIF('SURA Mesa 4'!C87:C104,"Si")+0.5*COUNTIF('SURA Mesa 4'!C87:C104,"Parcial")</f>
        <v>0</v>
      </c>
      <c r="AU6" s="219"/>
      <c r="AV6" s="219" t="s">
        <v>215</v>
      </c>
      <c r="AW6" s="221">
        <f>IFERROR(COUNTA('SURA Mesa 4'!C109:C116)/8,0)</f>
        <v>0</v>
      </c>
      <c r="AX6" s="219"/>
      <c r="AY6" s="219" t="s">
        <v>215</v>
      </c>
      <c r="AZ6" s="222">
        <f>IFERROR(COUNTA('SURA Mesa 4'!C120:C129),0)</f>
        <v>0</v>
      </c>
      <c r="BA6" s="219"/>
      <c r="BB6" s="219" t="s">
        <v>215</v>
      </c>
      <c r="BC6" s="221">
        <f>IFERROR(COUNTA('SURA Mesa 4'!C133:C139)/7,0)</f>
        <v>0</v>
      </c>
      <c r="BD6" s="219"/>
      <c r="BE6" s="219" t="s">
        <v>215</v>
      </c>
      <c r="BF6" s="221">
        <f>IFERROR(COUNTA('SURA Mesa 4'!C143:C151)/9,0)</f>
        <v>0.1111111111111111</v>
      </c>
      <c r="BG6" s="219"/>
      <c r="BH6" s="219" t="s">
        <v>215</v>
      </c>
      <c r="BI6" s="221">
        <f>IFERROR(COUNTA('SURA Mesa 4'!C155:G165)/20,0)</f>
        <v>0.35</v>
      </c>
      <c r="BJ6" s="219"/>
      <c r="BK6" s="219" t="s">
        <v>216</v>
      </c>
      <c r="BL6" s="221">
        <f>AVERAGE(AI3:AJ13)</f>
        <v>0.78500000000000014</v>
      </c>
      <c r="BM6" s="221">
        <f>85%</f>
        <v>0.85</v>
      </c>
      <c r="BN6"/>
      <c r="BO6" t="s">
        <v>154</v>
      </c>
      <c r="BP6">
        <f>Dashboard!N50</f>
        <v>2.5</v>
      </c>
      <c r="BQ6"/>
    </row>
    <row r="7" spans="1:69" ht="15" customHeight="1">
      <c r="A7" s="91" t="s">
        <v>217</v>
      </c>
      <c r="B7" s="91" t="str">
        <f>IF('BCO Gioti 1'!C14="","0",'BCO Gioti 1'!C14)</f>
        <v>N1</v>
      </c>
      <c r="C7" s="91">
        <f>IFERROR(VALUE(RIGHT(B7,1)),0)</f>
        <v>1</v>
      </c>
      <c r="D7" s="91">
        <v>3</v>
      </c>
      <c r="E7" s="91"/>
      <c r="F7" s="91"/>
      <c r="G7" s="91"/>
      <c r="H7" s="91"/>
      <c r="I7" s="91"/>
      <c r="J7" s="91"/>
      <c r="K7" s="91" t="str">
        <f>A7</f>
        <v>BCO Gioti1</v>
      </c>
      <c r="L7" s="91">
        <f>C7</f>
        <v>1</v>
      </c>
      <c r="M7" s="91">
        <f>D7</f>
        <v>3</v>
      </c>
      <c r="N7" s="91"/>
      <c r="O7" s="91"/>
      <c r="P7" s="91"/>
      <c r="Q7" s="91"/>
      <c r="R7" s="91"/>
      <c r="S7" s="91"/>
      <c r="T7" s="91"/>
      <c r="U7" s="91"/>
      <c r="V7" s="91"/>
      <c r="X7" s="219" t="s">
        <v>217</v>
      </c>
      <c r="Y7" s="221">
        <f>IFERROR(COUNTA('BCO Gioti 1'!C4:C18)/15,0)</f>
        <v>0.4</v>
      </c>
      <c r="Z7" s="219"/>
      <c r="AA7" s="219" t="s">
        <v>217</v>
      </c>
      <c r="AB7" s="222">
        <f>IFERROR(VALUE(RIGHT('BCO Gioti 1'!C14,1)),0)</f>
        <v>1</v>
      </c>
      <c r="AC7" s="222">
        <f>3</f>
        <v>3</v>
      </c>
      <c r="AD7" s="219"/>
      <c r="AE7" s="219" t="s">
        <v>217</v>
      </c>
      <c r="AF7" s="221">
        <f>IFERROR((COUNTIF('BCO Gioti 1'!D23:D45,"Sí")+COUNTIF('BCO Gioti 1'!D23:D45,"Si")+0.5*COUNTIF('BCO Gioti 1'!D23:D45,"Parcial"))/(COUNTIF('BCO Gioti 1'!D23:D45,"Sí")+COUNTIF('BCO Gioti 1'!D23:D45,"Si")+COUNTIF('BCO Gioti 1'!D23:D45,"Parcial")+COUNTIF('BCO Gioti 1'!D23:D45,"No")),0)</f>
        <v>0.79411764705882348</v>
      </c>
      <c r="AG7" s="219"/>
      <c r="AH7" s="219" t="s">
        <v>217</v>
      </c>
      <c r="AI7" s="221">
        <f>IFERROR('BCO Gioti 1'!C55,0)</f>
        <v>0.68</v>
      </c>
      <c r="AJ7" s="221">
        <f>IFERROR('BCO Gioti 1'!C57,0)</f>
        <v>0.89</v>
      </c>
      <c r="AK7" s="219"/>
      <c r="AL7" s="219"/>
      <c r="AM7" s="219" t="s">
        <v>217</v>
      </c>
      <c r="AN7" s="222">
        <f>IFERROR(SUM('BCO Gioti 1'!C66:C74),0)</f>
        <v>0</v>
      </c>
      <c r="AO7" s="219"/>
      <c r="AP7" s="219" t="s">
        <v>217</v>
      </c>
      <c r="AQ7" s="222">
        <f>IFERROR('BCO Gioti 1'!C78,0)</f>
        <v>0</v>
      </c>
      <c r="AR7" s="219"/>
      <c r="AS7" t="s">
        <v>217</v>
      </c>
      <c r="AT7">
        <f>COUNTIF('BCO Gioti 1'!C87:C104,"Sí")+COUNTIF('BCO Gioti 1'!C87:C104,"Si")+0.5*COUNTIF('BCO Gioti 1'!C87:C104,"Parcial")</f>
        <v>1</v>
      </c>
      <c r="AU7" s="219"/>
      <c r="AV7" s="219" t="s">
        <v>217</v>
      </c>
      <c r="AW7" s="221">
        <f>IFERROR(COUNTA('BCO Gioti 1'!C109:C116)/8,0)</f>
        <v>0</v>
      </c>
      <c r="AX7" s="219"/>
      <c r="AY7" s="219" t="s">
        <v>217</v>
      </c>
      <c r="AZ7" s="222">
        <f>IFERROR(COUNTA('BCO Gioti 1'!C120:C129),0)</f>
        <v>0</v>
      </c>
      <c r="BA7" s="219"/>
      <c r="BB7" s="219" t="s">
        <v>217</v>
      </c>
      <c r="BC7" s="221">
        <f>IFERROR(COUNTA('BCO Gioti 1'!C133:C139)/7,0)</f>
        <v>0</v>
      </c>
      <c r="BD7" s="219"/>
      <c r="BE7" s="219" t="s">
        <v>217</v>
      </c>
      <c r="BF7" s="221">
        <f>IFERROR(COUNTA('BCO Gioti 1'!C143:C151)/9,0)</f>
        <v>0.1111111111111111</v>
      </c>
      <c r="BG7" s="219"/>
      <c r="BH7" s="219" t="s">
        <v>217</v>
      </c>
      <c r="BI7" s="221">
        <f>IFERROR(COUNTA('BCO Gioti 1'!C155:G165)/20,0)</f>
        <v>0.35</v>
      </c>
      <c r="BJ7" s="219"/>
      <c r="BK7" s="219" t="s">
        <v>218</v>
      </c>
      <c r="BL7" s="221">
        <f>IFERROR(AVERAGE(AN3:AN13),0)</f>
        <v>0</v>
      </c>
      <c r="BM7" s="221">
        <f>0</f>
        <v>0</v>
      </c>
      <c r="BN7"/>
      <c r="BO7" t="s">
        <v>155</v>
      </c>
      <c r="BP7">
        <f>Dashboard!N51</f>
        <v>2</v>
      </c>
      <c r="BQ7"/>
    </row>
    <row r="8" spans="1:69" ht="15" customHeight="1">
      <c r="A8" s="91" t="s">
        <v>219</v>
      </c>
      <c r="B8" s="91" t="str">
        <f>IF('BCO Gioti 2'!C14="","0",'BCO Gioti 2'!C14)</f>
        <v>N1</v>
      </c>
      <c r="C8" s="91">
        <f>IFERROR(VALUE(RIGHT(B8,1)),0)</f>
        <v>1</v>
      </c>
      <c r="D8" s="91">
        <v>3</v>
      </c>
      <c r="E8" s="91"/>
      <c r="F8" s="91"/>
      <c r="G8" s="91"/>
      <c r="H8" s="91"/>
      <c r="I8" s="91"/>
      <c r="J8" s="91"/>
      <c r="K8" s="91" t="str">
        <f>A8</f>
        <v>BCO Gioti2</v>
      </c>
      <c r="L8" s="91">
        <f>C8</f>
        <v>1</v>
      </c>
      <c r="M8" s="91">
        <f>D8</f>
        <v>3</v>
      </c>
      <c r="N8" s="91"/>
      <c r="O8" s="91"/>
      <c r="P8" s="91"/>
      <c r="Q8" s="91"/>
      <c r="R8" s="91"/>
      <c r="S8" s="91"/>
      <c r="T8" s="91"/>
      <c r="U8" s="91"/>
      <c r="V8" s="91"/>
      <c r="X8" s="219" t="s">
        <v>219</v>
      </c>
      <c r="Y8" s="221">
        <f>IFERROR(COUNTA('BCO Gioti 2'!C4:C18)/15,0)</f>
        <v>0.4</v>
      </c>
      <c r="Z8" s="219"/>
      <c r="AA8" s="219" t="s">
        <v>219</v>
      </c>
      <c r="AB8" s="222">
        <f>IFERROR(VALUE(RIGHT('BCO Gioti 2'!C14,1)),0)</f>
        <v>1</v>
      </c>
      <c r="AC8" s="222">
        <f>3</f>
        <v>3</v>
      </c>
      <c r="AD8" s="219"/>
      <c r="AE8" s="219" t="s">
        <v>219</v>
      </c>
      <c r="AF8" s="221">
        <f>IFERROR((COUNTIF('BCO Gioti 2'!D23:D45,"Sí")+COUNTIF('BCO Gioti 2'!D23:D45,"Si")+0.5*COUNTIF('BCO Gioti 2'!D23:D45,"Parcial"))/(COUNTIF('BCO Gioti 2'!D23:D45,"Sí")+COUNTIF('BCO Gioti 2'!D23:D45,"Si")+COUNTIF('BCO Gioti 2'!D23:D45,"Parcial")+COUNTIF('BCO Gioti 2'!D23:D45,"No")),0)</f>
        <v>0</v>
      </c>
      <c r="AG8" s="219"/>
      <c r="AH8" s="219" t="s">
        <v>219</v>
      </c>
      <c r="AI8" s="221">
        <f>IFERROR('BCO Gioti 2'!C55,0)</f>
        <v>0.68</v>
      </c>
      <c r="AJ8" s="221">
        <f>IFERROR('BCO Gioti 2'!C57,0)</f>
        <v>0.89</v>
      </c>
      <c r="AK8" s="219"/>
      <c r="AL8" s="219"/>
      <c r="AM8" s="219" t="s">
        <v>219</v>
      </c>
      <c r="AN8" s="222">
        <f>IFERROR(SUM('BCO Gioti 2'!C66:C74),0)</f>
        <v>0</v>
      </c>
      <c r="AO8" s="219"/>
      <c r="AP8" s="219" t="s">
        <v>219</v>
      </c>
      <c r="AQ8" s="222">
        <f>IFERROR('BCO Gioti 2'!C78,0)</f>
        <v>0</v>
      </c>
      <c r="AR8" s="219"/>
      <c r="AS8" t="s">
        <v>219</v>
      </c>
      <c r="AT8">
        <f>COUNTIF('BCO Gioti 2'!C87:C104,"Sí")+COUNTIF('BCO Gioti 2'!C87:C104,"Si")+0.5*COUNTIF('BCO Gioti 2'!C87:C104,"Parcial")</f>
        <v>1</v>
      </c>
      <c r="AU8" s="219"/>
      <c r="AV8" s="219" t="s">
        <v>219</v>
      </c>
      <c r="AW8" s="221">
        <f>IFERROR(COUNTA('BCO Gioti 2'!C109:C116)/8,0)</f>
        <v>0</v>
      </c>
      <c r="AX8" s="219"/>
      <c r="AY8" s="219" t="s">
        <v>219</v>
      </c>
      <c r="AZ8" s="222">
        <f>IFERROR(COUNTA('BCO Gioti 2'!C120:C129),0)</f>
        <v>0</v>
      </c>
      <c r="BA8" s="219"/>
      <c r="BB8" s="219" t="s">
        <v>219</v>
      </c>
      <c r="BC8" s="221">
        <f>IFERROR(COUNTA('BCO Gioti 2'!C133:C139)/7,0)</f>
        <v>0</v>
      </c>
      <c r="BD8" s="219"/>
      <c r="BE8" s="219" t="s">
        <v>219</v>
      </c>
      <c r="BF8" s="221">
        <f>IFERROR(COUNTA('BCO Gioti 2'!C143:C151)/9,0)</f>
        <v>0.1111111111111111</v>
      </c>
      <c r="BG8" s="219"/>
      <c r="BH8" s="219" t="s">
        <v>219</v>
      </c>
      <c r="BI8" s="221">
        <f>IFERROR(COUNTA('BCO Gioti 2'!C155:G165)/20,0)</f>
        <v>0.35</v>
      </c>
      <c r="BJ8" s="219"/>
      <c r="BK8" s="219" t="s">
        <v>220</v>
      </c>
      <c r="BL8" s="221">
        <f>IFERROR(AVERAGE(AQ3:AQ13)/100,0)</f>
        <v>0</v>
      </c>
      <c r="BM8" s="221">
        <f>65%</f>
        <v>0.65</v>
      </c>
      <c r="BN8"/>
      <c r="BO8" t="s">
        <v>156</v>
      </c>
      <c r="BP8">
        <f>Dashboard!N52</f>
        <v>1.5</v>
      </c>
      <c r="BQ8"/>
    </row>
    <row r="9" spans="1:69" ht="15" customHeight="1">
      <c r="A9" s="91" t="s">
        <v>221</v>
      </c>
      <c r="B9" s="91" t="str">
        <f>IF('BCO Gioti 3'!C14="","0",'BCO Gioti 3'!C14)</f>
        <v>N1</v>
      </c>
      <c r="C9" s="91">
        <f>IFERROR(VALUE(RIGHT(B9,1)),0)</f>
        <v>1</v>
      </c>
      <c r="D9" s="91">
        <v>3</v>
      </c>
      <c r="E9" s="91"/>
      <c r="F9" s="91"/>
      <c r="G9" s="91"/>
      <c r="H9" s="91"/>
      <c r="I9" s="91"/>
      <c r="J9" s="91"/>
      <c r="K9" s="91" t="str">
        <f>A9</f>
        <v>BCO Gioti3</v>
      </c>
      <c r="L9" s="91">
        <f>C9</f>
        <v>1</v>
      </c>
      <c r="M9" s="91">
        <f>D9</f>
        <v>3</v>
      </c>
      <c r="N9" s="91"/>
      <c r="O9" s="91"/>
      <c r="P9" s="91"/>
      <c r="Q9" s="91"/>
      <c r="R9" s="91"/>
      <c r="S9" s="91"/>
      <c r="T9" s="91"/>
      <c r="U9" s="91"/>
      <c r="V9" s="91"/>
      <c r="X9" s="219" t="s">
        <v>221</v>
      </c>
      <c r="Y9" s="221">
        <f>IFERROR(COUNTA('BCO Gioti 3'!C4:C18)/15,0)</f>
        <v>0.4</v>
      </c>
      <c r="Z9" s="219"/>
      <c r="AA9" s="219" t="s">
        <v>221</v>
      </c>
      <c r="AB9" s="222">
        <f>IFERROR(VALUE(RIGHT('BCO Gioti 3'!C14,1)),0)</f>
        <v>1</v>
      </c>
      <c r="AC9" s="222">
        <f>3</f>
        <v>3</v>
      </c>
      <c r="AD9" s="219"/>
      <c r="AE9" s="219" t="s">
        <v>221</v>
      </c>
      <c r="AF9" s="221">
        <f>IFERROR((COUNTIF('BCO Gioti 3'!D23:D45,"Sí")+COUNTIF('BCO Gioti 3'!D23:D45,"Si")+0.5*COUNTIF('BCO Gioti 3'!D23:D45,"Parcial"))/(COUNTIF('BCO Gioti 3'!D23:D45,"Sí")+COUNTIF('BCO Gioti 3'!D23:D45,"Si")+COUNTIF('BCO Gioti 3'!D23:D45,"Parcial")+COUNTIF('BCO Gioti 3'!D23:D45,"No")),0)</f>
        <v>0</v>
      </c>
      <c r="AG9" s="219"/>
      <c r="AH9" s="219" t="s">
        <v>221</v>
      </c>
      <c r="AI9" s="221">
        <f>IFERROR('BCO Gioti 3'!C55,0)</f>
        <v>0.68</v>
      </c>
      <c r="AJ9" s="221">
        <f>IFERROR('BCO Gioti 3'!C57,0)</f>
        <v>0.89</v>
      </c>
      <c r="AK9" s="219"/>
      <c r="AL9" s="219"/>
      <c r="AM9" s="219" t="s">
        <v>221</v>
      </c>
      <c r="AN9" s="222">
        <f>IFERROR(SUM('BCO Gioti 3'!C66:C74),0)</f>
        <v>0</v>
      </c>
      <c r="AO9" s="219"/>
      <c r="AP9" s="219" t="s">
        <v>221</v>
      </c>
      <c r="AQ9" s="222">
        <f>IFERROR('BCO Gioti 3'!C78,0)</f>
        <v>0</v>
      </c>
      <c r="AR9" s="219"/>
      <c r="AS9" t="s">
        <v>221</v>
      </c>
      <c r="AT9">
        <f>COUNTIF('BCO Gioti 3'!C87:C104,"Sí")+COUNTIF('BCO Gioti 3'!C87:C104,"Si")+0.5*COUNTIF('BCO Gioti 3'!C87:C104,"Parcial")</f>
        <v>0</v>
      </c>
      <c r="AU9" s="219"/>
      <c r="AV9" s="219" t="s">
        <v>221</v>
      </c>
      <c r="AW9" s="221">
        <f>IFERROR(COUNTA('BCO Gioti 3'!C109:C116)/8,0)</f>
        <v>0</v>
      </c>
      <c r="AX9" s="219"/>
      <c r="AY9" s="219" t="s">
        <v>221</v>
      </c>
      <c r="AZ9" s="222">
        <f>IFERROR(COUNTA('BCO Gioti 3'!C120:C129),0)</f>
        <v>0</v>
      </c>
      <c r="BA9" s="219"/>
      <c r="BB9" s="219" t="s">
        <v>221</v>
      </c>
      <c r="BC9" s="221">
        <f>IFERROR(COUNTA('BCO Gioti 3'!C133:C139)/7,0)</f>
        <v>0</v>
      </c>
      <c r="BD9" s="219"/>
      <c r="BE9" s="219" t="s">
        <v>221</v>
      </c>
      <c r="BF9" s="221">
        <f>IFERROR(COUNTA('BCO Gioti 3'!C143:C151)/9,0)</f>
        <v>0.1111111111111111</v>
      </c>
      <c r="BG9" s="219"/>
      <c r="BH9" s="219" t="s">
        <v>221</v>
      </c>
      <c r="BI9" s="221">
        <f>IFERROR(COUNTA('BCO Gioti 3'!C155:G165)/20,0)</f>
        <v>0.35</v>
      </c>
      <c r="BJ9" s="219"/>
      <c r="BK9" s="219" t="s">
        <v>222</v>
      </c>
      <c r="BL9" s="221">
        <f>IFERROR(AVERAGE(AT3:AT13)/7,0)</f>
        <v>0.20779220779220781</v>
      </c>
      <c r="BM9" s="221">
        <f>0</f>
        <v>0</v>
      </c>
      <c r="BN9"/>
      <c r="BO9" t="s">
        <v>157</v>
      </c>
      <c r="BP9">
        <f>Dashboard!N53</f>
        <v>1</v>
      </c>
      <c r="BQ9"/>
    </row>
    <row r="10" spans="1:69" ht="15" customHeight="1">
      <c r="A10" s="91" t="s">
        <v>223</v>
      </c>
      <c r="B10" s="91" t="str">
        <f>IF('BCO Gioti 4'!C14="","0",'BCO Gioti 4'!C14)</f>
        <v>N1</v>
      </c>
      <c r="C10" s="91">
        <f>IFERROR(VALUE(RIGHT(B10,1)),0)</f>
        <v>1</v>
      </c>
      <c r="D10" s="91">
        <v>3</v>
      </c>
      <c r="E10" s="91"/>
      <c r="F10" s="91"/>
      <c r="G10" s="91"/>
      <c r="H10" s="91"/>
      <c r="I10" s="91"/>
      <c r="J10" s="91"/>
      <c r="K10" s="91" t="str">
        <f>A10</f>
        <v>BCO Gioti4</v>
      </c>
      <c r="L10" s="91">
        <f>C10</f>
        <v>1</v>
      </c>
      <c r="M10" s="91">
        <f>D10</f>
        <v>3</v>
      </c>
      <c r="N10" s="91"/>
      <c r="O10" s="91"/>
      <c r="P10" s="91"/>
      <c r="Q10" s="91"/>
      <c r="R10" s="91"/>
      <c r="S10" s="91"/>
      <c r="T10" s="91"/>
      <c r="U10" s="91"/>
      <c r="V10" s="91"/>
      <c r="X10" s="219" t="s">
        <v>223</v>
      </c>
      <c r="Y10" s="221">
        <f>IFERROR(COUNTA('BCO Gioti 4'!C4:C18)/15,0)</f>
        <v>0.4</v>
      </c>
      <c r="Z10" s="219"/>
      <c r="AA10" s="219" t="s">
        <v>223</v>
      </c>
      <c r="AB10" s="222">
        <f>IFERROR(VALUE(RIGHT('BCO Gioti 4'!C14,1)),0)</f>
        <v>1</v>
      </c>
      <c r="AC10" s="222">
        <f>3</f>
        <v>3</v>
      </c>
      <c r="AD10" s="219"/>
      <c r="AE10" s="219" t="s">
        <v>223</v>
      </c>
      <c r="AF10" s="221">
        <f>IFERROR((COUNTIF('BCO Gioti 4'!D23:D45,"Sí")+COUNTIF('BCO Gioti 4'!D23:D45,"Si")+0.5*COUNTIF('BCO Gioti 4'!D23:D45,"Parcial"))/(COUNTIF('BCO Gioti 4'!D23:D45,"Sí")+COUNTIF('BCO Gioti 4'!D23:D45,"Si")+COUNTIF('BCO Gioti 4'!D23:D45,"Parcial")+COUNTIF('BCO Gioti 4'!D23:D45,"No")),0)</f>
        <v>0</v>
      </c>
      <c r="AG10" s="219"/>
      <c r="AH10" s="219" t="s">
        <v>223</v>
      </c>
      <c r="AI10" s="221">
        <f>IFERROR('BCO Gioti 4'!C55,0)</f>
        <v>0.68</v>
      </c>
      <c r="AJ10" s="221">
        <f>IFERROR('BCO Gioti 4'!C57,0)</f>
        <v>0.89</v>
      </c>
      <c r="AK10" s="219"/>
      <c r="AL10" s="219"/>
      <c r="AM10" s="219" t="s">
        <v>223</v>
      </c>
      <c r="AN10" s="222">
        <f>IFERROR(SUM('BCO Gioti 4'!C66:C74),0)</f>
        <v>0</v>
      </c>
      <c r="AO10" s="219"/>
      <c r="AP10" s="219" t="s">
        <v>223</v>
      </c>
      <c r="AQ10" s="222">
        <f>IFERROR('BCO Gioti 4'!C78,0)</f>
        <v>0</v>
      </c>
      <c r="AR10" s="219"/>
      <c r="AS10" t="s">
        <v>223</v>
      </c>
      <c r="AT10">
        <f>COUNTIF('BCO Gioti 4'!C87:C104,"Sí")+COUNTIF('BCO Gioti 4'!C87:C104,"Si")+0.5*COUNTIF('BCO Gioti 4'!C87:C104,"Parcial")</f>
        <v>0</v>
      </c>
      <c r="AU10" s="219"/>
      <c r="AV10" s="219" t="s">
        <v>223</v>
      </c>
      <c r="AW10" s="221">
        <f>IFERROR(COUNTA('BCO Gioti 4'!C109:C116)/8,0)</f>
        <v>0</v>
      </c>
      <c r="AX10" s="219"/>
      <c r="AY10" s="219" t="s">
        <v>223</v>
      </c>
      <c r="AZ10" s="222">
        <f>IFERROR(COUNTA('BCO Gioti 4'!C120:C129),0)</f>
        <v>0</v>
      </c>
      <c r="BA10" s="219"/>
      <c r="BB10" s="219" t="s">
        <v>223</v>
      </c>
      <c r="BC10" s="221">
        <f>IFERROR(COUNTA('BCO Gioti 4'!C133:C139)/7,0)</f>
        <v>0</v>
      </c>
      <c r="BD10" s="219"/>
      <c r="BE10" s="219" t="s">
        <v>223</v>
      </c>
      <c r="BF10" s="221">
        <f>IFERROR(COUNTA('BCO Gioti 4'!C143:C151)/9,0)</f>
        <v>0.1111111111111111</v>
      </c>
      <c r="BG10" s="219"/>
      <c r="BH10" s="219" t="s">
        <v>223</v>
      </c>
      <c r="BI10" s="221">
        <f>IFERROR(COUNTA('BCO Gioti 4'!C155:G165)/20,0)</f>
        <v>0.35</v>
      </c>
      <c r="BJ10" s="219"/>
      <c r="BK10" s="219" t="s">
        <v>224</v>
      </c>
      <c r="BL10" s="221">
        <f>AVERAGE(AW3:AW13)</f>
        <v>0</v>
      </c>
      <c r="BM10" s="221">
        <f>100%</f>
        <v>1</v>
      </c>
      <c r="BN10"/>
      <c r="BO10" t="s">
        <v>158</v>
      </c>
      <c r="BP10">
        <f>Dashboard!N54</f>
        <v>1</v>
      </c>
      <c r="BQ10"/>
    </row>
    <row r="11" spans="1:69" ht="15">
      <c r="A11" s="91" t="s">
        <v>124</v>
      </c>
      <c r="B11" s="91" t="str">
        <f>IF(AES!C14="","0",AES!C14)</f>
        <v>N1</v>
      </c>
      <c r="C11" s="91">
        <f>IFERROR(VALUE(RIGHT(B11,1)),0)</f>
        <v>1</v>
      </c>
      <c r="D11" s="91">
        <v>3</v>
      </c>
      <c r="E11" s="91"/>
      <c r="F11" s="91"/>
      <c r="G11" s="91"/>
      <c r="H11" s="91"/>
      <c r="I11" s="91"/>
      <c r="J11" s="91"/>
      <c r="K11" s="91" t="str">
        <f>A11</f>
        <v>AES</v>
      </c>
      <c r="L11" s="91">
        <f>C11</f>
        <v>1</v>
      </c>
      <c r="M11" s="91">
        <f>D11</f>
        <v>3</v>
      </c>
      <c r="N11" s="91"/>
      <c r="O11" s="91"/>
      <c r="P11" s="91"/>
      <c r="Q11" s="91"/>
      <c r="R11" s="91"/>
      <c r="S11" s="91"/>
      <c r="T11" s="91"/>
      <c r="U11" s="91"/>
      <c r="V11" s="91"/>
      <c r="X11" s="219" t="s">
        <v>124</v>
      </c>
      <c r="Y11" s="221">
        <f>IFERROR(COUNTA(AES!C4:C18)/15,0)</f>
        <v>0.4</v>
      </c>
      <c r="Z11" s="219"/>
      <c r="AA11" s="219" t="s">
        <v>124</v>
      </c>
      <c r="AB11" s="222">
        <f>IFERROR(VALUE(RIGHT(AES!C14,1)),0)</f>
        <v>1</v>
      </c>
      <c r="AC11" s="222">
        <f>3</f>
        <v>3</v>
      </c>
      <c r="AD11" s="219"/>
      <c r="AE11" s="219" t="s">
        <v>124</v>
      </c>
      <c r="AF11" s="221">
        <f>IFERROR((COUNTIF(AES!D23:D45,"Sí")+COUNTIF(AES!D23:D45,"Si")+0.5*COUNTIF(AES!D23:D45,"Parcial"))/(COUNTIF(AES!D23:D45,"Sí")+COUNTIF(AES!D23:D45,"Si")+COUNTIF(AES!D23:D45,"Parcial")+COUNTIF(AES!D23:D45,"No")),0)</f>
        <v>0</v>
      </c>
      <c r="AG11" s="219"/>
      <c r="AH11" s="219" t="s">
        <v>124</v>
      </c>
      <c r="AI11" s="221">
        <f>IFERROR(AES!C55,0)</f>
        <v>0.68</v>
      </c>
      <c r="AJ11" s="221">
        <f>IFERROR(AES!C57,0)</f>
        <v>0.89</v>
      </c>
      <c r="AK11" s="219"/>
      <c r="AL11" s="219"/>
      <c r="AM11" s="219" t="s">
        <v>124</v>
      </c>
      <c r="AN11" s="222">
        <f>IFERROR(SUM(AES!C66:C74),0)</f>
        <v>0</v>
      </c>
      <c r="AO11" s="219"/>
      <c r="AP11" s="219" t="s">
        <v>124</v>
      </c>
      <c r="AQ11" s="222">
        <f>IFERROR(AES!C78,0)</f>
        <v>0</v>
      </c>
      <c r="AR11" s="219"/>
      <c r="AS11" t="s">
        <v>124</v>
      </c>
      <c r="AT11">
        <f>COUNTIF(AES!C87:C104,"Sí")+COUNTIF(AES!C87:C104,"Si")+0.5*COUNTIF(AES!C87:C104,"Parcial")</f>
        <v>0</v>
      </c>
      <c r="AU11" s="219"/>
      <c r="AV11" s="219" t="s">
        <v>124</v>
      </c>
      <c r="AW11" s="221">
        <f>IFERROR(COUNTA(AES!C109:C116)/8,0)</f>
        <v>0</v>
      </c>
      <c r="AX11" s="219"/>
      <c r="AY11" s="219" t="s">
        <v>124</v>
      </c>
      <c r="AZ11" s="222">
        <f>IFERROR(COUNTA(AES!C120:C129),0)</f>
        <v>0</v>
      </c>
      <c r="BA11" s="219"/>
      <c r="BB11" s="219" t="s">
        <v>124</v>
      </c>
      <c r="BC11" s="221">
        <f>IFERROR(COUNTA(AES!C133:C139)/7,0)</f>
        <v>0</v>
      </c>
      <c r="BD11" s="219"/>
      <c r="BE11" s="219" t="s">
        <v>124</v>
      </c>
      <c r="BF11" s="221">
        <f>IFERROR(COUNTA(AES!C143:C151)/9,0)</f>
        <v>0.1111111111111111</v>
      </c>
      <c r="BG11" s="219"/>
      <c r="BH11" s="219" t="s">
        <v>124</v>
      </c>
      <c r="BI11" s="221">
        <f>IFERROR(COUNTA(AES!C155:G165)/20,0)</f>
        <v>0.35</v>
      </c>
      <c r="BJ11" s="219"/>
      <c r="BK11" s="219" t="s">
        <v>225</v>
      </c>
      <c r="BL11" s="221">
        <f>IFERROR(AVERAGE(AZ3:AZ13)/10,0)</f>
        <v>0</v>
      </c>
      <c r="BM11" s="221">
        <f>100%</f>
        <v>1</v>
      </c>
      <c r="BN11"/>
      <c r="BO11" t="s">
        <v>159</v>
      </c>
      <c r="BP11">
        <f>Dashboard!N55</f>
        <v>0</v>
      </c>
      <c r="BQ11"/>
    </row>
    <row r="12" spans="1:69" ht="15">
      <c r="A12" s="91" t="s">
        <v>125</v>
      </c>
      <c r="B12" s="91" t="str">
        <f>IF(XM!C14="","0",XM!C14)</f>
        <v>N1</v>
      </c>
      <c r="C12" s="91">
        <f>IFERROR(VALUE(RIGHT(B12,1)),0)</f>
        <v>1</v>
      </c>
      <c r="D12" s="91">
        <v>3</v>
      </c>
      <c r="E12" s="91"/>
      <c r="F12" s="91"/>
      <c r="G12" s="91"/>
      <c r="H12" s="91"/>
      <c r="I12" s="91"/>
      <c r="J12" s="91"/>
      <c r="K12" s="91" t="str">
        <f>A12</f>
        <v>XM</v>
      </c>
      <c r="L12" s="91">
        <f>C12</f>
        <v>1</v>
      </c>
      <c r="M12" s="91">
        <f>D12</f>
        <v>3</v>
      </c>
      <c r="N12" s="91"/>
      <c r="O12" s="91"/>
      <c r="P12" s="91"/>
      <c r="Q12" s="91"/>
      <c r="R12" s="91"/>
      <c r="S12" s="91"/>
      <c r="T12" s="91"/>
      <c r="U12" s="91"/>
      <c r="V12" s="91"/>
      <c r="X12" s="219" t="s">
        <v>125</v>
      </c>
      <c r="Y12" s="221">
        <f>IFERROR(COUNTA(XM!C4:C18)/15,0)</f>
        <v>0.4</v>
      </c>
      <c r="Z12" s="219"/>
      <c r="AA12" s="219" t="s">
        <v>125</v>
      </c>
      <c r="AB12" s="222">
        <f>IFERROR(VALUE(RIGHT(XM!C14,1)),0)</f>
        <v>1</v>
      </c>
      <c r="AC12" s="222">
        <f>3</f>
        <v>3</v>
      </c>
      <c r="AD12" s="219"/>
      <c r="AE12" s="219" t="s">
        <v>125</v>
      </c>
      <c r="AF12" s="221">
        <f>IFERROR((COUNTIF(XM!D23:D45,"Sí")+COUNTIF(XM!D23:D45,"Si")+0.5*COUNTIF(XM!D23:D45,"Parcial"))/(COUNTIF(XM!D23:D45,"Sí")+COUNTIF(XM!D23:D45,"Si")+COUNTIF(XM!D23:D45,"Parcial")+COUNTIF(XM!D23:D45,"No")),0)</f>
        <v>0</v>
      </c>
      <c r="AG12" s="219"/>
      <c r="AH12" s="219" t="s">
        <v>125</v>
      </c>
      <c r="AI12" s="221">
        <f>IFERROR(XM!C55,0)</f>
        <v>0.68</v>
      </c>
      <c r="AJ12" s="221">
        <f>IFERROR(XM!C57,0)</f>
        <v>0.89</v>
      </c>
      <c r="AK12" s="219"/>
      <c r="AL12" s="219"/>
      <c r="AM12" s="219" t="s">
        <v>125</v>
      </c>
      <c r="AN12" s="222">
        <f>IFERROR(SUM(XM!C66:C74),0)</f>
        <v>0</v>
      </c>
      <c r="AO12" s="219"/>
      <c r="AP12" s="219" t="s">
        <v>125</v>
      </c>
      <c r="AQ12" s="222">
        <f>IFERROR(XM!C78,0)</f>
        <v>0</v>
      </c>
      <c r="AR12" s="219"/>
      <c r="AS12" t="s">
        <v>125</v>
      </c>
      <c r="AT12">
        <f>COUNTIF(XM!C87:C104,"Sí")+COUNTIF(XM!C87:C104,"Si")+0.5*COUNTIF(XM!C87:C104,"Parcial")</f>
        <v>0</v>
      </c>
      <c r="AU12" s="219"/>
      <c r="AV12" s="219" t="s">
        <v>125</v>
      </c>
      <c r="AW12" s="221">
        <f>IFERROR(COUNTA(XM!C109:C116)/8,0)</f>
        <v>0</v>
      </c>
      <c r="AX12" s="219"/>
      <c r="AY12" s="219" t="s">
        <v>125</v>
      </c>
      <c r="AZ12" s="222">
        <f>IFERROR(COUNTA(XM!C120:C129),0)</f>
        <v>0</v>
      </c>
      <c r="BA12" s="219"/>
      <c r="BB12" s="219" t="s">
        <v>125</v>
      </c>
      <c r="BC12" s="221">
        <f>IFERROR(COUNTA(XM!C133:C139)/7,0)</f>
        <v>0</v>
      </c>
      <c r="BD12" s="219"/>
      <c r="BE12" s="219" t="s">
        <v>125</v>
      </c>
      <c r="BF12" s="221">
        <f>IFERROR(COUNTA(XM!C143:C151)/9,0)</f>
        <v>0.1111111111111111</v>
      </c>
      <c r="BG12" s="219"/>
      <c r="BH12" s="219" t="s">
        <v>125</v>
      </c>
      <c r="BI12" s="221">
        <f>IFERROR(COUNTA(XM!C155:G165)/20,0)</f>
        <v>0.35</v>
      </c>
      <c r="BJ12" s="219"/>
      <c r="BK12" s="219" t="s">
        <v>226</v>
      </c>
      <c r="BL12" s="221">
        <f>AVERAGE(BC3:BC13)</f>
        <v>0</v>
      </c>
      <c r="BM12" s="221">
        <f>100%</f>
        <v>1</v>
      </c>
      <c r="BN12"/>
      <c r="BO12" t="s">
        <v>160</v>
      </c>
      <c r="BP12">
        <f>Dashboard!N56</f>
        <v>1</v>
      </c>
      <c r="BQ12"/>
    </row>
    <row r="13" spans="1:69" ht="15" customHeight="1">
      <c r="A13" s="91" t="s">
        <v>126</v>
      </c>
      <c r="B13" s="91" t="str">
        <f>IF(MEDICARTE!C14="","0",MEDICARTE!C14)</f>
        <v>N1</v>
      </c>
      <c r="C13" s="91">
        <f>IFERROR(VALUE(RIGHT(B13,1)),0)</f>
        <v>1</v>
      </c>
      <c r="D13" s="91">
        <v>3</v>
      </c>
      <c r="E13" s="91"/>
      <c r="F13" s="91"/>
      <c r="G13" s="91"/>
      <c r="H13" s="91"/>
      <c r="I13" s="91"/>
      <c r="J13" s="91"/>
      <c r="K13" s="91" t="str">
        <f>A13</f>
        <v>MEDICARTE</v>
      </c>
      <c r="L13" s="91">
        <f>C13</f>
        <v>1</v>
      </c>
      <c r="M13" s="91">
        <f>D13</f>
        <v>3</v>
      </c>
      <c r="N13" s="91"/>
      <c r="O13" s="91"/>
      <c r="P13" s="91"/>
      <c r="Q13" s="91"/>
      <c r="R13" s="91"/>
      <c r="S13" s="91"/>
      <c r="T13" s="91"/>
      <c r="U13" s="91"/>
      <c r="V13" s="91"/>
      <c r="X13" s="219" t="s">
        <v>126</v>
      </c>
      <c r="Y13" s="221">
        <f>IFERROR(COUNTA(MEDICARTE!C4:C18)/15,0)</f>
        <v>0.33333333333333331</v>
      </c>
      <c r="Z13" s="219"/>
      <c r="AA13" s="219" t="s">
        <v>126</v>
      </c>
      <c r="AB13" s="222">
        <f>IFERROR(VALUE(RIGHT(MEDICARTE!C14,1)),0)</f>
        <v>1</v>
      </c>
      <c r="AC13" s="222">
        <f>3</f>
        <v>3</v>
      </c>
      <c r="AD13" s="219"/>
      <c r="AE13" s="219" t="s">
        <v>126</v>
      </c>
      <c r="AF13" s="221">
        <f>IFERROR((COUNTIF(MEDICARTE!D23:D45,"Sí")+COUNTIF(MEDICARTE!D23:D45,"Si")+0.5*COUNTIF(MEDICARTE!D23:D45,"Parcial"))/(COUNTIF(MEDICARTE!D23:D45,"Sí")+COUNTIF(MEDICARTE!D23:D45,"Si")+COUNTIF(MEDICARTE!D23:D45,"Parcial")+COUNTIF(MEDICARTE!D23:D45,"No")),0)</f>
        <v>0</v>
      </c>
      <c r="AG13" s="219"/>
      <c r="AH13" s="219" t="s">
        <v>126</v>
      </c>
      <c r="AI13" s="221">
        <f>IFERROR(MEDICARTE!C55,0)</f>
        <v>0.68</v>
      </c>
      <c r="AJ13" s="221">
        <f>IFERROR(MEDICARTE!C57,0)</f>
        <v>0.89</v>
      </c>
      <c r="AK13" s="219"/>
      <c r="AL13" s="219"/>
      <c r="AM13" s="219" t="s">
        <v>126</v>
      </c>
      <c r="AN13" s="222">
        <f>IFERROR(SUM(MEDICARTE!C66:C74),0)</f>
        <v>0</v>
      </c>
      <c r="AO13" s="219"/>
      <c r="AP13" s="219" t="s">
        <v>126</v>
      </c>
      <c r="AQ13" s="222">
        <f>IFERROR(MEDICARTE!C78,0)</f>
        <v>0</v>
      </c>
      <c r="AR13" s="219"/>
      <c r="AS13" t="s">
        <v>126</v>
      </c>
      <c r="AT13">
        <f>COUNTIF(MEDICARTE!C87:C104,"Sí")+COUNTIF(MEDICARTE!C87:C104,"Si")+0.5*COUNTIF(MEDICARTE!C87:C104,"Parcial")</f>
        <v>0</v>
      </c>
      <c r="AU13" s="219"/>
      <c r="AV13" s="219" t="s">
        <v>126</v>
      </c>
      <c r="AW13" s="221">
        <f>IFERROR(COUNTA(MEDICARTE!C109:C116)/8,0)</f>
        <v>0</v>
      </c>
      <c r="AX13" s="219"/>
      <c r="AY13" s="219" t="s">
        <v>126</v>
      </c>
      <c r="AZ13" s="222">
        <f>IFERROR(COUNTA(MEDICARTE!C120:C129),0)</f>
        <v>0</v>
      </c>
      <c r="BA13" s="219"/>
      <c r="BB13" s="219" t="s">
        <v>126</v>
      </c>
      <c r="BC13" s="221">
        <f>IFERROR(COUNTA(MEDICARTE!C133:C139)/7,0)</f>
        <v>0</v>
      </c>
      <c r="BD13" s="219"/>
      <c r="BE13" s="219" t="s">
        <v>126</v>
      </c>
      <c r="BF13" s="221">
        <f>IFERROR(COUNTA(MEDICARTE!C143:C151)/9,0)</f>
        <v>0.1111111111111111</v>
      </c>
      <c r="BG13" s="219"/>
      <c r="BH13" s="219" t="s">
        <v>126</v>
      </c>
      <c r="BI13" s="221">
        <f>IFERROR(COUNTA(MEDICARTE!C155:G165)/20,0)</f>
        <v>0.35</v>
      </c>
      <c r="BJ13" s="219"/>
      <c r="BK13" s="219" t="s">
        <v>227</v>
      </c>
      <c r="BL13" s="221">
        <f>AVERAGE(BF3:BF13)</f>
        <v>0.11111111111111115</v>
      </c>
      <c r="BM13" s="221">
        <f>100%</f>
        <v>1</v>
      </c>
      <c r="BN13"/>
      <c r="BO13" t="s">
        <v>161</v>
      </c>
      <c r="BP13">
        <f>Dashboard!N57</f>
        <v>0</v>
      </c>
      <c r="BQ13"/>
    </row>
    <row r="14" spans="1:69" ht="15" customHeight="1">
      <c r="A14" s="91"/>
      <c r="B14" s="91"/>
      <c r="C14" s="91"/>
      <c r="D14" s="91"/>
      <c r="E14" s="91"/>
      <c r="F14" s="91"/>
      <c r="G14" s="91"/>
      <c r="H14" s="91"/>
      <c r="I14" s="91"/>
      <c r="J14" s="91"/>
      <c r="K14" s="91"/>
      <c r="L14" s="91"/>
      <c r="M14" s="91"/>
      <c r="N14" s="91"/>
      <c r="O14" s="91"/>
      <c r="P14" s="91"/>
      <c r="Q14" s="91"/>
      <c r="R14" s="91"/>
      <c r="S14" s="91"/>
      <c r="T14" s="91"/>
      <c r="U14" s="91"/>
      <c r="V14" s="91"/>
      <c r="X14" s="219"/>
      <c r="Y14" s="219"/>
      <c r="Z14" s="219"/>
      <c r="AA14" s="219"/>
      <c r="AB14" s="219"/>
      <c r="AC14" s="219"/>
      <c r="AD14" s="219"/>
      <c r="AE14" s="219"/>
      <c r="AF14" s="219"/>
      <c r="AG14" s="219"/>
      <c r="AH14" s="219"/>
      <c r="AI14" s="219"/>
      <c r="AJ14" s="219"/>
      <c r="AK14" s="219"/>
      <c r="AL14" s="219"/>
      <c r="AM14" s="219"/>
      <c r="AN14" s="219"/>
      <c r="AO14" s="219"/>
      <c r="AP14" s="219"/>
      <c r="AQ14" s="219"/>
      <c r="AR14" s="219"/>
      <c r="AS14" s="219"/>
      <c r="AT14" s="219"/>
      <c r="AU14" s="219"/>
      <c r="AV14" s="219"/>
      <c r="AW14" s="219"/>
      <c r="AX14" s="219"/>
      <c r="AY14" s="219"/>
      <c r="AZ14" s="219"/>
      <c r="BA14" s="219"/>
      <c r="BB14" s="219"/>
      <c r="BC14" s="219"/>
      <c r="BD14" s="219"/>
      <c r="BE14" s="219"/>
      <c r="BF14" s="219"/>
      <c r="BG14" s="219"/>
      <c r="BH14" s="219"/>
      <c r="BI14" s="219"/>
      <c r="BJ14" s="219"/>
      <c r="BK14" s="219" t="s">
        <v>228</v>
      </c>
      <c r="BL14" s="221">
        <f>AVERAGE(BI3:BI13)</f>
        <v>0.35000000000000003</v>
      </c>
      <c r="BM14" s="221">
        <f>100%</f>
        <v>1</v>
      </c>
      <c r="BN14"/>
      <c r="BO14" t="s">
        <v>162</v>
      </c>
      <c r="BP14">
        <f>Dashboard!N58</f>
        <v>0</v>
      </c>
      <c r="BQ14"/>
    </row>
    <row r="15" spans="1:69" ht="15" customHeight="1">
      <c r="A15" s="102" t="s">
        <v>229</v>
      </c>
      <c r="B15" s="102"/>
      <c r="C15" s="102"/>
      <c r="D15" s="102"/>
      <c r="E15" s="102"/>
      <c r="F15" s="102"/>
      <c r="G15" s="91"/>
      <c r="H15" s="91"/>
      <c r="I15" s="91"/>
      <c r="J15" s="91"/>
      <c r="K15" s="91"/>
      <c r="L15" s="91"/>
      <c r="M15" s="91"/>
      <c r="N15" s="91"/>
      <c r="O15" s="91"/>
      <c r="P15" s="91"/>
      <c r="Q15" s="91"/>
      <c r="R15" s="91"/>
      <c r="S15" s="91"/>
      <c r="T15" s="91"/>
      <c r="U15" s="91"/>
      <c r="V15" s="91"/>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t="s">
        <v>163</v>
      </c>
      <c r="BP15">
        <f>Dashboard!N59</f>
        <v>0</v>
      </c>
      <c r="BQ15"/>
    </row>
    <row r="16" spans="1:69" ht="15" customHeight="1">
      <c r="A16" s="102" t="s">
        <v>191</v>
      </c>
      <c r="B16" s="102" t="s">
        <v>230</v>
      </c>
      <c r="C16" s="102" t="s">
        <v>231</v>
      </c>
      <c r="D16" s="102" t="s">
        <v>232</v>
      </c>
      <c r="E16" s="102" t="s">
        <v>233</v>
      </c>
      <c r="F16" s="102" t="s">
        <v>234</v>
      </c>
      <c r="G16" s="91"/>
      <c r="H16" s="91"/>
      <c r="I16" s="91"/>
      <c r="J16" s="91"/>
      <c r="K16" s="103" t="s">
        <v>191</v>
      </c>
      <c r="L16" s="103" t="s">
        <v>230</v>
      </c>
      <c r="M16" s="100"/>
      <c r="N16" s="103" t="s">
        <v>191</v>
      </c>
      <c r="O16" s="103" t="s">
        <v>231</v>
      </c>
      <c r="P16" s="100"/>
      <c r="Q16" s="103" t="s">
        <v>191</v>
      </c>
      <c r="R16" s="103" t="s">
        <v>232</v>
      </c>
      <c r="S16" s="91"/>
      <c r="T16" s="107" t="s">
        <v>191</v>
      </c>
      <c r="U16" s="107" t="s">
        <v>234</v>
      </c>
      <c r="V16" s="91"/>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t="s">
        <v>164</v>
      </c>
      <c r="BP16">
        <f>Dashboard!N60</f>
        <v>0</v>
      </c>
      <c r="BQ16"/>
    </row>
    <row r="17" spans="1:69" ht="15" customHeight="1">
      <c r="A17" s="91" t="s">
        <v>209</v>
      </c>
      <c r="B17" s="100">
        <f>IFERROR((COUNTIF('SURA Cotizadores'!D23:D27,"Sí")+COUNTIF('SURA Cotizadores'!D23:D27,"Si")+0.5*COUNTIF('SURA Cotizadores'!D23:D27,"Parcial"))/(COUNTIF('SURA Cotizadores'!D23:D27,"Sí")+COUNTIF('SURA Cotizadores'!D23:D27,"Si")+COUNTIF('SURA Cotizadores'!D23:D27,"Parcial")+COUNTIF('SURA Cotizadores'!D23:D27,"No")),0)</f>
        <v>0.6</v>
      </c>
      <c r="C17" s="100">
        <f>IFERROR((COUNTIF('SURA Cotizadores'!D30:D36,"Sí")+COUNTIF('SURA Cotizadores'!D30:D36,"Si")+0.5*COUNTIF('SURA Cotizadores'!D30:D36,"Parcial"))/(COUNTIF('SURA Cotizadores'!D30:D36,"Sí")+COUNTIF('SURA Cotizadores'!D30:D36,"Si")+COUNTIF('SURA Cotizadores'!D30:D36,"Parcial")+COUNTIF('SURA Cotizadores'!D30:D36,"No")),0)</f>
        <v>0.5</v>
      </c>
      <c r="D17" s="100">
        <f>IFERROR((COUNTIF('SURA Cotizadores'!D39:D41,"Sí")+COUNTIF('SURA Cotizadores'!D39:D41,"Si")+0.5*COUNTIF('SURA Cotizadores'!D39:D41,"Parcial"))/(COUNTIF('SURA Cotizadores'!D39:D41,"Sí")+COUNTIF('SURA Cotizadores'!D39:D41,"Si")+COUNTIF('SURA Cotizadores'!D39:D41,"Parcial")+COUNTIF('SURA Cotizadores'!D39:D41,"No")),0)</f>
        <v>0.33333333333333331</v>
      </c>
      <c r="E17" s="100">
        <f>IFERROR((COUNTIF('SURA Cotizadores'!D44:D45,"Sí")+COUNTIF('SURA Cotizadores'!D44:D45,"Si")+0.5*COUNTIF('SURA Cotizadores'!D44:D45,"Parcial"))/(COUNTIF('SURA Cotizadores'!D44:D45,"Sí")+COUNTIF('SURA Cotizadores'!D44:D45,"Si")+COUNTIF('SURA Cotizadores'!D44:D45,"Parcial")+COUNTIF('SURA Cotizadores'!D44:D45,"No")),0)</f>
        <v>0.25</v>
      </c>
      <c r="F17" s="100">
        <f>IFERROR('SURA Cotizadores'!E47,0)</f>
        <v>0.47058823529411764</v>
      </c>
      <c r="G17" s="91"/>
      <c r="H17" s="91"/>
      <c r="I17" s="91"/>
      <c r="J17" s="91"/>
      <c r="K17" s="100" t="str">
        <f>A17</f>
        <v>SURA Cotiz.</v>
      </c>
      <c r="L17" s="100">
        <f>B17</f>
        <v>0.6</v>
      </c>
      <c r="M17" s="100"/>
      <c r="N17" s="100" t="str">
        <f>A17</f>
        <v>SURA Cotiz.</v>
      </c>
      <c r="O17" s="100">
        <f>C17</f>
        <v>0.5</v>
      </c>
      <c r="P17" s="100"/>
      <c r="Q17" s="100" t="str">
        <f>A17</f>
        <v>SURA Cotiz.</v>
      </c>
      <c r="R17" s="100">
        <f>D17</f>
        <v>0.33333333333333331</v>
      </c>
      <c r="S17" s="91"/>
      <c r="T17" s="91" t="str">
        <f>A17</f>
        <v>SURA Cotiz.</v>
      </c>
      <c r="U17" s="100">
        <f>F17</f>
        <v>0.47058823529411764</v>
      </c>
      <c r="V17" s="91"/>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t="s">
        <v>165</v>
      </c>
      <c r="BP17">
        <f>Dashboard!N61</f>
        <v>0</v>
      </c>
      <c r="BQ17"/>
    </row>
    <row r="18" spans="1:69" ht="15" customHeight="1">
      <c r="A18" s="91" t="s">
        <v>211</v>
      </c>
      <c r="B18" s="100">
        <f>IFERROR((COUNTIF('SURA Venta Digital'!D23:D27,"Sí")+COUNTIF('SURA Venta Digital'!D23:D27,"Si")+0.5*COUNTIF('SURA Venta Digital'!D23:D27,"Parcial"))/(COUNTIF('SURA Venta Digital'!D23:D27,"Sí")+COUNTIF('SURA Venta Digital'!D23:D27,"Si")+COUNTIF('SURA Venta Digital'!D23:D27,"Parcial")+COUNTIF('SURA Venta Digital'!D23:D27,"No")),0)</f>
        <v>0.2</v>
      </c>
      <c r="C18" s="100">
        <f>IFERROR((COUNTIF('SURA Venta Digital'!D30:D36,"Sí")+COUNTIF('SURA Venta Digital'!D30:D36,"Si")+0.5*COUNTIF('SURA Venta Digital'!D30:D36,"Parcial"))/(COUNTIF('SURA Venta Digital'!D30:D36,"Sí")+COUNTIF('SURA Venta Digital'!D30:D36,"Si")+COUNTIF('SURA Venta Digital'!D30:D36,"Parcial")+COUNTIF('SURA Venta Digital'!D30:D36,"No")),0)</f>
        <v>0.21428571428571427</v>
      </c>
      <c r="D18" s="100">
        <f>IFERROR((COUNTIF('SURA Venta Digital'!D39:D41,"Sí")+COUNTIF('SURA Venta Digital'!D39:D41,"Si")+0.5*COUNTIF('SURA Venta Digital'!D39:D41,"Parcial"))/(COUNTIF('SURA Venta Digital'!D39:D41,"Sí")+COUNTIF('SURA Venta Digital'!D39:D41,"Si")+COUNTIF('SURA Venta Digital'!D39:D41,"Parcial")+COUNTIF('SURA Venta Digital'!D39:D41,"No")),0)</f>
        <v>0.16666666666666666</v>
      </c>
      <c r="E18" s="100">
        <f>IFERROR((COUNTIF('SURA Venta Digital'!D44:D45,"Sí")+COUNTIF('SURA Venta Digital'!D44:D45,"Si")+0.5*COUNTIF('SURA Venta Digital'!D44:D45,"Parcial"))/(COUNTIF('SURA Venta Digital'!D44:D45,"Sí")+COUNTIF('SURA Venta Digital'!D44:D45,"Si")+COUNTIF('SURA Venta Digital'!D44:D45,"Parcial")+COUNTIF('SURA Venta Digital'!D44:D45,"No")),0)</f>
        <v>0</v>
      </c>
      <c r="F18" s="100">
        <f>IFERROR('SURA Venta Digital'!E47,0)</f>
        <v>0.17647058823529413</v>
      </c>
      <c r="G18" s="91"/>
      <c r="H18" s="91"/>
      <c r="I18" s="91"/>
      <c r="J18" s="91"/>
      <c r="K18" s="100" t="str">
        <f>A18</f>
        <v>SURA V.Dig.</v>
      </c>
      <c r="L18" s="100">
        <f>B18</f>
        <v>0.2</v>
      </c>
      <c r="M18" s="100"/>
      <c r="N18" s="100" t="str">
        <f>A18</f>
        <v>SURA V.Dig.</v>
      </c>
      <c r="O18" s="100">
        <f>C18</f>
        <v>0.21428571428571427</v>
      </c>
      <c r="P18" s="100"/>
      <c r="Q18" s="100" t="str">
        <f>A18</f>
        <v>SURA V.Dig.</v>
      </c>
      <c r="R18" s="100">
        <f>D18</f>
        <v>0.16666666666666666</v>
      </c>
      <c r="S18" s="91"/>
      <c r="T18" s="91" t="str">
        <f>A18</f>
        <v>SURA V.Dig.</v>
      </c>
      <c r="U18" s="100">
        <f>F18</f>
        <v>0.17647058823529413</v>
      </c>
      <c r="V18" s="91"/>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t="s">
        <v>166</v>
      </c>
      <c r="BP18">
        <f>Dashboard!N62</f>
        <v>0</v>
      </c>
      <c r="BQ18"/>
    </row>
    <row r="19" spans="1:69" ht="15" customHeight="1">
      <c r="A19" s="91" t="s">
        <v>213</v>
      </c>
      <c r="B19" s="100">
        <f>IFERROR((COUNTIF('SURA Torre Control'!D23:D27,"Sí")+COUNTIF('SURA Torre Control'!D23:D27,"Si")+0.5*COUNTIF('SURA Torre Control'!D23:D27,"Parcial"))/(COUNTIF('SURA Torre Control'!D23:D27,"Sí")+COUNTIF('SURA Torre Control'!D23:D27,"Si")+COUNTIF('SURA Torre Control'!D23:D27,"Parcial")+COUNTIF('SURA Torre Control'!D23:D27,"No")),0)</f>
        <v>0</v>
      </c>
      <c r="C19" s="100">
        <f>IFERROR((COUNTIF('SURA Torre Control'!D30:D36,"Sí")+COUNTIF('SURA Torre Control'!D30:D36,"Si")+0.5*COUNTIF('SURA Torre Control'!D30:D36,"Parcial"))/(COUNTIF('SURA Torre Control'!D30:D36,"Sí")+COUNTIF('SURA Torre Control'!D30:D36,"Si")+COUNTIF('SURA Torre Control'!D30:D36,"Parcial")+COUNTIF('SURA Torre Control'!D30:D36,"No")),0)</f>
        <v>0</v>
      </c>
      <c r="D19" s="100">
        <f>IFERROR((COUNTIF('SURA Torre Control'!D39:D41,"Sí")+COUNTIF('SURA Torre Control'!D39:D41,"Si")+0.5*COUNTIF('SURA Torre Control'!D39:D41,"Parcial"))/(COUNTIF('SURA Torre Control'!D39:D41,"Sí")+COUNTIF('SURA Torre Control'!D39:D41,"Si")+COUNTIF('SURA Torre Control'!D39:D41,"Parcial")+COUNTIF('SURA Torre Control'!D39:D41,"No")),0)</f>
        <v>0</v>
      </c>
      <c r="E19" s="100">
        <f>IFERROR((COUNTIF('SURA Torre Control'!D44:D45,"Sí")+COUNTIF('SURA Torre Control'!D44:D45,"Si")+0.5*COUNTIF('SURA Torre Control'!D44:D45,"Parcial"))/(COUNTIF('SURA Torre Control'!D44:D45,"Sí")+COUNTIF('SURA Torre Control'!D44:D45,"Si")+COUNTIF('SURA Torre Control'!D44:D45,"Parcial")+COUNTIF('SURA Torre Control'!D44:D45,"No")),0)</f>
        <v>0</v>
      </c>
      <c r="F19" s="100">
        <f>IFERROR('SURA Torre Control'!E47,0)</f>
        <v>0</v>
      </c>
      <c r="G19" s="91"/>
      <c r="H19" s="91"/>
      <c r="I19" s="91"/>
      <c r="J19" s="91"/>
      <c r="K19" s="100" t="str">
        <f>A19</f>
        <v>SURA Torre</v>
      </c>
      <c r="L19" s="100">
        <f>B19</f>
        <v>0</v>
      </c>
      <c r="M19" s="100"/>
      <c r="N19" s="100" t="str">
        <f>A19</f>
        <v>SURA Torre</v>
      </c>
      <c r="O19" s="100">
        <f>C19</f>
        <v>0</v>
      </c>
      <c r="P19" s="100"/>
      <c r="Q19" s="100" t="str">
        <f>A19</f>
        <v>SURA Torre</v>
      </c>
      <c r="R19" s="100">
        <f>D19</f>
        <v>0</v>
      </c>
      <c r="S19" s="91"/>
      <c r="T19" s="91" t="str">
        <f>A19</f>
        <v>SURA Torre</v>
      </c>
      <c r="U19" s="100">
        <f>F19</f>
        <v>0</v>
      </c>
      <c r="V19" s="91"/>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t="s">
        <v>167</v>
      </c>
      <c r="BP19">
        <f>Dashboard!N63</f>
        <v>1</v>
      </c>
      <c r="BQ19"/>
    </row>
    <row r="20" spans="1:69" ht="15" customHeight="1">
      <c r="A20" s="91" t="s">
        <v>215</v>
      </c>
      <c r="B20" s="100">
        <f>IFERROR((COUNTIF('SURA Mesa 4'!D23:D27,"Sí")+COUNTIF('SURA Mesa 4'!D23:D27,"Si")+0.5*COUNTIF('SURA Mesa 4'!D23:D27,"Parcial"))/(COUNTIF('SURA Mesa 4'!D23:D27,"Sí")+COUNTIF('SURA Mesa 4'!D23:D27,"Si")+COUNTIF('SURA Mesa 4'!D23:D27,"Parcial")+COUNTIF('SURA Mesa 4'!D23:D27,"No")),0)</f>
        <v>0</v>
      </c>
      <c r="C20" s="100">
        <f>IFERROR((COUNTIF('SURA Mesa 4'!D30:D36,"Sí")+COUNTIF('SURA Mesa 4'!D30:D36,"Si")+0.5*COUNTIF('SURA Mesa 4'!D30:D36,"Parcial"))/(COUNTIF('SURA Mesa 4'!D30:D36,"Sí")+COUNTIF('SURA Mesa 4'!D30:D36,"Si")+COUNTIF('SURA Mesa 4'!D30:D36,"Parcial")+COUNTIF('SURA Mesa 4'!D30:D36,"No")),0)</f>
        <v>0</v>
      </c>
      <c r="D20" s="100">
        <f>IFERROR((COUNTIF('SURA Mesa 4'!D39:D41,"Sí")+COUNTIF('SURA Mesa 4'!D39:D41,"Si")+0.5*COUNTIF('SURA Mesa 4'!D39:D41,"Parcial"))/(COUNTIF('SURA Mesa 4'!D39:D41,"Sí")+COUNTIF('SURA Mesa 4'!D39:D41,"Si")+COUNTIF('SURA Mesa 4'!D39:D41,"Parcial")+COUNTIF('SURA Mesa 4'!D39:D41,"No")),0)</f>
        <v>0</v>
      </c>
      <c r="E20" s="100">
        <f>IFERROR((COUNTIF('SURA Mesa 4'!D44:D45,"Sí")+COUNTIF('SURA Mesa 4'!D44:D45,"Si")+0.5*COUNTIF('SURA Mesa 4'!D44:D45,"Parcial"))/(COUNTIF('SURA Mesa 4'!D44:D45,"Sí")+COUNTIF('SURA Mesa 4'!D44:D45,"Si")+COUNTIF('SURA Mesa 4'!D44:D45,"Parcial")+COUNTIF('SURA Mesa 4'!D44:D45,"No")),0)</f>
        <v>0</v>
      </c>
      <c r="F20" s="100">
        <f>IFERROR('SURA Mesa 4'!E47,0)</f>
        <v>0</v>
      </c>
      <c r="G20" s="91"/>
      <c r="H20" s="91"/>
      <c r="I20" s="91"/>
      <c r="J20" s="91"/>
      <c r="K20" s="100" t="str">
        <f>A20</f>
        <v>SURA Mesa4</v>
      </c>
      <c r="L20" s="100">
        <f>B20</f>
        <v>0</v>
      </c>
      <c r="M20" s="100"/>
      <c r="N20" s="100" t="str">
        <f>A20</f>
        <v>SURA Mesa4</v>
      </c>
      <c r="O20" s="100">
        <f>C20</f>
        <v>0</v>
      </c>
      <c r="P20" s="100"/>
      <c r="Q20" s="100" t="str">
        <f>A20</f>
        <v>SURA Mesa4</v>
      </c>
      <c r="R20" s="100">
        <f>D20</f>
        <v>0</v>
      </c>
      <c r="S20" s="91"/>
      <c r="T20" s="91" t="str">
        <f>A20</f>
        <v>SURA Mesa4</v>
      </c>
      <c r="U20" s="100">
        <f>F20</f>
        <v>0</v>
      </c>
      <c r="V20" s="91"/>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t="s">
        <v>168</v>
      </c>
      <c r="BP20">
        <f>Dashboard!N64</f>
        <v>1</v>
      </c>
      <c r="BQ20"/>
    </row>
    <row r="21" spans="1:69" ht="15" customHeight="1">
      <c r="A21" s="91" t="s">
        <v>217</v>
      </c>
      <c r="B21" s="100">
        <f>IFERROR((COUNTIF('BCO Gioti 1'!D23:D27,"Sí")+COUNTIF('BCO Gioti 1'!D23:D27,"Si")+0.5*COUNTIF('BCO Gioti 1'!D23:D27,"Parcial"))/(COUNTIF('BCO Gioti 1'!D23:D27,"Sí")+COUNTIF('BCO Gioti 1'!D23:D27,"Si")+COUNTIF('BCO Gioti 1'!D23:D27,"Parcial")+COUNTIF('BCO Gioti 1'!D23:D27,"No")),0)</f>
        <v>0.8</v>
      </c>
      <c r="C21" s="100">
        <f>IFERROR((COUNTIF('BCO Gioti 1'!D30:D36,"Sí")+COUNTIF('BCO Gioti 1'!D30:D36,"Si")+0.5*COUNTIF('BCO Gioti 1'!D30:D36,"Parcial"))/(COUNTIF('BCO Gioti 1'!D30:D36,"Sí")+COUNTIF('BCO Gioti 1'!D30:D36,"Si")+COUNTIF('BCO Gioti 1'!D30:D36,"Parcial")+COUNTIF('BCO Gioti 1'!D30:D36,"No")),0)</f>
        <v>0.7857142857142857</v>
      </c>
      <c r="D21" s="100">
        <f>IFERROR((COUNTIF('BCO Gioti 1'!D39:D41,"Sí")+COUNTIF('BCO Gioti 1'!D39:D41,"Si")+0.5*COUNTIF('BCO Gioti 1'!D39:D41,"Parcial"))/(COUNTIF('BCO Gioti 1'!D39:D41,"Sí")+COUNTIF('BCO Gioti 1'!D39:D41,"Si")+COUNTIF('BCO Gioti 1'!D39:D41,"Parcial")+COUNTIF('BCO Gioti 1'!D39:D41,"No")),0)</f>
        <v>0.83333333333333337</v>
      </c>
      <c r="E21" s="100">
        <f>IFERROR((COUNTIF('BCO Gioti 1'!D44:D45,"Sí")+COUNTIF('BCO Gioti 1'!D44:D45,"Si")+0.5*COUNTIF('BCO Gioti 1'!D44:D45,"Parcial"))/(COUNTIF('BCO Gioti 1'!D44:D45,"Sí")+COUNTIF('BCO Gioti 1'!D44:D45,"Si")+COUNTIF('BCO Gioti 1'!D44:D45,"Parcial")+COUNTIF('BCO Gioti 1'!D44:D45,"No")),0)</f>
        <v>0.75</v>
      </c>
      <c r="F21" s="100">
        <f>IFERROR('BCO Gioti 1'!E47,0)</f>
        <v>0.79411764705882348</v>
      </c>
      <c r="G21" s="91"/>
      <c r="H21" s="91"/>
      <c r="I21" s="91"/>
      <c r="J21" s="91"/>
      <c r="K21" s="100" t="str">
        <f>A21</f>
        <v>BCO Gioti1</v>
      </c>
      <c r="L21" s="100">
        <f>B21</f>
        <v>0.8</v>
      </c>
      <c r="M21" s="100"/>
      <c r="N21" s="100" t="str">
        <f>A21</f>
        <v>BCO Gioti1</v>
      </c>
      <c r="O21" s="100">
        <f>C21</f>
        <v>0.7857142857142857</v>
      </c>
      <c r="P21" s="100"/>
      <c r="Q21" s="100" t="str">
        <f>A21</f>
        <v>BCO Gioti1</v>
      </c>
      <c r="R21" s="100">
        <f>D21</f>
        <v>0.83333333333333337</v>
      </c>
      <c r="S21" s="91"/>
      <c r="T21" s="91" t="str">
        <f>A21</f>
        <v>BCO Gioti1</v>
      </c>
      <c r="U21" s="100">
        <f>F21</f>
        <v>0.79411764705882348</v>
      </c>
      <c r="V21" s="9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row>
    <row r="22" spans="1:69" ht="15" customHeight="1">
      <c r="A22" s="91" t="s">
        <v>219</v>
      </c>
      <c r="B22" s="100">
        <f>IFERROR((COUNTIF('BCO Gioti 2'!D23:D27,"Sí")+COUNTIF('BCO Gioti 2'!D23:D27,"Si")+0.5*COUNTIF('BCO Gioti 2'!D23:D27,"Parcial"))/(COUNTIF('BCO Gioti 2'!D23:D27,"Sí")+COUNTIF('BCO Gioti 2'!D23:D27,"Si")+COUNTIF('BCO Gioti 2'!D23:D27,"Parcial")+COUNTIF('BCO Gioti 2'!D23:D27,"No")),0)</f>
        <v>0</v>
      </c>
      <c r="C22" s="100">
        <f>IFERROR((COUNTIF('BCO Gioti 2'!D30:D36,"Sí")+COUNTIF('BCO Gioti 2'!D30:D36,"Si")+0.5*COUNTIF('BCO Gioti 2'!D30:D36,"Parcial"))/(COUNTIF('BCO Gioti 2'!D30:D36,"Sí")+COUNTIF('BCO Gioti 2'!D30:D36,"Si")+COUNTIF('BCO Gioti 2'!D30:D36,"Parcial")+COUNTIF('BCO Gioti 2'!D30:D36,"No")),0)</f>
        <v>0</v>
      </c>
      <c r="D22" s="100">
        <f>IFERROR((COUNTIF('BCO Gioti 2'!D39:D41,"Sí")+COUNTIF('BCO Gioti 2'!D39:D41,"Si")+0.5*COUNTIF('BCO Gioti 2'!D39:D41,"Parcial"))/(COUNTIF('BCO Gioti 2'!D39:D41,"Sí")+COUNTIF('BCO Gioti 2'!D39:D41,"Si")+COUNTIF('BCO Gioti 2'!D39:D41,"Parcial")+COUNTIF('BCO Gioti 2'!D39:D41,"No")),0)</f>
        <v>0</v>
      </c>
      <c r="E22" s="100">
        <f>IFERROR((COUNTIF('BCO Gioti 2'!D44:D45,"Sí")+COUNTIF('BCO Gioti 2'!D44:D45,"Si")+0.5*COUNTIF('BCO Gioti 2'!D44:D45,"Parcial"))/(COUNTIF('BCO Gioti 2'!D44:D45,"Sí")+COUNTIF('BCO Gioti 2'!D44:D45,"Si")+COUNTIF('BCO Gioti 2'!D44:D45,"Parcial")+COUNTIF('BCO Gioti 2'!D44:D45,"No")),0)</f>
        <v>0</v>
      </c>
      <c r="F22" s="100">
        <f>IFERROR('BCO Gioti 2'!E47,0)</f>
        <v>0</v>
      </c>
      <c r="G22" s="91"/>
      <c r="H22" s="91"/>
      <c r="I22" s="91"/>
      <c r="J22" s="91"/>
      <c r="K22" s="100" t="str">
        <f>A22</f>
        <v>BCO Gioti2</v>
      </c>
      <c r="L22" s="100">
        <f>B22</f>
        <v>0</v>
      </c>
      <c r="M22" s="100"/>
      <c r="N22" s="100" t="str">
        <f>A22</f>
        <v>BCO Gioti2</v>
      </c>
      <c r="O22" s="100">
        <f>C22</f>
        <v>0</v>
      </c>
      <c r="P22" s="100"/>
      <c r="Q22" s="100" t="str">
        <f>A22</f>
        <v>BCO Gioti2</v>
      </c>
      <c r="R22" s="100">
        <f>D22</f>
        <v>0</v>
      </c>
      <c r="S22" s="91"/>
      <c r="T22" s="91" t="str">
        <f>A22</f>
        <v>BCO Gioti2</v>
      </c>
      <c r="U22" s="100">
        <f>F22</f>
        <v>0</v>
      </c>
      <c r="V22" s="91"/>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row>
    <row r="23" spans="1:69" ht="15">
      <c r="A23" s="91" t="s">
        <v>221</v>
      </c>
      <c r="B23" s="100">
        <f>IFERROR((COUNTIF('BCO Gioti 3'!D23:D27,"Sí")+COUNTIF('BCO Gioti 3'!D23:D27,"Si")+0.5*COUNTIF('BCO Gioti 3'!D23:D27,"Parcial"))/(COUNTIF('BCO Gioti 3'!D23:D27,"Sí")+COUNTIF('BCO Gioti 3'!D23:D27,"Si")+COUNTIF('BCO Gioti 3'!D23:D27,"Parcial")+COUNTIF('BCO Gioti 3'!D23:D27,"No")),0)</f>
        <v>0</v>
      </c>
      <c r="C23" s="100">
        <f>IFERROR((COUNTIF('BCO Gioti 3'!D30:D36,"Sí")+COUNTIF('BCO Gioti 3'!D30:D36,"Si")+0.5*COUNTIF('BCO Gioti 3'!D30:D36,"Parcial"))/(COUNTIF('BCO Gioti 3'!D30:D36,"Sí")+COUNTIF('BCO Gioti 3'!D30:D36,"Si")+COUNTIF('BCO Gioti 3'!D30:D36,"Parcial")+COUNTIF('BCO Gioti 3'!D30:D36,"No")),0)</f>
        <v>0</v>
      </c>
      <c r="D23" s="100">
        <f>IFERROR((COUNTIF('BCO Gioti 3'!D39:D41,"Sí")+COUNTIF('BCO Gioti 3'!D39:D41,"Si")+0.5*COUNTIF('BCO Gioti 3'!D39:D41,"Parcial"))/(COUNTIF('BCO Gioti 3'!D39:D41,"Sí")+COUNTIF('BCO Gioti 3'!D39:D41,"Si")+COUNTIF('BCO Gioti 3'!D39:D41,"Parcial")+COUNTIF('BCO Gioti 3'!D39:D41,"No")),0)</f>
        <v>0</v>
      </c>
      <c r="E23" s="100">
        <f>IFERROR((COUNTIF('BCO Gioti 3'!D44:D45,"Sí")+COUNTIF('BCO Gioti 3'!D44:D45,"Si")+0.5*COUNTIF('BCO Gioti 3'!D44:D45,"Parcial"))/(COUNTIF('BCO Gioti 3'!D44:D45,"Sí")+COUNTIF('BCO Gioti 3'!D44:D45,"Si")+COUNTIF('BCO Gioti 3'!D44:D45,"Parcial")+COUNTIF('BCO Gioti 3'!D44:D45,"No")),0)</f>
        <v>0</v>
      </c>
      <c r="F23" s="100">
        <f>IFERROR('BCO Gioti 3'!E47,0)</f>
        <v>0</v>
      </c>
      <c r="G23" s="91"/>
      <c r="H23" s="91"/>
      <c r="I23" s="91"/>
      <c r="J23" s="91"/>
      <c r="K23" s="100" t="str">
        <f>A23</f>
        <v>BCO Gioti3</v>
      </c>
      <c r="L23" s="100">
        <f>B23</f>
        <v>0</v>
      </c>
      <c r="M23" s="100"/>
      <c r="N23" s="100" t="str">
        <f>A23</f>
        <v>BCO Gioti3</v>
      </c>
      <c r="O23" s="100">
        <f>C23</f>
        <v>0</v>
      </c>
      <c r="P23" s="100"/>
      <c r="Q23" s="100" t="str">
        <f>A23</f>
        <v>BCO Gioti3</v>
      </c>
      <c r="R23" s="100">
        <f>D23</f>
        <v>0</v>
      </c>
      <c r="S23" s="91"/>
      <c r="T23" s="91" t="str">
        <f>A23</f>
        <v>BCO Gioti3</v>
      </c>
      <c r="U23" s="100">
        <f>F23</f>
        <v>0</v>
      </c>
      <c r="V23" s="91"/>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row>
    <row r="24" spans="1:69" ht="15">
      <c r="A24" s="91" t="s">
        <v>223</v>
      </c>
      <c r="B24" s="100">
        <f>IFERROR((COUNTIF('BCO Gioti 4'!D23:D27,"Sí")+COUNTIF('BCO Gioti 4'!D23:D27,"Si")+0.5*COUNTIF('BCO Gioti 4'!D23:D27,"Parcial"))/(COUNTIF('BCO Gioti 4'!D23:D27,"Sí")+COUNTIF('BCO Gioti 4'!D23:D27,"Si")+COUNTIF('BCO Gioti 4'!D23:D27,"Parcial")+COUNTIF('BCO Gioti 4'!D23:D27,"No")),0)</f>
        <v>0</v>
      </c>
      <c r="C24" s="100">
        <f>IFERROR((COUNTIF('BCO Gioti 4'!D30:D36,"Sí")+COUNTIF('BCO Gioti 4'!D30:D36,"Si")+0.5*COUNTIF('BCO Gioti 4'!D30:D36,"Parcial"))/(COUNTIF('BCO Gioti 4'!D30:D36,"Sí")+COUNTIF('BCO Gioti 4'!D30:D36,"Si")+COUNTIF('BCO Gioti 4'!D30:D36,"Parcial")+COUNTIF('BCO Gioti 4'!D30:D36,"No")),0)</f>
        <v>0</v>
      </c>
      <c r="D24" s="100">
        <f>IFERROR((COUNTIF('BCO Gioti 4'!D39:D41,"Sí")+COUNTIF('BCO Gioti 4'!D39:D41,"Si")+0.5*COUNTIF('BCO Gioti 4'!D39:D41,"Parcial"))/(COUNTIF('BCO Gioti 4'!D39:D41,"Sí")+COUNTIF('BCO Gioti 4'!D39:D41,"Si")+COUNTIF('BCO Gioti 4'!D39:D41,"Parcial")+COUNTIF('BCO Gioti 4'!D39:D41,"No")),0)</f>
        <v>0</v>
      </c>
      <c r="E24" s="100">
        <f>IFERROR((COUNTIF('BCO Gioti 4'!D44:D45,"Sí")+COUNTIF('BCO Gioti 4'!D44:D45,"Si")+0.5*COUNTIF('BCO Gioti 4'!D44:D45,"Parcial"))/(COUNTIF('BCO Gioti 4'!D44:D45,"Sí")+COUNTIF('BCO Gioti 4'!D44:D45,"Si")+COUNTIF('BCO Gioti 4'!D44:D45,"Parcial")+COUNTIF('BCO Gioti 4'!D44:D45,"No")),0)</f>
        <v>0</v>
      </c>
      <c r="F24" s="100">
        <f>IFERROR('BCO Gioti 4'!E47,0)</f>
        <v>0</v>
      </c>
      <c r="G24" s="91"/>
      <c r="H24" s="91"/>
      <c r="I24" s="91"/>
      <c r="J24" s="91"/>
      <c r="K24" s="100" t="str">
        <f>A24</f>
        <v>BCO Gioti4</v>
      </c>
      <c r="L24" s="100">
        <f>B24</f>
        <v>0</v>
      </c>
      <c r="M24" s="100"/>
      <c r="N24" s="100" t="str">
        <f>A24</f>
        <v>BCO Gioti4</v>
      </c>
      <c r="O24" s="100">
        <f>C24</f>
        <v>0</v>
      </c>
      <c r="P24" s="100"/>
      <c r="Q24" s="100" t="str">
        <f>A24</f>
        <v>BCO Gioti4</v>
      </c>
      <c r="R24" s="100">
        <f>D24</f>
        <v>0</v>
      </c>
      <c r="S24" s="91"/>
      <c r="T24" s="91" t="str">
        <f>A24</f>
        <v>BCO Gioti4</v>
      </c>
      <c r="U24" s="100">
        <f>F24</f>
        <v>0</v>
      </c>
      <c r="V24" s="91"/>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row>
    <row r="25" spans="1:69" ht="15" customHeight="1">
      <c r="A25" s="91" t="s">
        <v>124</v>
      </c>
      <c r="B25" s="100">
        <f>IFERROR((COUNTIF(AES!D23:D27,"Sí")+COUNTIF(AES!D23:D27,"Si")+0.5*COUNTIF(AES!D23:D27,"Parcial"))/(COUNTIF(AES!D23:D27,"Sí")+COUNTIF(AES!D23:D27,"Si")+COUNTIF(AES!D23:D27,"Parcial")+COUNTIF(AES!D23:D27,"No")),0)</f>
        <v>0</v>
      </c>
      <c r="C25" s="100">
        <f>IFERROR((COUNTIF(AES!D30:D36,"Sí")+COUNTIF(AES!D30:D36,"Si")+0.5*COUNTIF(AES!D30:D36,"Parcial"))/(COUNTIF(AES!D30:D36,"Sí")+COUNTIF(AES!D30:D36,"Si")+COUNTIF(AES!D30:D36,"Parcial")+COUNTIF(AES!D30:D36,"No")),0)</f>
        <v>0</v>
      </c>
      <c r="D25" s="100">
        <f>IFERROR((COUNTIF(AES!D39:D41,"Sí")+COUNTIF(AES!D39:D41,"Si")+0.5*COUNTIF(AES!D39:D41,"Parcial"))/(COUNTIF(AES!D39:D41,"Sí")+COUNTIF(AES!D39:D41,"Si")+COUNTIF(AES!D39:D41,"Parcial")+COUNTIF(AES!D39:D41,"No")),0)</f>
        <v>0</v>
      </c>
      <c r="E25" s="100">
        <f>IFERROR((COUNTIF(AES!D44:D45,"Sí")+COUNTIF(AES!D44:D45,"Si")+0.5*COUNTIF(AES!D44:D45,"Parcial"))/(COUNTIF(AES!D44:D45,"Sí")+COUNTIF(AES!D44:D45,"Si")+COUNTIF(AES!D44:D45,"Parcial")+COUNTIF(AES!D44:D45,"No")),0)</f>
        <v>0</v>
      </c>
      <c r="F25" s="100">
        <f>IFERROR(AES!E47,0)</f>
        <v>0</v>
      </c>
      <c r="G25" s="91"/>
      <c r="H25" s="91"/>
      <c r="I25" s="91"/>
      <c r="J25" s="91"/>
      <c r="K25" s="100" t="str">
        <f>A25</f>
        <v>AES</v>
      </c>
      <c r="L25" s="100">
        <f>B25</f>
        <v>0</v>
      </c>
      <c r="M25" s="100"/>
      <c r="N25" s="100" t="str">
        <f>A25</f>
        <v>AES</v>
      </c>
      <c r="O25" s="100">
        <f>C25</f>
        <v>0</v>
      </c>
      <c r="P25" s="100"/>
      <c r="Q25" s="100" t="str">
        <f>A25</f>
        <v>AES</v>
      </c>
      <c r="R25" s="100">
        <f>D25</f>
        <v>0</v>
      </c>
      <c r="S25" s="91"/>
      <c r="T25" s="91" t="str">
        <f>A25</f>
        <v>AES</v>
      </c>
      <c r="U25" s="100">
        <f>F25</f>
        <v>0</v>
      </c>
      <c r="V25" s="91"/>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row>
    <row r="26" spans="1:69" ht="15" customHeight="1">
      <c r="A26" s="91" t="s">
        <v>125</v>
      </c>
      <c r="B26" s="100">
        <f>IFERROR((COUNTIF(XM!D23:D27,"Sí")+COUNTIF(XM!D23:D27,"Si")+0.5*COUNTIF(XM!D23:D27,"Parcial"))/(COUNTIF(XM!D23:D27,"Sí")+COUNTIF(XM!D23:D27,"Si")+COUNTIF(XM!D23:D27,"Parcial")+COUNTIF(XM!D23:D27,"No")),0)</f>
        <v>0</v>
      </c>
      <c r="C26" s="100">
        <f>IFERROR((COUNTIF(XM!D30:D36,"Sí")+COUNTIF(XM!D30:D36,"Si")+0.5*COUNTIF(XM!D30:D36,"Parcial"))/(COUNTIF(XM!D30:D36,"Sí")+COUNTIF(XM!D30:D36,"Si")+COUNTIF(XM!D30:D36,"Parcial")+COUNTIF(XM!D30:D36,"No")),0)</f>
        <v>0</v>
      </c>
      <c r="D26" s="100">
        <f>IFERROR((COUNTIF(XM!D39:D41,"Sí")+COUNTIF(XM!D39:D41,"Si")+0.5*COUNTIF(XM!D39:D41,"Parcial"))/(COUNTIF(XM!D39:D41,"Sí")+COUNTIF(XM!D39:D41,"Si")+COUNTIF(XM!D39:D41,"Parcial")+COUNTIF(XM!D39:D41,"No")),0)</f>
        <v>0</v>
      </c>
      <c r="E26" s="100">
        <f>IFERROR((COUNTIF(XM!D44:D45,"Sí")+COUNTIF(XM!D44:D45,"Si")+0.5*COUNTIF(XM!D44:D45,"Parcial"))/(COUNTIF(XM!D44:D45,"Sí")+COUNTIF(XM!D44:D45,"Si")+COUNTIF(XM!D44:D45,"Parcial")+COUNTIF(XM!D44:D45,"No")),0)</f>
        <v>0</v>
      </c>
      <c r="F26" s="100">
        <f>IFERROR(XM!E47,0)</f>
        <v>0</v>
      </c>
      <c r="G26" s="91"/>
      <c r="H26" s="91"/>
      <c r="I26" s="91"/>
      <c r="J26" s="91"/>
      <c r="K26" s="100" t="str">
        <f>A26</f>
        <v>XM</v>
      </c>
      <c r="L26" s="100">
        <f>B26</f>
        <v>0</v>
      </c>
      <c r="M26" s="100"/>
      <c r="N26" s="100" t="str">
        <f>A26</f>
        <v>XM</v>
      </c>
      <c r="O26" s="100">
        <f>C26</f>
        <v>0</v>
      </c>
      <c r="P26" s="100"/>
      <c r="Q26" s="100" t="str">
        <f>A26</f>
        <v>XM</v>
      </c>
      <c r="R26" s="100">
        <f>D26</f>
        <v>0</v>
      </c>
      <c r="S26" s="91"/>
      <c r="T26" s="91" t="str">
        <f>A26</f>
        <v>XM</v>
      </c>
      <c r="U26" s="100">
        <f>F26</f>
        <v>0</v>
      </c>
      <c r="V26" s="91"/>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row>
    <row r="27" spans="1:69" ht="15" customHeight="1">
      <c r="A27" s="91" t="s">
        <v>126</v>
      </c>
      <c r="B27" s="100">
        <f>IFERROR((COUNTIF(MEDICARTE!D23:D27,"Sí")+COUNTIF(MEDICARTE!D23:D27,"Si")+0.5*COUNTIF(MEDICARTE!D23:D27,"Parcial"))/(COUNTIF(MEDICARTE!D23:D27,"Sí")+COUNTIF(MEDICARTE!D23:D27,"Si")+COUNTIF(MEDICARTE!D23:D27,"Parcial")+COUNTIF(MEDICARTE!D23:D27,"No")),0)</f>
        <v>0</v>
      </c>
      <c r="C27" s="100">
        <f>IFERROR((COUNTIF(MEDICARTE!D30:D36,"Sí")+COUNTIF(MEDICARTE!D30:D36,"Si")+0.5*COUNTIF(MEDICARTE!D30:D36,"Parcial"))/(COUNTIF(MEDICARTE!D30:D36,"Sí")+COUNTIF(MEDICARTE!D30:D36,"Si")+COUNTIF(MEDICARTE!D30:D36,"Parcial")+COUNTIF(MEDICARTE!D30:D36,"No")),0)</f>
        <v>0</v>
      </c>
      <c r="D27" s="100">
        <f>IFERROR((COUNTIF(MEDICARTE!D39:D41,"Sí")+COUNTIF(MEDICARTE!D39:D41,"Si")+0.5*COUNTIF(MEDICARTE!D39:D41,"Parcial"))/(COUNTIF(MEDICARTE!D39:D41,"Sí")+COUNTIF(MEDICARTE!D39:D41,"Si")+COUNTIF(MEDICARTE!D39:D41,"Parcial")+COUNTIF(MEDICARTE!D39:D41,"No")),0)</f>
        <v>0</v>
      </c>
      <c r="E27" s="100">
        <f>IFERROR((COUNTIF(MEDICARTE!D44:D45,"Sí")+COUNTIF(MEDICARTE!D44:D45,"Si")+0.5*COUNTIF(MEDICARTE!D44:D45,"Parcial"))/(COUNTIF(MEDICARTE!D44:D45,"Sí")+COUNTIF(MEDICARTE!D44:D45,"Si")+COUNTIF(MEDICARTE!D44:D45,"Parcial")+COUNTIF(MEDICARTE!D44:D45,"No")),0)</f>
        <v>0</v>
      </c>
      <c r="F27" s="100">
        <f>IFERROR(MEDICARTE!E47,0)</f>
        <v>0</v>
      </c>
      <c r="G27" s="91"/>
      <c r="H27" s="91"/>
      <c r="I27" s="91"/>
      <c r="J27" s="91"/>
      <c r="K27" s="100" t="str">
        <f>A27</f>
        <v>MEDICARTE</v>
      </c>
      <c r="L27" s="100">
        <f>B27</f>
        <v>0</v>
      </c>
      <c r="M27" s="100"/>
      <c r="N27" s="100" t="str">
        <f>A27</f>
        <v>MEDICARTE</v>
      </c>
      <c r="O27" s="100">
        <f>C27</f>
        <v>0</v>
      </c>
      <c r="P27" s="100"/>
      <c r="Q27" s="100" t="str">
        <f>A27</f>
        <v>MEDICARTE</v>
      </c>
      <c r="R27" s="100">
        <f>D27</f>
        <v>0</v>
      </c>
      <c r="S27" s="91"/>
      <c r="T27" s="91" t="str">
        <f>A27</f>
        <v>MEDICARTE</v>
      </c>
      <c r="U27" s="100">
        <f>F27</f>
        <v>0</v>
      </c>
      <c r="V27" s="91"/>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row>
    <row r="28" spans="1:69" ht="15" customHeight="1">
      <c r="A28" s="91"/>
      <c r="B28" s="91"/>
      <c r="C28" s="91"/>
      <c r="D28" s="91"/>
      <c r="E28" s="91"/>
      <c r="F28" s="91"/>
      <c r="G28" s="91"/>
      <c r="H28" s="91"/>
      <c r="I28" s="91"/>
      <c r="J28" s="91"/>
      <c r="K28" s="91"/>
      <c r="L28" s="91"/>
      <c r="M28" s="91"/>
      <c r="N28" s="91"/>
      <c r="O28" s="91"/>
      <c r="P28" s="91"/>
      <c r="Q28" s="91"/>
      <c r="R28" s="91"/>
      <c r="S28" s="91"/>
      <c r="T28" s="91"/>
      <c r="U28" s="91"/>
      <c r="V28" s="91"/>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row>
    <row r="29" spans="1:69" ht="15" customHeight="1">
      <c r="A29" s="102" t="s">
        <v>235</v>
      </c>
      <c r="B29" s="102"/>
      <c r="C29" s="102"/>
      <c r="D29" s="102"/>
      <c r="E29" s="102"/>
      <c r="F29" s="102"/>
      <c r="G29" s="102"/>
      <c r="H29" s="102"/>
      <c r="I29" s="102"/>
      <c r="J29" s="91"/>
      <c r="K29" s="91"/>
      <c r="L29" s="91"/>
      <c r="M29" s="91"/>
      <c r="N29" s="91"/>
      <c r="O29" s="91"/>
      <c r="P29" s="91"/>
      <c r="Q29" s="91"/>
      <c r="R29" s="91"/>
      <c r="S29" s="91"/>
      <c r="T29" s="91"/>
      <c r="U29" s="91"/>
      <c r="V29" s="91"/>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row>
    <row r="30" spans="1:69" ht="15" customHeight="1">
      <c r="A30" s="102" t="s">
        <v>191</v>
      </c>
      <c r="B30" s="102" t="s">
        <v>236</v>
      </c>
      <c r="C30" s="102" t="s">
        <v>237</v>
      </c>
      <c r="D30" s="102" t="s">
        <v>238</v>
      </c>
      <c r="E30" s="102" t="s">
        <v>239</v>
      </c>
      <c r="F30" s="102" t="s">
        <v>240</v>
      </c>
      <c r="G30" s="102" t="s">
        <v>241</v>
      </c>
      <c r="H30" s="102" t="s">
        <v>242</v>
      </c>
      <c r="I30" s="102" t="s">
        <v>243</v>
      </c>
      <c r="J30" s="91"/>
      <c r="K30" s="91"/>
      <c r="L30" s="91"/>
      <c r="M30" s="91"/>
      <c r="N30" s="91"/>
      <c r="O30" s="91"/>
      <c r="P30" s="91"/>
      <c r="Q30" s="91"/>
      <c r="R30" s="91"/>
      <c r="S30" s="91"/>
      <c r="T30" s="91"/>
      <c r="U30" s="91"/>
      <c r="V30" s="91"/>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row>
    <row r="31" spans="1:69" ht="15" customHeight="1">
      <c r="A31" s="91" t="s">
        <v>209</v>
      </c>
      <c r="B31" s="101">
        <f>IF('SURA Cotizadores'!C88="Sí",1,IF('SURA Cotizadores'!C88="Si",1,IF('SURA Cotizadores'!C88="Parcial",0.5,IF('SURA Cotizadores'!C88="No",0,0))))</f>
        <v>1</v>
      </c>
      <c r="C31" s="101">
        <f>IF('SURA Cotizadores'!C89="Sí",1,IF('SURA Cotizadores'!C89="Si",1,IF('SURA Cotizadores'!C89="Parcial",0.5,IF('SURA Cotizadores'!C89="No",0,0))))</f>
        <v>0.5</v>
      </c>
      <c r="D31" s="101">
        <f>IF('SURA Cotizadores'!C90="Sí",1,IF('SURA Cotizadores'!C90="Si",1,IF('SURA Cotizadores'!C90="Parcial",0.5,IF('SURA Cotizadores'!C90="No",0,0))))</f>
        <v>1</v>
      </c>
      <c r="E31" s="101">
        <f>IF('SURA Cotizadores'!C91="Sí",1,IF('SURA Cotizadores'!C91="Si",1,IF('SURA Cotizadores'!C91="Parcial",0.5,IF('SURA Cotizadores'!C91="No",0,0))))</f>
        <v>1</v>
      </c>
      <c r="F31" s="101">
        <f>IF('SURA Cotizadores'!C92="Sí",1,IF('SURA Cotizadores'!C92="Si",1,IF('SURA Cotizadores'!C92="Parcial",0.5,IF('SURA Cotizadores'!C92="No",0,0))))</f>
        <v>1</v>
      </c>
      <c r="G31" s="101">
        <f>IF('SURA Cotizadores'!C93="Sí",1,IF('SURA Cotizadores'!C93="Si",1,IF('SURA Cotizadores'!C93="Parcial",0.5,IF('SURA Cotizadores'!C93="No",0,0))))</f>
        <v>0.5</v>
      </c>
      <c r="H31" s="101">
        <f>IF('SURA Cotizadores'!C94="Sí",1,IF('SURA Cotizadores'!C94="Si",1,IF('SURA Cotizadores'!C94="Parcial",0.5,IF('SURA Cotizadores'!C94="No",0,0))))</f>
        <v>0</v>
      </c>
      <c r="I31" s="101">
        <f>SUM(B31:H31)</f>
        <v>5</v>
      </c>
      <c r="J31" s="91"/>
      <c r="K31" s="102" t="s">
        <v>191</v>
      </c>
      <c r="L31" s="102" t="s">
        <v>233</v>
      </c>
      <c r="M31" s="91"/>
      <c r="N31" s="102" t="s">
        <v>191</v>
      </c>
      <c r="O31" s="102" t="s">
        <v>243</v>
      </c>
      <c r="P31" s="91"/>
      <c r="Q31" s="91"/>
      <c r="R31" s="91"/>
      <c r="S31" s="91"/>
      <c r="T31" s="91"/>
      <c r="U31" s="91"/>
      <c r="V31" s="9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row>
    <row r="32" spans="1:69" ht="15" customHeight="1">
      <c r="A32" s="91" t="s">
        <v>211</v>
      </c>
      <c r="B32" s="101">
        <f>IF('SURA Venta Digital'!C88="Sí",1,IF('SURA Venta Digital'!C88="Si",1,IF('SURA Venta Digital'!C88="Parcial",0.5,IF('SURA Venta Digital'!C88="No",0,0))))</f>
        <v>1</v>
      </c>
      <c r="C32" s="101">
        <f>IF('SURA Venta Digital'!C89="Sí",1,IF('SURA Venta Digital'!C89="Si",1,IF('SURA Venta Digital'!C89="Parcial",0.5,IF('SURA Venta Digital'!C89="No",0,0))))</f>
        <v>1</v>
      </c>
      <c r="D32" s="101">
        <f>IF('SURA Venta Digital'!C90="Sí",1,IF('SURA Venta Digital'!C90="Si",1,IF('SURA Venta Digital'!C90="Parcial",0.5,IF('SURA Venta Digital'!C90="No",0,0))))</f>
        <v>1</v>
      </c>
      <c r="E32" s="101">
        <f>IF('SURA Venta Digital'!C91="Sí",1,IF('SURA Venta Digital'!C91="Si",1,IF('SURA Venta Digital'!C91="Parcial",0.5,IF('SURA Venta Digital'!C91="No",0,0))))</f>
        <v>1</v>
      </c>
      <c r="F32" s="101">
        <f>IF('SURA Venta Digital'!C92="Sí",1,IF('SURA Venta Digital'!C92="Si",1,IF('SURA Venta Digital'!C92="Parcial",0.5,IF('SURA Venta Digital'!C92="No",0,0))))</f>
        <v>1</v>
      </c>
      <c r="G32" s="101">
        <f>IF('SURA Venta Digital'!C93="Sí",1,IF('SURA Venta Digital'!C93="Si",1,IF('SURA Venta Digital'!C93="Parcial",0.5,IF('SURA Venta Digital'!C93="No",0,0))))</f>
        <v>1</v>
      </c>
      <c r="H32" s="101">
        <f>IF('SURA Venta Digital'!C94="Sí",1,IF('SURA Venta Digital'!C94="Si",1,IF('SURA Venta Digital'!C94="Parcial",0.5,IF('SURA Venta Digital'!C94="No",0,0))))</f>
        <v>1</v>
      </c>
      <c r="I32" s="101">
        <f>SUM(B32:H32)</f>
        <v>7</v>
      </c>
      <c r="J32" s="91"/>
      <c r="K32" s="91" t="str">
        <f>A17</f>
        <v>SURA Cotiz.</v>
      </c>
      <c r="L32" s="91">
        <f>E17</f>
        <v>0.25</v>
      </c>
      <c r="M32" s="91"/>
      <c r="N32" s="91" t="str">
        <f>A31</f>
        <v>SURA Cotiz.</v>
      </c>
      <c r="O32" s="91">
        <f>I31</f>
        <v>5</v>
      </c>
      <c r="P32" s="91"/>
      <c r="Q32" s="91"/>
      <c r="R32" s="91"/>
      <c r="S32" s="91"/>
      <c r="T32" s="91"/>
      <c r="U32" s="91"/>
      <c r="V32" s="91"/>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row>
    <row r="33" spans="1:69" ht="15" customHeight="1">
      <c r="A33" s="91" t="s">
        <v>213</v>
      </c>
      <c r="B33" s="101">
        <f>IF('SURA Torre Control'!C88="Sí",1,IF('SURA Torre Control'!C88="Si",1,IF('SURA Torre Control'!C88="Parcial",0.5,IF('SURA Torre Control'!C88="No",0,0))))</f>
        <v>0</v>
      </c>
      <c r="C33" s="101">
        <f>IF('SURA Torre Control'!C89="Sí",1,IF('SURA Torre Control'!C89="Si",1,IF('SURA Torre Control'!C89="Parcial",0.5,IF('SURA Torre Control'!C89="No",0,0))))</f>
        <v>0</v>
      </c>
      <c r="D33" s="101">
        <f>IF('SURA Torre Control'!C90="Sí",1,IF('SURA Torre Control'!C90="Si",1,IF('SURA Torre Control'!C90="Parcial",0.5,IF('SURA Torre Control'!C90="No",0,0))))</f>
        <v>0</v>
      </c>
      <c r="E33" s="101">
        <f>IF('SURA Torre Control'!C91="Sí",1,IF('SURA Torre Control'!C91="Si",1,IF('SURA Torre Control'!C91="Parcial",0.5,IF('SURA Torre Control'!C91="No",0,0))))</f>
        <v>0</v>
      </c>
      <c r="F33" s="101">
        <f>IF('SURA Torre Control'!C92="Sí",1,IF('SURA Torre Control'!C92="Si",1,IF('SURA Torre Control'!C92="Parcial",0.5,IF('SURA Torre Control'!C92="No",0,0))))</f>
        <v>0</v>
      </c>
      <c r="G33" s="101">
        <f>IF('SURA Torre Control'!C93="Sí",1,IF('SURA Torre Control'!C93="Si",1,IF('SURA Torre Control'!C93="Parcial",0.5,IF('SURA Torre Control'!C93="No",0,0))))</f>
        <v>0</v>
      </c>
      <c r="H33" s="101">
        <f>IF('SURA Torre Control'!C94="Sí",1,IF('SURA Torre Control'!C94="Si",1,IF('SURA Torre Control'!C94="Parcial",0.5,IF('SURA Torre Control'!C94="No",0,0))))</f>
        <v>0</v>
      </c>
      <c r="I33" s="101">
        <f>SUM(B33:H33)</f>
        <v>0</v>
      </c>
      <c r="J33" s="91"/>
      <c r="K33" s="91" t="str">
        <f>A18</f>
        <v>SURA V.Dig.</v>
      </c>
      <c r="L33" s="91">
        <f>E18</f>
        <v>0</v>
      </c>
      <c r="M33" s="91"/>
      <c r="N33" s="91" t="str">
        <f>A32</f>
        <v>SURA V.Dig.</v>
      </c>
      <c r="O33" s="91">
        <f>I32</f>
        <v>7</v>
      </c>
      <c r="P33" s="91"/>
      <c r="Q33" s="91"/>
      <c r="R33" s="91"/>
      <c r="S33" s="91"/>
      <c r="T33" s="91"/>
      <c r="U33" s="91"/>
      <c r="V33" s="91"/>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row>
    <row r="34" spans="1:69" ht="15" customHeight="1">
      <c r="A34" s="91" t="s">
        <v>215</v>
      </c>
      <c r="B34" s="101">
        <f>IF('SURA Mesa 4'!C88="Sí",1,IF('SURA Mesa 4'!C88="Si",1,IF('SURA Mesa 4'!C88="Parcial",0.5,IF('SURA Mesa 4'!C88="No",0,0))))</f>
        <v>0</v>
      </c>
      <c r="C34" s="101">
        <f>IF('SURA Mesa 4'!C89="Sí",1,IF('SURA Mesa 4'!C89="Si",1,IF('SURA Mesa 4'!C89="Parcial",0.5,IF('SURA Mesa 4'!C89="No",0,0))))</f>
        <v>0</v>
      </c>
      <c r="D34" s="101">
        <f>IF('SURA Mesa 4'!C90="Sí",1,IF('SURA Mesa 4'!C90="Si",1,IF('SURA Mesa 4'!C90="Parcial",0.5,IF('SURA Mesa 4'!C90="No",0,0))))</f>
        <v>0</v>
      </c>
      <c r="E34" s="101">
        <f>IF('SURA Mesa 4'!C91="Sí",1,IF('SURA Mesa 4'!C91="Si",1,IF('SURA Mesa 4'!C91="Parcial",0.5,IF('SURA Mesa 4'!C91="No",0,0))))</f>
        <v>0</v>
      </c>
      <c r="F34" s="101">
        <f>IF('SURA Mesa 4'!C92="Sí",1,IF('SURA Mesa 4'!C92="Si",1,IF('SURA Mesa 4'!C92="Parcial",0.5,IF('SURA Mesa 4'!C92="No",0,0))))</f>
        <v>0</v>
      </c>
      <c r="G34" s="101">
        <f>IF('SURA Mesa 4'!C93="Sí",1,IF('SURA Mesa 4'!C93="Si",1,IF('SURA Mesa 4'!C93="Parcial",0.5,IF('SURA Mesa 4'!C93="No",0,0))))</f>
        <v>0</v>
      </c>
      <c r="H34" s="101">
        <f>IF('SURA Mesa 4'!C94="Sí",1,IF('SURA Mesa 4'!C94="Si",1,IF('SURA Mesa 4'!C94="Parcial",0.5,IF('SURA Mesa 4'!C94="No",0,0))))</f>
        <v>0</v>
      </c>
      <c r="I34" s="101">
        <f>SUM(B34:H34)</f>
        <v>0</v>
      </c>
      <c r="J34" s="91"/>
      <c r="K34" s="91" t="str">
        <f>A19</f>
        <v>SURA Torre</v>
      </c>
      <c r="L34" s="91">
        <f>E19</f>
        <v>0</v>
      </c>
      <c r="M34" s="91"/>
      <c r="N34" s="91" t="str">
        <f>A33</f>
        <v>SURA Torre</v>
      </c>
      <c r="O34" s="91">
        <f>I33</f>
        <v>0</v>
      </c>
      <c r="P34" s="91"/>
      <c r="Q34" s="91"/>
      <c r="R34" s="91"/>
      <c r="S34" s="91"/>
      <c r="T34" s="91"/>
      <c r="U34" s="91"/>
      <c r="V34" s="91"/>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row>
    <row r="35" spans="1:69" ht="15">
      <c r="A35" s="91" t="s">
        <v>217</v>
      </c>
      <c r="B35" s="101">
        <f>IF('BCO Gioti 1'!C88="Sí",1,IF('BCO Gioti 1'!C88="Si",1,IF('BCO Gioti 1'!C88="Parcial",0.5,IF('BCO Gioti 1'!C88="No",0,0))))</f>
        <v>0.5</v>
      </c>
      <c r="C35" s="101">
        <f>IF('BCO Gioti 1'!C89="Sí",1,IF('BCO Gioti 1'!C89="Si",1,IF('BCO Gioti 1'!C89="Parcial",0.5,IF('BCO Gioti 1'!C89="No",0,0))))</f>
        <v>0</v>
      </c>
      <c r="D35" s="101">
        <f>IF('BCO Gioti 1'!C90="Sí",1,IF('BCO Gioti 1'!C90="Si",1,IF('BCO Gioti 1'!C90="Parcial",0.5,IF('BCO Gioti 1'!C90="No",0,0))))</f>
        <v>0.5</v>
      </c>
      <c r="E35" s="101">
        <f>IF('BCO Gioti 1'!C91="Sí",1,IF('BCO Gioti 1'!C91="Si",1,IF('BCO Gioti 1'!C91="Parcial",0.5,IF('BCO Gioti 1'!C91="No",0,0))))</f>
        <v>0</v>
      </c>
      <c r="F35" s="101">
        <f>IF('BCO Gioti 1'!C92="Sí",1,IF('BCO Gioti 1'!C92="Si",1,IF('BCO Gioti 1'!C92="Parcial",0.5,IF('BCO Gioti 1'!C92="No",0,0))))</f>
        <v>0</v>
      </c>
      <c r="G35" s="101">
        <f>IF('BCO Gioti 1'!C93="Sí",1,IF('BCO Gioti 1'!C93="Si",1,IF('BCO Gioti 1'!C93="Parcial",0.5,IF('BCO Gioti 1'!C93="No",0,0))))</f>
        <v>0</v>
      </c>
      <c r="H35" s="101">
        <f>IF('BCO Gioti 1'!C94="Sí",1,IF('BCO Gioti 1'!C94="Si",1,IF('BCO Gioti 1'!C94="Parcial",0.5,IF('BCO Gioti 1'!C94="No",0,0))))</f>
        <v>0</v>
      </c>
      <c r="I35" s="101">
        <f>SUM(B35:H35)</f>
        <v>1</v>
      </c>
      <c r="J35" s="91"/>
      <c r="K35" s="91" t="str">
        <f>A20</f>
        <v>SURA Mesa4</v>
      </c>
      <c r="L35" s="91">
        <f>E20</f>
        <v>0</v>
      </c>
      <c r="M35" s="91"/>
      <c r="N35" s="91" t="str">
        <f>A34</f>
        <v>SURA Mesa4</v>
      </c>
      <c r="O35" s="91">
        <f>I34</f>
        <v>0</v>
      </c>
      <c r="P35" s="91"/>
      <c r="Q35" s="91"/>
      <c r="R35" s="91"/>
      <c r="S35" s="91"/>
      <c r="T35" s="91"/>
      <c r="U35" s="91"/>
      <c r="V35" s="91"/>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row>
    <row r="36" spans="1:69" ht="15" customHeight="1">
      <c r="A36" s="91" t="s">
        <v>219</v>
      </c>
      <c r="B36" s="101">
        <f>IF('BCO Gioti 2'!C88="Sí",1,IF('BCO Gioti 2'!C88="Si",1,IF('BCO Gioti 2'!C88="Parcial",0.5,IF('BCO Gioti 2'!C88="No",0,0))))</f>
        <v>0</v>
      </c>
      <c r="C36" s="101">
        <f>IF('BCO Gioti 2'!C89="Sí",1,IF('BCO Gioti 2'!C89="Si",1,IF('BCO Gioti 2'!C89="Parcial",0.5,IF('BCO Gioti 2'!C89="No",0,0))))</f>
        <v>0</v>
      </c>
      <c r="D36" s="101">
        <f>IF('BCO Gioti 2'!C90="Sí",1,IF('BCO Gioti 2'!C90="Si",1,IF('BCO Gioti 2'!C90="Parcial",0.5,IF('BCO Gioti 2'!C90="No",0,0))))</f>
        <v>0</v>
      </c>
      <c r="E36" s="101">
        <f>IF('BCO Gioti 2'!C91="Sí",1,IF('BCO Gioti 2'!C91="Si",1,IF('BCO Gioti 2'!C91="Parcial",0.5,IF('BCO Gioti 2'!C91="No",0,0))))</f>
        <v>0</v>
      </c>
      <c r="F36" s="101">
        <f>IF('BCO Gioti 2'!C92="Sí",1,IF('BCO Gioti 2'!C92="Si",1,IF('BCO Gioti 2'!C92="Parcial",0.5,IF('BCO Gioti 2'!C92="No",0,0))))</f>
        <v>0</v>
      </c>
      <c r="G36" s="101">
        <f>IF('BCO Gioti 2'!C93="Sí",1,IF('BCO Gioti 2'!C93="Si",1,IF('BCO Gioti 2'!C93="Parcial",0.5,IF('BCO Gioti 2'!C93="No",0,0))))</f>
        <v>0</v>
      </c>
      <c r="H36" s="101">
        <f>IF('BCO Gioti 2'!C94="Sí",1,IF('BCO Gioti 2'!C94="Si",1,IF('BCO Gioti 2'!C94="Parcial",0.5,IF('BCO Gioti 2'!C94="No",0,0))))</f>
        <v>0</v>
      </c>
      <c r="I36" s="101">
        <f>SUM(B36:H36)</f>
        <v>0</v>
      </c>
      <c r="J36" s="91"/>
      <c r="K36" s="91" t="str">
        <f>A21</f>
        <v>BCO Gioti1</v>
      </c>
      <c r="L36" s="91">
        <f>E21</f>
        <v>0.75</v>
      </c>
      <c r="M36" s="91"/>
      <c r="N36" s="91" t="str">
        <f>A35</f>
        <v>BCO Gioti1</v>
      </c>
      <c r="O36" s="91">
        <f>I35</f>
        <v>1</v>
      </c>
      <c r="P36" s="91"/>
      <c r="Q36" s="91"/>
      <c r="R36" s="91"/>
      <c r="S36" s="91"/>
      <c r="T36" s="91"/>
      <c r="U36" s="91"/>
      <c r="V36" s="91"/>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row>
    <row r="37" spans="1:69" ht="15">
      <c r="A37" s="91" t="s">
        <v>221</v>
      </c>
      <c r="B37" s="101">
        <f>IF('BCO Gioti 3'!C88="Sí",1,IF('BCO Gioti 3'!C88="Si",1,IF('BCO Gioti 3'!C88="Parcial",0.5,IF('BCO Gioti 3'!C88="No",0,0))))</f>
        <v>0</v>
      </c>
      <c r="C37" s="101">
        <f>IF('BCO Gioti 3'!C89="Sí",1,IF('BCO Gioti 3'!C89="Si",1,IF('BCO Gioti 3'!C89="Parcial",0.5,IF('BCO Gioti 3'!C89="No",0,0))))</f>
        <v>0</v>
      </c>
      <c r="D37" s="101">
        <f>IF('BCO Gioti 3'!C90="Sí",1,IF('BCO Gioti 3'!C90="Si",1,IF('BCO Gioti 3'!C90="Parcial",0.5,IF('BCO Gioti 3'!C90="No",0,0))))</f>
        <v>0</v>
      </c>
      <c r="E37" s="101">
        <f>IF('BCO Gioti 3'!C91="Sí",1,IF('BCO Gioti 3'!C91="Si",1,IF('BCO Gioti 3'!C91="Parcial",0.5,IF('BCO Gioti 3'!C91="No",0,0))))</f>
        <v>0</v>
      </c>
      <c r="F37" s="101">
        <f>IF('BCO Gioti 3'!C92="Sí",1,IF('BCO Gioti 3'!C92="Si",1,IF('BCO Gioti 3'!C92="Parcial",0.5,IF('BCO Gioti 3'!C92="No",0,0))))</f>
        <v>0</v>
      </c>
      <c r="G37" s="101">
        <f>IF('BCO Gioti 3'!C93="Sí",1,IF('BCO Gioti 3'!C93="Si",1,IF('BCO Gioti 3'!C93="Parcial",0.5,IF('BCO Gioti 3'!C93="No",0,0))))</f>
        <v>0</v>
      </c>
      <c r="H37" s="101">
        <f>IF('BCO Gioti 3'!C94="Sí",1,IF('BCO Gioti 3'!C94="Si",1,IF('BCO Gioti 3'!C94="Parcial",0.5,IF('BCO Gioti 3'!C94="No",0,0))))</f>
        <v>0</v>
      </c>
      <c r="I37" s="101">
        <f>SUM(B37:H37)</f>
        <v>0</v>
      </c>
      <c r="J37" s="91"/>
      <c r="K37" s="91" t="str">
        <f>A22</f>
        <v>BCO Gioti2</v>
      </c>
      <c r="L37" s="91">
        <f>E22</f>
        <v>0</v>
      </c>
      <c r="M37" s="91"/>
      <c r="N37" s="91" t="str">
        <f>A36</f>
        <v>BCO Gioti2</v>
      </c>
      <c r="O37" s="91">
        <f>I36</f>
        <v>0</v>
      </c>
      <c r="P37" s="91"/>
      <c r="Q37" s="91"/>
      <c r="R37" s="91"/>
      <c r="S37" s="91"/>
      <c r="T37" s="91"/>
      <c r="U37" s="91"/>
      <c r="V37" s="91"/>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c r="BO37"/>
      <c r="BP37"/>
      <c r="BQ37"/>
    </row>
    <row r="38" spans="1:69" ht="15">
      <c r="A38" s="91" t="s">
        <v>223</v>
      </c>
      <c r="B38" s="101">
        <f>IF('BCO Gioti 4'!C88="Sí",1,IF('BCO Gioti 4'!C88="Si",1,IF('BCO Gioti 4'!C88="Parcial",0.5,IF('BCO Gioti 4'!C88="No",0,0))))</f>
        <v>0</v>
      </c>
      <c r="C38" s="101">
        <f>IF('BCO Gioti 4'!C89="Sí",1,IF('BCO Gioti 4'!C89="Si",1,IF('BCO Gioti 4'!C89="Parcial",0.5,IF('BCO Gioti 4'!C89="No",0,0))))</f>
        <v>0</v>
      </c>
      <c r="D38" s="101">
        <f>IF('BCO Gioti 4'!C90="Sí",1,IF('BCO Gioti 4'!C90="Si",1,IF('BCO Gioti 4'!C90="Parcial",0.5,IF('BCO Gioti 4'!C90="No",0,0))))</f>
        <v>0</v>
      </c>
      <c r="E38" s="101">
        <f>IF('BCO Gioti 4'!C91="Sí",1,IF('BCO Gioti 4'!C91="Si",1,IF('BCO Gioti 4'!C91="Parcial",0.5,IF('BCO Gioti 4'!C91="No",0,0))))</f>
        <v>0</v>
      </c>
      <c r="F38" s="101">
        <f>IF('BCO Gioti 4'!C92="Sí",1,IF('BCO Gioti 4'!C92="Si",1,IF('BCO Gioti 4'!C92="Parcial",0.5,IF('BCO Gioti 4'!C92="No",0,0))))</f>
        <v>0</v>
      </c>
      <c r="G38" s="101">
        <f>IF('BCO Gioti 4'!C93="Sí",1,IF('BCO Gioti 4'!C93="Si",1,IF('BCO Gioti 4'!C93="Parcial",0.5,IF('BCO Gioti 4'!C93="No",0,0))))</f>
        <v>0</v>
      </c>
      <c r="H38" s="101">
        <f>IF('BCO Gioti 4'!C94="Sí",1,IF('BCO Gioti 4'!C94="Si",1,IF('BCO Gioti 4'!C94="Parcial",0.5,IF('BCO Gioti 4'!C94="No",0,0))))</f>
        <v>0</v>
      </c>
      <c r="I38" s="101">
        <f>SUM(B38:H38)</f>
        <v>0</v>
      </c>
      <c r="J38" s="91"/>
      <c r="K38" s="91" t="str">
        <f>A23</f>
        <v>BCO Gioti3</v>
      </c>
      <c r="L38" s="91">
        <f>E23</f>
        <v>0</v>
      </c>
      <c r="M38" s="91"/>
      <c r="N38" s="91" t="str">
        <f>A37</f>
        <v>BCO Gioti3</v>
      </c>
      <c r="O38" s="91">
        <f>I37</f>
        <v>0</v>
      </c>
      <c r="P38" s="91"/>
      <c r="Q38" s="91"/>
      <c r="R38" s="91"/>
      <c r="S38" s="91"/>
      <c r="T38" s="91"/>
      <c r="U38" s="91"/>
      <c r="V38" s="91"/>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c r="BO38"/>
      <c r="BP38"/>
      <c r="BQ38"/>
    </row>
    <row r="39" spans="1:69" ht="15" customHeight="1">
      <c r="A39" s="91" t="s">
        <v>124</v>
      </c>
      <c r="B39" s="101">
        <f>IF(AES!C88="Sí",1,IF(AES!C88="Si",1,IF(AES!C88="Parcial",0.5,IF(AES!C88="No",0,0))))</f>
        <v>0</v>
      </c>
      <c r="C39" s="101">
        <f>IF(AES!C89="Sí",1,IF(AES!C89="Si",1,IF(AES!C89="Parcial",0.5,IF(AES!C89="No",0,0))))</f>
        <v>0</v>
      </c>
      <c r="D39" s="101">
        <f>IF(AES!C90="Sí",1,IF(AES!C90="Si",1,IF(AES!C90="Parcial",0.5,IF(AES!C90="No",0,0))))</f>
        <v>0</v>
      </c>
      <c r="E39" s="101">
        <f>IF(AES!C91="Sí",1,IF(AES!C91="Si",1,IF(AES!C91="Parcial",0.5,IF(AES!C91="No",0,0))))</f>
        <v>0</v>
      </c>
      <c r="F39" s="101">
        <f>IF(AES!C92="Sí",1,IF(AES!C92="Si",1,IF(AES!C92="Parcial",0.5,IF(AES!C92="No",0,0))))</f>
        <v>0</v>
      </c>
      <c r="G39" s="101">
        <f>IF(AES!C93="Sí",1,IF(AES!C93="Si",1,IF(AES!C93="Parcial",0.5,IF(AES!C93="No",0,0))))</f>
        <v>0</v>
      </c>
      <c r="H39" s="101">
        <f>IF(AES!C94="Sí",1,IF(AES!C94="Si",1,IF(AES!C94="Parcial",0.5,IF(AES!C94="No",0,0))))</f>
        <v>0</v>
      </c>
      <c r="I39" s="101">
        <f>SUM(B39:H39)</f>
        <v>0</v>
      </c>
      <c r="J39" s="91"/>
      <c r="K39" s="91" t="str">
        <f>A24</f>
        <v>BCO Gioti4</v>
      </c>
      <c r="L39" s="91">
        <f>E24</f>
        <v>0</v>
      </c>
      <c r="M39" s="91"/>
      <c r="N39" s="91" t="str">
        <f>A38</f>
        <v>BCO Gioti4</v>
      </c>
      <c r="O39" s="91">
        <f>I38</f>
        <v>0</v>
      </c>
      <c r="P39" s="91"/>
      <c r="Q39" s="91"/>
      <c r="R39" s="91"/>
      <c r="S39" s="91"/>
      <c r="T39" s="91"/>
      <c r="U39" s="91"/>
      <c r="V39" s="91"/>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c r="BO39"/>
      <c r="BP39"/>
      <c r="BQ39"/>
    </row>
    <row r="40" spans="1:69" ht="15" customHeight="1">
      <c r="A40" s="91" t="s">
        <v>125</v>
      </c>
      <c r="B40" s="101">
        <f>IF(XM!C88="Sí",1,IF(XM!C88="Si",1,IF(XM!C88="Parcial",0.5,IF(XM!C88="No",0,0))))</f>
        <v>0</v>
      </c>
      <c r="C40" s="101">
        <f>IF(XM!C89="Sí",1,IF(XM!C89="Si",1,IF(XM!C89="Parcial",0.5,IF(XM!C89="No",0,0))))</f>
        <v>0</v>
      </c>
      <c r="D40" s="101">
        <f>IF(XM!C90="Sí",1,IF(XM!C90="Si",1,IF(XM!C90="Parcial",0.5,IF(XM!C90="No",0,0))))</f>
        <v>0</v>
      </c>
      <c r="E40" s="101">
        <f>IF(XM!C91="Sí",1,IF(XM!C91="Si",1,IF(XM!C91="Parcial",0.5,IF(XM!C91="No",0,0))))</f>
        <v>0</v>
      </c>
      <c r="F40" s="101">
        <f>IF(XM!C92="Sí",1,IF(XM!C92="Si",1,IF(XM!C92="Parcial",0.5,IF(XM!C92="No",0,0))))</f>
        <v>0</v>
      </c>
      <c r="G40" s="101">
        <f>IF(XM!C93="Sí",1,IF(XM!C93="Si",1,IF(XM!C93="Parcial",0.5,IF(XM!C93="No",0,0))))</f>
        <v>0</v>
      </c>
      <c r="H40" s="101">
        <f>IF(XM!C94="Sí",1,IF(XM!C94="Si",1,IF(XM!C94="Parcial",0.5,IF(XM!C94="No",0,0))))</f>
        <v>0</v>
      </c>
      <c r="I40" s="101">
        <f>SUM(B40:H40)</f>
        <v>0</v>
      </c>
      <c r="J40" s="91"/>
      <c r="K40" s="91" t="str">
        <f>A25</f>
        <v>AES</v>
      </c>
      <c r="L40" s="91">
        <f>E25</f>
        <v>0</v>
      </c>
      <c r="M40" s="91"/>
      <c r="N40" s="91" t="str">
        <f>A39</f>
        <v>AES</v>
      </c>
      <c r="O40" s="91">
        <f>I39</f>
        <v>0</v>
      </c>
      <c r="P40" s="91"/>
      <c r="Q40" s="91"/>
      <c r="R40" s="91"/>
      <c r="S40" s="91"/>
      <c r="T40" s="91"/>
      <c r="U40" s="91"/>
      <c r="V40" s="91"/>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c r="BM40"/>
      <c r="BN40"/>
      <c r="BO40"/>
      <c r="BP40"/>
      <c r="BQ40"/>
    </row>
    <row r="41" spans="1:69" ht="15" customHeight="1">
      <c r="A41" s="91" t="s">
        <v>126</v>
      </c>
      <c r="B41" s="101">
        <f>IF(MEDICARTE!C88="Sí",1,IF(MEDICARTE!C88="Si",1,IF(MEDICARTE!C88="Parcial",0.5,IF(MEDICARTE!C88="No",0,0))))</f>
        <v>0</v>
      </c>
      <c r="C41" s="101">
        <f>IF(MEDICARTE!C89="Sí",1,IF(MEDICARTE!C89="Si",1,IF(MEDICARTE!C89="Parcial",0.5,IF(MEDICARTE!C89="No",0,0))))</f>
        <v>0</v>
      </c>
      <c r="D41" s="101">
        <f>IF(MEDICARTE!C90="Sí",1,IF(MEDICARTE!C90="Si",1,IF(MEDICARTE!C90="Parcial",0.5,IF(MEDICARTE!C90="No",0,0))))</f>
        <v>0</v>
      </c>
      <c r="E41" s="101">
        <f>IF(MEDICARTE!C91="Sí",1,IF(MEDICARTE!C91="Si",1,IF(MEDICARTE!C91="Parcial",0.5,IF(MEDICARTE!C91="No",0,0))))</f>
        <v>0</v>
      </c>
      <c r="F41" s="101">
        <f>IF(MEDICARTE!C92="Sí",1,IF(MEDICARTE!C92="Si",1,IF(MEDICARTE!C92="Parcial",0.5,IF(MEDICARTE!C92="No",0,0))))</f>
        <v>0</v>
      </c>
      <c r="G41" s="101">
        <f>IF(MEDICARTE!C93="Sí",1,IF(MEDICARTE!C93="Si",1,IF(MEDICARTE!C93="Parcial",0.5,IF(MEDICARTE!C93="No",0,0))))</f>
        <v>0</v>
      </c>
      <c r="H41" s="101">
        <f>IF(MEDICARTE!C94="Sí",1,IF(MEDICARTE!C94="Si",1,IF(MEDICARTE!C94="Parcial",0.5,IF(MEDICARTE!C94="No",0,0))))</f>
        <v>0</v>
      </c>
      <c r="I41" s="101">
        <f>SUM(B41:H41)</f>
        <v>0</v>
      </c>
      <c r="J41" s="91"/>
      <c r="K41" s="91" t="str">
        <f>A26</f>
        <v>XM</v>
      </c>
      <c r="L41" s="91">
        <f>E26</f>
        <v>0</v>
      </c>
      <c r="M41" s="91"/>
      <c r="N41" s="91" t="str">
        <f>A40</f>
        <v>XM</v>
      </c>
      <c r="O41" s="91">
        <f>I40</f>
        <v>0</v>
      </c>
      <c r="P41" s="91"/>
      <c r="Q41" s="91"/>
      <c r="R41" s="91"/>
      <c r="S41" s="91"/>
      <c r="T41" s="91"/>
      <c r="U41" s="91"/>
      <c r="V41" s="9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c r="BO41"/>
      <c r="BP41"/>
      <c r="BQ41"/>
    </row>
    <row r="42" spans="1:69" ht="15" customHeight="1">
      <c r="A42" s="91" t="s">
        <v>244</v>
      </c>
      <c r="B42" s="101">
        <f>SUM(B31:B41)</f>
        <v>2.5</v>
      </c>
      <c r="C42" s="101">
        <f>SUM(C31:C41)</f>
        <v>1.5</v>
      </c>
      <c r="D42" s="101">
        <f>SUM(D31:D41)</f>
        <v>2.5</v>
      </c>
      <c r="E42" s="101">
        <f>SUM(E31:E41)</f>
        <v>2</v>
      </c>
      <c r="F42" s="101">
        <f>SUM(F31:F41)</f>
        <v>2</v>
      </c>
      <c r="G42" s="101">
        <f>SUM(G31:G41)</f>
        <v>1.5</v>
      </c>
      <c r="H42" s="101">
        <f>SUM(H31:H41)</f>
        <v>1</v>
      </c>
      <c r="I42" s="101">
        <f>SUM(I31:I41)</f>
        <v>13</v>
      </c>
      <c r="J42" s="91"/>
      <c r="K42" s="91" t="str">
        <f>A27</f>
        <v>MEDICARTE</v>
      </c>
      <c r="L42" s="91">
        <f>E27</f>
        <v>0</v>
      </c>
      <c r="M42" s="91"/>
      <c r="N42" s="91" t="str">
        <f>A41</f>
        <v>MEDICARTE</v>
      </c>
      <c r="O42" s="91">
        <f>I41</f>
        <v>0</v>
      </c>
      <c r="P42" s="91"/>
      <c r="Q42" s="91"/>
      <c r="R42" s="91"/>
      <c r="S42" s="91"/>
      <c r="T42" s="91"/>
      <c r="U42" s="91"/>
      <c r="V42" s="91"/>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c r="BO42"/>
      <c r="BP42"/>
      <c r="BQ42"/>
    </row>
    <row r="43" spans="1:69" ht="15" customHeight="1">
      <c r="A43" s="91"/>
      <c r="B43" s="91"/>
      <c r="C43" s="91"/>
      <c r="D43" s="91"/>
      <c r="E43" s="91"/>
      <c r="F43" s="91"/>
      <c r="G43" s="91"/>
      <c r="H43" s="91"/>
      <c r="I43" s="91"/>
      <c r="J43" s="91"/>
      <c r="K43" s="91"/>
      <c r="L43" s="91"/>
      <c r="M43" s="91"/>
      <c r="N43" s="91"/>
      <c r="O43" s="91"/>
      <c r="P43" s="91"/>
      <c r="Q43" s="91"/>
      <c r="R43" s="91"/>
      <c r="S43" s="91"/>
      <c r="T43" s="91"/>
      <c r="U43" s="91"/>
      <c r="V43" s="91"/>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row>
    <row r="44" spans="1:69" ht="15" customHeight="1">
      <c r="A44" s="102" t="s">
        <v>245</v>
      </c>
      <c r="B44" s="102"/>
      <c r="C44" s="102"/>
      <c r="D44" s="102"/>
      <c r="E44" s="102"/>
      <c r="F44" s="102"/>
      <c r="G44" s="102"/>
      <c r="H44" s="91"/>
      <c r="I44" s="91"/>
      <c r="J44" s="91"/>
      <c r="K44" s="91"/>
      <c r="L44" s="91"/>
      <c r="M44" s="91"/>
      <c r="N44" s="91"/>
      <c r="O44" s="91"/>
      <c r="P44" s="91"/>
      <c r="Q44" s="91"/>
      <c r="R44" s="91"/>
      <c r="S44" s="91"/>
      <c r="T44" s="91"/>
      <c r="U44" s="91"/>
      <c r="V44" s="91"/>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c r="BO44"/>
      <c r="BP44"/>
      <c r="BQ44"/>
    </row>
    <row r="45" spans="1:69" ht="15">
      <c r="A45" s="102" t="s">
        <v>205</v>
      </c>
      <c r="B45" s="102" t="s">
        <v>246</v>
      </c>
      <c r="C45" s="102" t="s">
        <v>247</v>
      </c>
      <c r="D45" s="102" t="s">
        <v>124</v>
      </c>
      <c r="E45" s="102" t="s">
        <v>125</v>
      </c>
      <c r="F45" s="102" t="s">
        <v>126</v>
      </c>
      <c r="G45" s="102" t="s">
        <v>248</v>
      </c>
      <c r="H45" s="91"/>
      <c r="I45" s="91"/>
      <c r="J45" s="91"/>
      <c r="K45" s="91"/>
      <c r="L45" s="91"/>
      <c r="M45" s="91"/>
      <c r="N45" s="91"/>
      <c r="O45" s="91"/>
      <c r="P45" s="91"/>
      <c r="Q45" s="91"/>
      <c r="R45" s="91"/>
      <c r="S45" s="91"/>
      <c r="T45" s="91"/>
      <c r="U45" s="91"/>
      <c r="V45" s="91"/>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row>
    <row r="46" spans="1:69" ht="15">
      <c r="A46" s="91" t="s">
        <v>230</v>
      </c>
      <c r="B46" s="100">
        <f>IFERROR(AVERAGE(B17:B20),0)</f>
        <v>0.2</v>
      </c>
      <c r="C46" s="100">
        <f>IFERROR(AVERAGE(B21:B24),0)</f>
        <v>0.2</v>
      </c>
      <c r="D46" s="100">
        <f>B25</f>
        <v>0</v>
      </c>
      <c r="E46" s="100">
        <f>B26</f>
        <v>0</v>
      </c>
      <c r="F46" s="100">
        <f>B27</f>
        <v>0</v>
      </c>
      <c r="G46" s="100">
        <f>100%</f>
        <v>1</v>
      </c>
      <c r="H46" s="91"/>
      <c r="I46" s="91"/>
      <c r="J46" s="91"/>
      <c r="K46" s="91"/>
      <c r="L46" s="91"/>
      <c r="M46" s="91"/>
      <c r="N46" s="91"/>
      <c r="O46" s="91"/>
      <c r="P46" s="91"/>
      <c r="Q46" s="91"/>
      <c r="R46" s="91"/>
      <c r="S46" s="91"/>
      <c r="T46" s="91"/>
      <c r="U46" s="91"/>
      <c r="V46" s="91"/>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row>
    <row r="47" spans="1:69" ht="15" customHeight="1">
      <c r="A47" s="91" t="s">
        <v>231</v>
      </c>
      <c r="B47" s="100">
        <f>IFERROR(AVERAGE(C17:C20),0)</f>
        <v>0.17857142857142858</v>
      </c>
      <c r="C47" s="100">
        <f>IFERROR(AVERAGE(C21:C24),0)</f>
        <v>0.19642857142857142</v>
      </c>
      <c r="D47" s="100">
        <f>C25</f>
        <v>0</v>
      </c>
      <c r="E47" s="100">
        <f>C26</f>
        <v>0</v>
      </c>
      <c r="F47" s="100">
        <f>C27</f>
        <v>0</v>
      </c>
      <c r="G47" s="100">
        <f>100%</f>
        <v>1</v>
      </c>
      <c r="H47" s="91"/>
      <c r="I47" s="91"/>
      <c r="J47" s="91"/>
      <c r="K47" s="91"/>
      <c r="L47" s="91"/>
      <c r="M47" s="91"/>
      <c r="N47" s="91"/>
      <c r="O47" s="91"/>
      <c r="P47" s="91"/>
      <c r="Q47" s="91"/>
      <c r="R47" s="91"/>
      <c r="S47" s="91"/>
      <c r="T47" s="91"/>
      <c r="U47" s="91"/>
      <c r="V47" s="91"/>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c r="BO47"/>
      <c r="BP47"/>
      <c r="BQ47"/>
    </row>
    <row r="48" spans="1:69" ht="15" customHeight="1">
      <c r="A48" s="91" t="s">
        <v>232</v>
      </c>
      <c r="B48" s="100">
        <f>IFERROR(AVERAGE(D17:D20),0)</f>
        <v>0.125</v>
      </c>
      <c r="C48" s="100">
        <f>IFERROR(AVERAGE(D21:D24),0)</f>
        <v>0.20833333333333334</v>
      </c>
      <c r="D48" s="100">
        <f>D25</f>
        <v>0</v>
      </c>
      <c r="E48" s="100">
        <f>D26</f>
        <v>0</v>
      </c>
      <c r="F48" s="100">
        <f>D27</f>
        <v>0</v>
      </c>
      <c r="G48" s="100">
        <f>100%</f>
        <v>1</v>
      </c>
      <c r="H48" s="91"/>
      <c r="I48" s="91"/>
      <c r="J48" s="91"/>
      <c r="K48" s="91"/>
      <c r="L48" s="91"/>
      <c r="M48" s="91"/>
      <c r="N48" s="91"/>
      <c r="O48" s="91"/>
      <c r="P48" s="91"/>
      <c r="Q48" s="91"/>
      <c r="R48" s="91"/>
      <c r="S48" s="91"/>
      <c r="T48" s="91"/>
      <c r="U48" s="91"/>
      <c r="V48" s="91"/>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c r="BO48"/>
      <c r="BP48"/>
      <c r="BQ48"/>
    </row>
    <row r="49" spans="1:69" ht="15" customHeight="1">
      <c r="A49" s="91" t="s">
        <v>233</v>
      </c>
      <c r="B49" s="100">
        <f>IFERROR(AVERAGE(E17:E20),0)</f>
        <v>6.25E-2</v>
      </c>
      <c r="C49" s="100">
        <f>IFERROR(AVERAGE(E21:E24),0)</f>
        <v>0.1875</v>
      </c>
      <c r="D49" s="100">
        <f>E25</f>
        <v>0</v>
      </c>
      <c r="E49" s="100">
        <f>E26</f>
        <v>0</v>
      </c>
      <c r="F49" s="100">
        <f>E27</f>
        <v>0</v>
      </c>
      <c r="G49" s="100">
        <f>100%</f>
        <v>1</v>
      </c>
      <c r="H49" s="91"/>
      <c r="I49" s="91"/>
      <c r="J49" s="91"/>
      <c r="K49" s="91"/>
      <c r="L49" s="91"/>
      <c r="M49" s="91"/>
      <c r="N49" s="91"/>
      <c r="O49" s="91"/>
      <c r="P49" s="91"/>
      <c r="Q49" s="91"/>
      <c r="R49" s="91"/>
      <c r="S49" s="91"/>
      <c r="T49" s="91"/>
      <c r="U49" s="91"/>
      <c r="V49" s="91"/>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row>
    <row r="50" spans="1:69" ht="15" customHeight="1">
      <c r="A50" s="91"/>
      <c r="B50" s="91"/>
      <c r="C50" s="91"/>
      <c r="D50" s="91"/>
      <c r="E50" s="91"/>
      <c r="F50" s="91"/>
      <c r="G50" s="91"/>
      <c r="H50" s="91"/>
      <c r="I50" s="91"/>
      <c r="J50" s="91"/>
      <c r="K50" s="91"/>
      <c r="L50" s="91"/>
      <c r="M50" s="91"/>
      <c r="N50" s="91"/>
      <c r="O50" s="91"/>
      <c r="P50" s="91"/>
      <c r="Q50" s="91"/>
      <c r="R50" s="91"/>
      <c r="S50" s="91"/>
      <c r="T50" s="91"/>
      <c r="U50" s="91"/>
      <c r="V50" s="91"/>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row>
    <row r="51" spans="1:69" ht="15" customHeight="1">
      <c r="A51" s="102" t="s">
        <v>249</v>
      </c>
      <c r="B51" s="102"/>
      <c r="C51" s="102"/>
      <c r="D51" s="102"/>
      <c r="E51" s="91"/>
      <c r="F51" s="91"/>
      <c r="G51" s="91"/>
      <c r="H51" s="91"/>
      <c r="I51" s="91"/>
      <c r="J51" s="91"/>
      <c r="K51" s="91"/>
      <c r="L51" s="91"/>
      <c r="M51" s="91"/>
      <c r="N51" s="91"/>
      <c r="O51" s="91"/>
      <c r="P51" s="91"/>
      <c r="Q51" s="91"/>
      <c r="R51" s="91"/>
      <c r="S51" s="91"/>
      <c r="T51" s="91"/>
      <c r="U51" s="91"/>
      <c r="V51" s="9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c r="BO51"/>
      <c r="BP51"/>
      <c r="BQ51"/>
    </row>
    <row r="52" spans="1:69" ht="15" customHeight="1">
      <c r="A52" s="102" t="s">
        <v>250</v>
      </c>
      <c r="B52" s="102" t="s">
        <v>251</v>
      </c>
      <c r="C52" s="102" t="s">
        <v>252</v>
      </c>
      <c r="D52" s="102" t="s">
        <v>253</v>
      </c>
      <c r="E52" s="91"/>
      <c r="F52" s="91"/>
      <c r="G52" s="91"/>
      <c r="H52" s="91"/>
      <c r="I52" s="91"/>
      <c r="J52" s="91"/>
      <c r="K52" s="91"/>
      <c r="L52" s="91"/>
      <c r="M52" s="91"/>
      <c r="N52" s="91"/>
      <c r="O52" s="91"/>
      <c r="P52" s="91"/>
      <c r="Q52" s="91"/>
      <c r="R52" s="91"/>
      <c r="S52" s="91"/>
      <c r="T52" s="91"/>
      <c r="U52" s="91"/>
      <c r="V52" s="91"/>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c r="BO52"/>
      <c r="BP52"/>
      <c r="BQ52"/>
    </row>
    <row r="53" spans="1:69" ht="15" customHeight="1">
      <c r="A53" s="91" t="s">
        <v>254</v>
      </c>
      <c r="B53" s="100">
        <f>75%</f>
        <v>0.75</v>
      </c>
      <c r="C53" s="100">
        <f>85%</f>
        <v>0.85</v>
      </c>
      <c r="D53" s="100">
        <f>IFERROR(AVERAGE('SURA Cotizadores'!C55,'SURA Venta Digital'!C55,'SURA Torre Control'!C55,'SURA Mesa 4'!C55,'BCO Gioti 1'!C55,'BCO Gioti 2'!C55,'BCO Gioti 3'!C55,'BCO Gioti 4'!C55,AES!C55,XM!C55,MEDICARTE!C55),0)</f>
        <v>0.67999999999999983</v>
      </c>
      <c r="E53" s="91"/>
      <c r="F53" s="91"/>
      <c r="G53" s="91"/>
      <c r="H53" s="91"/>
      <c r="I53" s="91"/>
      <c r="J53" s="91"/>
      <c r="K53" s="91"/>
      <c r="L53" s="91"/>
      <c r="M53" s="91"/>
      <c r="N53" s="91"/>
      <c r="O53" s="91"/>
      <c r="P53" s="91"/>
      <c r="Q53" s="91"/>
      <c r="R53" s="91"/>
      <c r="S53" s="91"/>
      <c r="T53" s="91"/>
      <c r="U53" s="91"/>
      <c r="V53" s="91"/>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c r="BO53"/>
      <c r="BP53"/>
      <c r="BQ53"/>
    </row>
    <row r="54" spans="1:69" ht="15" customHeight="1">
      <c r="A54" s="91" t="s">
        <v>255</v>
      </c>
      <c r="B54" s="100">
        <f>95%</f>
        <v>0.95</v>
      </c>
      <c r="C54" s="100">
        <f>98%</f>
        <v>0.98</v>
      </c>
      <c r="D54" s="100">
        <f>IFERROR(AVERAGE('SURA Cotizadores'!C57,'SURA Venta Digital'!C57,'SURA Torre Control'!C57,'SURA Mesa 4'!C57,'BCO Gioti 1'!C57,'BCO Gioti 2'!C57,'BCO Gioti 3'!C57,'BCO Gioti 4'!C57,AES!C57,XM!C57,MEDICARTE!C57),0)</f>
        <v>0.89000000000000012</v>
      </c>
      <c r="E54" s="91"/>
      <c r="F54" s="91"/>
      <c r="G54" s="91"/>
      <c r="H54" s="91"/>
      <c r="I54" s="91"/>
      <c r="J54" s="91"/>
      <c r="K54" s="91"/>
      <c r="L54" s="91"/>
      <c r="M54" s="91"/>
      <c r="N54" s="91"/>
      <c r="O54" s="91"/>
      <c r="P54" s="91"/>
      <c r="Q54" s="91"/>
      <c r="R54" s="91"/>
      <c r="S54" s="91"/>
      <c r="T54" s="91"/>
      <c r="U54" s="91"/>
      <c r="V54" s="91"/>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c r="BO54"/>
      <c r="BP54"/>
      <c r="BQ54"/>
    </row>
    <row r="55" spans="1:69" ht="15">
      <c r="A55" s="91" t="s">
        <v>111</v>
      </c>
      <c r="B55" s="91">
        <f>45</f>
        <v>45</v>
      </c>
      <c r="C55" s="91">
        <f>65</f>
        <v>65</v>
      </c>
      <c r="D55" s="91">
        <f>IFERROR(AVERAGE('SURA Cotizadores'!C78,'SURA Venta Digital'!C78,'SURA Torre Control'!C78,'SURA Mesa 4'!C78,'BCO Gioti 1'!C78,'BCO Gioti 2'!C78,'BCO Gioti 3'!C78,'BCO Gioti 4'!C78,AES!C78,XM!C78,MEDICARTE!C78),0)</f>
        <v>0</v>
      </c>
      <c r="E55" s="91"/>
      <c r="F55" s="91"/>
      <c r="G55" s="91"/>
      <c r="H55" s="91"/>
      <c r="I55" s="91"/>
      <c r="J55" s="91"/>
      <c r="K55" s="91"/>
      <c r="L55" s="91"/>
      <c r="M55" s="91"/>
      <c r="N55" s="91"/>
      <c r="O55" s="91"/>
      <c r="P55" s="91"/>
      <c r="Q55" s="91"/>
      <c r="R55" s="91"/>
      <c r="S55" s="91"/>
      <c r="T55" s="91"/>
      <c r="U55" s="91"/>
      <c r="V55" s="91"/>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c r="BO55"/>
      <c r="BP55"/>
      <c r="BQ55"/>
    </row>
    <row r="56" spans="1:69" ht="15">
      <c r="A56" s="91" t="s">
        <v>256</v>
      </c>
      <c r="B56" s="100">
        <f>15%</f>
        <v>0.15</v>
      </c>
      <c r="C56" s="100">
        <f>8%</f>
        <v>0.08</v>
      </c>
      <c r="D56" s="100">
        <f>IFERROR(AVERAGE(IF('SURA Cotizadores'!C109&gt;1,'SURA Cotizadores'!C109/100,'SURA Cotizadores'!C109),IF('SURA Venta Digital'!C109&gt;1,'SURA Venta Digital'!C109/100,'SURA Venta Digital'!C109),IF('SURA Torre Control'!C109&gt;1,'SURA Torre Control'!C109/100,'SURA Torre Control'!C109),IF('SURA Mesa 4'!C109&gt;1,'SURA Mesa 4'!C109/100,'SURA Mesa 4'!C109),IF('BCO Gioti 1'!C109&gt;1,'BCO Gioti 1'!C109/100,'BCO Gioti 1'!C109),IF('BCO Gioti 2'!C109&gt;1,'BCO Gioti 2'!C109/100,'BCO Gioti 2'!C109),IF('BCO Gioti 3'!C109&gt;1,'BCO Gioti 3'!C109/100,'BCO Gioti 3'!C109),IF('BCO Gioti 4'!C109&gt;1,'BCO Gioti 4'!C109/100,'BCO Gioti 4'!C109),IF(AES!C109&gt;1,AES!C109/100,AES!C109),IF(XM!C109&gt;1,XM!C109/100,XM!C109),IF(MEDICARTE!C109&gt;1,MEDICARTE!C109/100,MEDICARTE!C109)),0)</f>
        <v>0</v>
      </c>
      <c r="E56" s="91"/>
      <c r="F56" s="91"/>
      <c r="G56" s="91"/>
      <c r="H56" s="91"/>
      <c r="I56" s="91"/>
      <c r="J56" s="91"/>
      <c r="K56" s="91"/>
      <c r="L56" s="91"/>
      <c r="M56" s="91"/>
      <c r="N56" s="91"/>
      <c r="O56" s="91"/>
      <c r="P56" s="91"/>
      <c r="Q56" s="91"/>
      <c r="R56" s="91"/>
      <c r="S56" s="91"/>
      <c r="T56" s="91"/>
      <c r="U56" s="91"/>
      <c r="V56" s="91"/>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c r="BO56"/>
      <c r="BP56"/>
      <c r="BQ56"/>
    </row>
    <row r="57" spans="1:69" ht="15">
      <c r="A57" s="91" t="s">
        <v>257</v>
      </c>
      <c r="B57" s="100">
        <f>20%</f>
        <v>0.2</v>
      </c>
      <c r="C57" s="100">
        <f>40%</f>
        <v>0.4</v>
      </c>
      <c r="D57" s="100">
        <f>IFERROR(AVERAGE(IF('SURA Cotizadores'!C62&gt;1,'SURA Cotizadores'!C62/100,'SURA Cotizadores'!C62),IF('SURA Venta Digital'!C62&gt;1,'SURA Venta Digital'!C62/100,'SURA Venta Digital'!C62),IF('SURA Torre Control'!C62&gt;1,'SURA Torre Control'!C62/100,'SURA Torre Control'!C62),IF('SURA Mesa 4'!C62&gt;1,'SURA Mesa 4'!C62/100,'SURA Mesa 4'!C62),IF('BCO Gioti 1'!C62&gt;1,'BCO Gioti 1'!C62/100,'BCO Gioti 1'!C62),IF('BCO Gioti 2'!C62&gt;1,'BCO Gioti 2'!C62/100,'BCO Gioti 2'!C62),IF('BCO Gioti 3'!C62&gt;1,'BCO Gioti 3'!C62/100,'BCO Gioti 3'!C62),IF('BCO Gioti 4'!C62&gt;1,'BCO Gioti 4'!C62/100,'BCO Gioti 4'!C62),IF(AES!C62&gt;1,AES!C62/100,AES!C62),IF(XM!C62&gt;1,XM!C62/100,XM!C62),IF(MEDICARTE!C62&gt;1,MEDICARTE!C62/100,MEDICARTE!C62)),0)</f>
        <v>7.9999999999999988E-2</v>
      </c>
      <c r="E57" s="91"/>
      <c r="F57" s="91"/>
      <c r="G57" s="91"/>
      <c r="H57" s="91"/>
      <c r="I57" s="91"/>
      <c r="J57" s="91"/>
      <c r="K57" s="91"/>
      <c r="L57" s="91"/>
      <c r="M57" s="91"/>
      <c r="N57" s="91"/>
      <c r="O57" s="91"/>
      <c r="P57" s="91"/>
      <c r="Q57" s="91"/>
      <c r="R57" s="91"/>
      <c r="S57" s="91"/>
      <c r="T57" s="91"/>
      <c r="U57" s="91"/>
      <c r="V57" s="91"/>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c r="BO57"/>
      <c r="BP57"/>
      <c r="BQ57"/>
    </row>
    <row r="58" spans="1:69" ht="15">
      <c r="A58" s="91" t="s">
        <v>258</v>
      </c>
      <c r="B58" s="91">
        <f>15</f>
        <v>15</v>
      </c>
      <c r="C58" s="91">
        <f>8</f>
        <v>8</v>
      </c>
      <c r="D58" s="91">
        <f>IFERROR(AVERAGE('SURA Cotizadores'!C60,'SURA Venta Digital'!C60,'SURA Torre Control'!C60,'SURA Mesa 4'!C60,'BCO Gioti 1'!C60,'BCO Gioti 2'!C60,'BCO Gioti 3'!C60,'BCO Gioti 4'!C60,AES!C60,XM!C60,MEDICARTE!C60),0)</f>
        <v>0</v>
      </c>
      <c r="E58" s="91"/>
      <c r="F58" s="91"/>
      <c r="G58" s="91"/>
      <c r="H58" s="91"/>
      <c r="I58" s="91"/>
      <c r="J58" s="91"/>
      <c r="K58" s="91"/>
      <c r="L58" s="91"/>
      <c r="M58" s="91"/>
      <c r="N58" s="91"/>
      <c r="O58" s="91"/>
      <c r="P58" s="91"/>
      <c r="Q58" s="91"/>
      <c r="R58" s="91"/>
      <c r="S58" s="91"/>
      <c r="T58" s="91"/>
      <c r="U58" s="91"/>
      <c r="V58" s="91"/>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row>
    <row r="59" spans="1:69" ht="15">
      <c r="A59"/>
      <c r="B59"/>
      <c r="C59"/>
      <c r="D59"/>
      <c r="E59"/>
      <c r="F59"/>
      <c r="G59"/>
      <c r="H59"/>
      <c r="I59"/>
      <c r="J59"/>
      <c r="K59"/>
      <c r="L59"/>
      <c r="M59"/>
      <c r="N59"/>
      <c r="O59"/>
      <c r="P59"/>
      <c r="Q59"/>
      <c r="R59"/>
      <c r="S59"/>
      <c r="T59"/>
      <c r="U59"/>
      <c r="V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row>
    <row r="60" spans="1:69" ht="15">
      <c r="A60"/>
      <c r="B60"/>
      <c r="C60"/>
      <c r="D60"/>
      <c r="E60"/>
      <c r="F60"/>
      <c r="G60"/>
      <c r="H60"/>
      <c r="I60"/>
      <c r="J60"/>
      <c r="K60"/>
      <c r="L60"/>
      <c r="M60"/>
      <c r="N60"/>
      <c r="O60"/>
      <c r="P60"/>
      <c r="Q60"/>
      <c r="R60"/>
      <c r="S60"/>
      <c r="T60"/>
      <c r="U60"/>
      <c r="V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row>
    <row r="61" spans="1:69" ht="15">
      <c r="A61"/>
      <c r="B61"/>
      <c r="C61"/>
      <c r="D61"/>
      <c r="E61"/>
      <c r="F61"/>
      <c r="G61"/>
      <c r="H61"/>
      <c r="I61"/>
      <c r="J61"/>
      <c r="K61"/>
      <c r="L61"/>
      <c r="M61"/>
      <c r="N61"/>
      <c r="O61"/>
      <c r="P61"/>
      <c r="Q61"/>
      <c r="R61"/>
      <c r="S61"/>
      <c r="T61"/>
      <c r="U61"/>
      <c r="V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row>
    <row r="62" spans="1:69" ht="15">
      <c r="A62"/>
      <c r="B62"/>
      <c r="C62"/>
      <c r="D62"/>
      <c r="E62"/>
      <c r="F62"/>
      <c r="G62"/>
      <c r="H62"/>
      <c r="I62"/>
      <c r="J62"/>
      <c r="K62"/>
      <c r="L62"/>
      <c r="M62"/>
      <c r="N62"/>
      <c r="O62"/>
      <c r="P62"/>
      <c r="Q62"/>
      <c r="R62"/>
      <c r="S62"/>
      <c r="T62"/>
      <c r="U62"/>
      <c r="V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row>
    <row r="63" spans="1:69" ht="15">
      <c r="A63"/>
      <c r="B63"/>
      <c r="C63"/>
      <c r="D63"/>
      <c r="E63"/>
      <c r="F63"/>
      <c r="G63"/>
      <c r="H63"/>
      <c r="I63"/>
      <c r="J63"/>
      <c r="K63"/>
      <c r="L63"/>
      <c r="M63"/>
      <c r="N63"/>
      <c r="O63"/>
      <c r="P63"/>
      <c r="Q63"/>
      <c r="R63"/>
      <c r="S63"/>
      <c r="T63"/>
      <c r="U63"/>
      <c r="V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row>
    <row r="64" spans="1:69" ht="15">
      <c r="A64"/>
      <c r="B64"/>
      <c r="C64"/>
      <c r="D64"/>
      <c r="E64"/>
      <c r="F64"/>
      <c r="G64"/>
      <c r="H64"/>
      <c r="I64"/>
      <c r="J64"/>
      <c r="K64"/>
      <c r="L64"/>
      <c r="M64"/>
      <c r="N64"/>
      <c r="O64"/>
      <c r="P64"/>
      <c r="Q64"/>
      <c r="R64"/>
      <c r="S64"/>
      <c r="T64"/>
      <c r="U64"/>
      <c r="V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row>
    <row r="65" spans="1:69" ht="15">
      <c r="A65"/>
      <c r="B65"/>
      <c r="C65"/>
      <c r="D65"/>
      <c r="E65"/>
      <c r="F65"/>
      <c r="G65"/>
      <c r="H65"/>
      <c r="I65"/>
      <c r="J65"/>
      <c r="K65"/>
      <c r="L65"/>
      <c r="M65"/>
      <c r="N65"/>
      <c r="O65"/>
      <c r="P65"/>
      <c r="Q65"/>
      <c r="R65"/>
      <c r="S65"/>
      <c r="T65"/>
      <c r="U65"/>
      <c r="V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row>
    <row r="66" spans="1:69" ht="15">
      <c r="A66"/>
      <c r="B66"/>
      <c r="C66"/>
      <c r="D66"/>
      <c r="E66"/>
      <c r="F66"/>
      <c r="G66"/>
      <c r="H66"/>
      <c r="I66"/>
      <c r="J66"/>
      <c r="K66"/>
      <c r="L66"/>
      <c r="M66"/>
      <c r="N66"/>
      <c r="O66"/>
      <c r="P66"/>
      <c r="Q66"/>
      <c r="R66"/>
      <c r="S66"/>
      <c r="T66"/>
      <c r="U66"/>
      <c r="V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row>
    <row r="67" spans="1:69" ht="15">
      <c r="A67"/>
      <c r="B67"/>
      <c r="C67"/>
      <c r="D67"/>
      <c r="E67"/>
      <c r="F67"/>
      <c r="G67"/>
      <c r="H67"/>
      <c r="I67"/>
      <c r="J67"/>
      <c r="K67"/>
      <c r="L67"/>
      <c r="M67"/>
      <c r="N67"/>
      <c r="O67"/>
      <c r="P67"/>
      <c r="Q67"/>
      <c r="R67"/>
      <c r="S67"/>
      <c r="T67"/>
      <c r="U67"/>
      <c r="V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row>
    <row r="68" spans="1:69" ht="15">
      <c r="A68"/>
      <c r="B68"/>
      <c r="C68"/>
      <c r="D68"/>
      <c r="E68"/>
      <c r="F68"/>
      <c r="G68"/>
      <c r="H68"/>
      <c r="I68"/>
      <c r="J68"/>
      <c r="K68"/>
      <c r="L68"/>
      <c r="M68"/>
      <c r="N68"/>
      <c r="O68"/>
      <c r="P68"/>
      <c r="Q68"/>
      <c r="R68"/>
      <c r="S68"/>
      <c r="T68"/>
      <c r="U68"/>
      <c r="V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row>
    <row r="69" spans="1:69" ht="15">
      <c r="A69"/>
      <c r="B69"/>
      <c r="C69"/>
      <c r="D69"/>
      <c r="E69"/>
      <c r="F69"/>
      <c r="G69"/>
      <c r="H69"/>
      <c r="I69"/>
      <c r="J69"/>
      <c r="K69"/>
      <c r="L69"/>
      <c r="M69"/>
      <c r="N69"/>
      <c r="O69"/>
      <c r="P69"/>
      <c r="Q69"/>
      <c r="R69"/>
      <c r="S69"/>
      <c r="T69"/>
      <c r="U69"/>
      <c r="V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row>
    <row r="70" spans="1:69" ht="15">
      <c r="A70"/>
      <c r="B70"/>
      <c r="C70"/>
      <c r="D70"/>
      <c r="E70"/>
      <c r="F70"/>
      <c r="G70"/>
      <c r="H70"/>
      <c r="I70"/>
      <c r="J70"/>
      <c r="K70"/>
      <c r="L70"/>
      <c r="M70"/>
      <c r="N70"/>
      <c r="O70"/>
      <c r="P70"/>
      <c r="Q70"/>
      <c r="R70"/>
      <c r="S70"/>
      <c r="T70"/>
      <c r="U70"/>
      <c r="V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row>
    <row r="71" spans="1:69" ht="15">
      <c r="A71"/>
      <c r="B71"/>
      <c r="C71"/>
      <c r="D71"/>
      <c r="E71"/>
      <c r="F71"/>
      <c r="G71"/>
      <c r="H71"/>
      <c r="I71"/>
      <c r="J71"/>
      <c r="K71"/>
      <c r="L71"/>
      <c r="M71"/>
      <c r="N71"/>
      <c r="O71"/>
      <c r="P71"/>
      <c r="Q71"/>
      <c r="R71"/>
      <c r="S71"/>
      <c r="T71"/>
      <c r="U71"/>
      <c r="V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row>
    <row r="72" spans="1:69" ht="15">
      <c r="A72"/>
      <c r="B72"/>
      <c r="C72"/>
      <c r="D72"/>
      <c r="E72"/>
      <c r="F72"/>
      <c r="G72"/>
      <c r="H72"/>
      <c r="I72"/>
      <c r="J72"/>
      <c r="K72"/>
      <c r="L72"/>
      <c r="M72"/>
      <c r="N72"/>
      <c r="O72"/>
      <c r="P72"/>
      <c r="Q72"/>
      <c r="R72"/>
      <c r="S72"/>
      <c r="T72"/>
      <c r="U72"/>
      <c r="V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row>
    <row r="73" spans="1:69" ht="15">
      <c r="A73"/>
      <c r="B73"/>
      <c r="C73"/>
      <c r="D73"/>
      <c r="E73"/>
      <c r="F73"/>
      <c r="G73"/>
      <c r="H73"/>
      <c r="I73"/>
      <c r="J73"/>
      <c r="K73"/>
      <c r="L73"/>
      <c r="M73"/>
      <c r="N73"/>
      <c r="O73"/>
      <c r="P73"/>
      <c r="Q73"/>
      <c r="R73"/>
      <c r="S73"/>
      <c r="T73"/>
      <c r="U73"/>
      <c r="V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row>
    <row r="74" spans="1:69" ht="15">
      <c r="A74"/>
      <c r="B74"/>
      <c r="C74"/>
      <c r="D74"/>
      <c r="E74"/>
      <c r="F74"/>
      <c r="G74"/>
      <c r="H74"/>
      <c r="I74"/>
      <c r="J74"/>
      <c r="K74"/>
      <c r="L74"/>
      <c r="M74"/>
      <c r="N74"/>
      <c r="O74"/>
      <c r="P74"/>
      <c r="Q74"/>
      <c r="R74"/>
      <c r="S74"/>
      <c r="T74"/>
      <c r="U74"/>
      <c r="V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row>
    <row r="75" spans="1:69" ht="15">
      <c r="A75"/>
      <c r="B75"/>
      <c r="C75"/>
      <c r="D75"/>
      <c r="E75"/>
      <c r="F75"/>
      <c r="G75"/>
      <c r="H75"/>
      <c r="I75"/>
      <c r="J75"/>
      <c r="K75"/>
      <c r="L75"/>
      <c r="M75"/>
      <c r="N75"/>
      <c r="O75"/>
      <c r="P75"/>
      <c r="Q75"/>
      <c r="R75"/>
      <c r="S75"/>
      <c r="T75"/>
      <c r="U75"/>
      <c r="V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row>
    <row r="76" spans="1:69" ht="15">
      <c r="A76"/>
      <c r="B76"/>
      <c r="C76"/>
      <c r="D76"/>
      <c r="E76"/>
      <c r="F76"/>
      <c r="G76"/>
      <c r="H76"/>
      <c r="I76"/>
      <c r="J76"/>
      <c r="K76"/>
      <c r="L76"/>
      <c r="M76"/>
      <c r="N76"/>
      <c r="O76"/>
      <c r="P76"/>
      <c r="Q76"/>
      <c r="R76"/>
      <c r="S76"/>
      <c r="T76"/>
      <c r="U76"/>
      <c r="V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row>
    <row r="77" spans="1:69" ht="15">
      <c r="A77"/>
      <c r="B77"/>
      <c r="C77"/>
      <c r="D77"/>
      <c r="E77"/>
      <c r="F77"/>
      <c r="G77"/>
      <c r="H77"/>
      <c r="I77"/>
      <c r="J77"/>
      <c r="K77"/>
      <c r="L77"/>
      <c r="M77"/>
      <c r="N77"/>
      <c r="O77"/>
      <c r="P77"/>
      <c r="Q77"/>
      <c r="R77"/>
      <c r="S77"/>
      <c r="T77"/>
      <c r="U77"/>
      <c r="V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row>
    <row r="78" spans="1:69" ht="15">
      <c r="A78"/>
      <c r="B78"/>
      <c r="C78"/>
      <c r="D78"/>
      <c r="E78"/>
      <c r="F78"/>
      <c r="G78"/>
      <c r="H78"/>
      <c r="I78"/>
      <c r="J78"/>
      <c r="K78"/>
      <c r="L78"/>
      <c r="M78"/>
      <c r="N78"/>
      <c r="O78"/>
      <c r="P78"/>
      <c r="Q78"/>
      <c r="R78"/>
      <c r="S78"/>
      <c r="T78"/>
      <c r="U78"/>
      <c r="V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row>
    <row r="79" spans="1:69" ht="15">
      <c r="A79"/>
      <c r="B79"/>
      <c r="C79"/>
      <c r="D79"/>
      <c r="E79"/>
      <c r="F79"/>
      <c r="G79"/>
      <c r="H79"/>
      <c r="I79"/>
      <c r="J79"/>
      <c r="K79"/>
      <c r="L79"/>
      <c r="M79"/>
      <c r="N79"/>
      <c r="O79"/>
      <c r="P79"/>
      <c r="Q79"/>
      <c r="R79"/>
      <c r="S79"/>
      <c r="T79"/>
      <c r="U79"/>
      <c r="V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row>
    <row r="80" spans="1:69" ht="15">
      <c r="A80"/>
      <c r="B80"/>
      <c r="C80"/>
      <c r="D80"/>
      <c r="E80"/>
      <c r="F80"/>
      <c r="G80"/>
      <c r="H80"/>
      <c r="I80"/>
      <c r="J80"/>
      <c r="K80"/>
      <c r="L80"/>
      <c r="M80"/>
      <c r="N80"/>
      <c r="O80"/>
      <c r="P80"/>
      <c r="Q80"/>
      <c r="R80"/>
      <c r="S80"/>
      <c r="T80"/>
      <c r="U80"/>
      <c r="V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5"/>
  <sheetViews>
    <sheetView showGridLines="0" topLeftCell="A9" zoomScaleNormal="100" workbookViewId="0">
      <selection activeCell="D53" sqref="D53"/>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197" t="s">
        <v>259</v>
      </c>
      <c r="C2" s="197"/>
      <c r="D2" s="197"/>
      <c r="E2" s="197"/>
      <c r="F2" s="197"/>
      <c r="G2" s="197"/>
      <c r="H2" s="197"/>
    </row>
    <row r="4" spans="2:18" ht="21.75" customHeight="1">
      <c r="B4" s="33" t="s">
        <v>260</v>
      </c>
      <c r="D4" s="33" t="s">
        <v>261</v>
      </c>
      <c r="F4" s="33" t="s">
        <v>262</v>
      </c>
      <c r="H4" s="33" t="s">
        <v>263</v>
      </c>
      <c r="J4" s="33" t="s">
        <v>264</v>
      </c>
      <c r="L4" s="33" t="s">
        <v>265</v>
      </c>
      <c r="N4" s="33" t="s">
        <v>266</v>
      </c>
      <c r="P4" s="33" t="s">
        <v>267</v>
      </c>
      <c r="R4" s="33" t="s">
        <v>268</v>
      </c>
    </row>
    <row r="5" spans="2:18" ht="19.5" customHeight="1">
      <c r="B5" s="34" t="s">
        <v>86</v>
      </c>
      <c r="D5" s="34" t="s">
        <v>63</v>
      </c>
      <c r="F5" s="34" t="s">
        <v>269</v>
      </c>
      <c r="H5" s="34" t="s">
        <v>270</v>
      </c>
      <c r="J5" s="34" t="s">
        <v>271</v>
      </c>
      <c r="L5" s="34" t="s">
        <v>272</v>
      </c>
      <c r="N5" s="34" t="s">
        <v>246</v>
      </c>
      <c r="P5" s="34" t="s">
        <v>269</v>
      </c>
      <c r="R5" s="34" t="s">
        <v>273</v>
      </c>
    </row>
    <row r="6" spans="2:18" ht="19.5" customHeight="1">
      <c r="B6" s="35" t="s">
        <v>89</v>
      </c>
      <c r="D6" s="35" t="s">
        <v>66</v>
      </c>
      <c r="F6" s="35" t="s">
        <v>274</v>
      </c>
      <c r="H6" s="35" t="s">
        <v>275</v>
      </c>
      <c r="J6" s="35" t="s">
        <v>276</v>
      </c>
      <c r="L6" s="35" t="s">
        <v>277</v>
      </c>
      <c r="N6" s="35" t="s">
        <v>278</v>
      </c>
      <c r="P6" s="35" t="s">
        <v>274</v>
      </c>
      <c r="R6" s="35" t="s">
        <v>93</v>
      </c>
    </row>
    <row r="7" spans="2:18" ht="19.5" customHeight="1">
      <c r="B7" s="34" t="s">
        <v>93</v>
      </c>
      <c r="D7" s="34" t="s">
        <v>69</v>
      </c>
      <c r="F7" s="34" t="s">
        <v>279</v>
      </c>
      <c r="H7" s="34" t="s">
        <v>280</v>
      </c>
      <c r="J7" s="34" t="s">
        <v>281</v>
      </c>
      <c r="L7" s="34" t="s">
        <v>282</v>
      </c>
      <c r="N7" s="34" t="s">
        <v>125</v>
      </c>
      <c r="P7" s="34" t="s">
        <v>279</v>
      </c>
      <c r="R7" s="34" t="s">
        <v>283</v>
      </c>
    </row>
    <row r="8" spans="2:18" ht="19.5" customHeight="1">
      <c r="B8" s="35" t="s">
        <v>97</v>
      </c>
      <c r="D8" s="35" t="s">
        <v>72</v>
      </c>
      <c r="H8" s="35" t="s">
        <v>284</v>
      </c>
      <c r="J8" s="35" t="s">
        <v>285</v>
      </c>
      <c r="N8" s="34" t="s">
        <v>124</v>
      </c>
      <c r="P8" s="34" t="s">
        <v>286</v>
      </c>
    </row>
    <row r="9" spans="2:18" ht="19.5" customHeight="1">
      <c r="D9" s="34" t="s">
        <v>75</v>
      </c>
      <c r="H9" s="34" t="s">
        <v>287</v>
      </c>
      <c r="J9" s="34" t="s">
        <v>288</v>
      </c>
      <c r="N9" s="35" t="s">
        <v>126</v>
      </c>
    </row>
    <row r="10" spans="2:18" ht="19.5" customHeight="1">
      <c r="D10" s="35" t="s">
        <v>78</v>
      </c>
    </row>
    <row r="17" spans="2:16" s="70" customFormat="1" ht="29.25" customHeight="1">
      <c r="B17" s="6" t="s">
        <v>289</v>
      </c>
      <c r="D17" s="6" t="s">
        <v>290</v>
      </c>
      <c r="F17" s="6" t="s">
        <v>291</v>
      </c>
      <c r="H17" s="6" t="s">
        <v>292</v>
      </c>
      <c r="J17" s="33" t="s">
        <v>293</v>
      </c>
      <c r="L17" s="6" t="s">
        <v>294</v>
      </c>
      <c r="N17" s="6" t="s">
        <v>295</v>
      </c>
      <c r="P17" s="6" t="s">
        <v>296</v>
      </c>
    </row>
    <row r="18" spans="2:16" ht="15">
      <c r="B18" s="98" t="s">
        <v>297</v>
      </c>
      <c r="D18" s="98" t="s">
        <v>298</v>
      </c>
      <c r="F18" s="98" t="s">
        <v>299</v>
      </c>
      <c r="H18" s="98" t="s">
        <v>300</v>
      </c>
      <c r="J18" s="98" t="s">
        <v>301</v>
      </c>
      <c r="L18" s="98" t="s">
        <v>302</v>
      </c>
      <c r="N18" s="98" t="s">
        <v>303</v>
      </c>
      <c r="P18" s="98" t="s">
        <v>304</v>
      </c>
    </row>
    <row r="19" spans="2:16" ht="15">
      <c r="B19" s="34" t="s">
        <v>305</v>
      </c>
      <c r="D19" s="34" t="s">
        <v>306</v>
      </c>
      <c r="F19" s="34" t="s">
        <v>307</v>
      </c>
      <c r="H19" s="34" t="s">
        <v>308</v>
      </c>
      <c r="J19" s="34" t="s">
        <v>309</v>
      </c>
      <c r="L19" s="34" t="s">
        <v>310</v>
      </c>
      <c r="N19" s="34" t="s">
        <v>311</v>
      </c>
      <c r="P19" s="34" t="s">
        <v>312</v>
      </c>
    </row>
    <row r="20" spans="2:16" ht="15">
      <c r="B20" s="35" t="s">
        <v>313</v>
      </c>
      <c r="D20" s="35" t="s">
        <v>314</v>
      </c>
      <c r="F20" s="35" t="s">
        <v>315</v>
      </c>
      <c r="H20" s="35" t="s">
        <v>316</v>
      </c>
      <c r="J20" s="35" t="s">
        <v>317</v>
      </c>
      <c r="L20" s="35" t="s">
        <v>318</v>
      </c>
      <c r="N20" s="35" t="s">
        <v>319</v>
      </c>
      <c r="P20" s="35" t="s">
        <v>320</v>
      </c>
    </row>
    <row r="21" spans="2:16" ht="15">
      <c r="B21" s="34" t="s">
        <v>321</v>
      </c>
      <c r="D21" s="34" t="s">
        <v>322</v>
      </c>
      <c r="F21" s="34" t="s">
        <v>323</v>
      </c>
      <c r="H21" s="34" t="s">
        <v>324</v>
      </c>
      <c r="J21" s="34" t="s">
        <v>325</v>
      </c>
      <c r="L21" s="34" t="s">
        <v>326</v>
      </c>
      <c r="N21" s="34" t="s">
        <v>327</v>
      </c>
      <c r="P21" s="34" t="s">
        <v>328</v>
      </c>
    </row>
    <row r="22" spans="2:16" ht="15">
      <c r="B22" s="35" t="s">
        <v>329</v>
      </c>
      <c r="D22" s="35" t="s">
        <v>330</v>
      </c>
      <c r="F22" s="35" t="s">
        <v>331</v>
      </c>
      <c r="H22" s="35" t="s">
        <v>332</v>
      </c>
      <c r="J22" s="35" t="s">
        <v>333</v>
      </c>
      <c r="L22" s="35" t="s">
        <v>334</v>
      </c>
      <c r="N22" s="35" t="s">
        <v>335</v>
      </c>
      <c r="P22" s="35" t="s">
        <v>336</v>
      </c>
    </row>
    <row r="23" spans="2:16" ht="15">
      <c r="B23" s="98" t="s">
        <v>337</v>
      </c>
      <c r="D23" s="98" t="s">
        <v>338</v>
      </c>
      <c r="F23" s="98" t="s">
        <v>339</v>
      </c>
      <c r="H23" s="98" t="s">
        <v>340</v>
      </c>
      <c r="J23" s="98" t="s">
        <v>341</v>
      </c>
      <c r="L23" s="98" t="s">
        <v>342</v>
      </c>
      <c r="N23" s="98" t="s">
        <v>343</v>
      </c>
      <c r="P23" s="98" t="s">
        <v>344</v>
      </c>
    </row>
    <row r="24" spans="2:16" ht="15">
      <c r="B24" s="34" t="s">
        <v>345</v>
      </c>
      <c r="D24" s="34" t="s">
        <v>346</v>
      </c>
      <c r="F24" s="34" t="s">
        <v>347</v>
      </c>
      <c r="H24" s="34" t="s">
        <v>348</v>
      </c>
      <c r="J24" s="34" t="s">
        <v>349</v>
      </c>
      <c r="L24" s="34" t="s">
        <v>350</v>
      </c>
      <c r="N24" s="34" t="s">
        <v>351</v>
      </c>
      <c r="P24" s="34" t="s">
        <v>352</v>
      </c>
    </row>
    <row r="25" spans="2:16" ht="15">
      <c r="B25" s="35" t="s">
        <v>353</v>
      </c>
      <c r="D25" s="35" t="s">
        <v>354</v>
      </c>
      <c r="F25" s="35" t="s">
        <v>355</v>
      </c>
      <c r="H25" s="35" t="s">
        <v>356</v>
      </c>
      <c r="J25" s="35" t="s">
        <v>357</v>
      </c>
      <c r="L25" s="35" t="s">
        <v>358</v>
      </c>
      <c r="N25" s="35" t="s">
        <v>359</v>
      </c>
      <c r="P25" s="35" t="s">
        <v>360</v>
      </c>
    </row>
    <row r="26" spans="2:16" ht="15">
      <c r="B26" s="34" t="s">
        <v>361</v>
      </c>
      <c r="D26" s="34" t="s">
        <v>362</v>
      </c>
      <c r="F26" s="34" t="s">
        <v>363</v>
      </c>
      <c r="H26" s="34" t="s">
        <v>364</v>
      </c>
      <c r="J26" s="34" t="s">
        <v>365</v>
      </c>
      <c r="L26" s="34" t="s">
        <v>366</v>
      </c>
      <c r="N26" s="34" t="s">
        <v>367</v>
      </c>
      <c r="P26" s="34" t="s">
        <v>368</v>
      </c>
    </row>
    <row r="27" spans="2:16" ht="15">
      <c r="B27" s="35" t="s">
        <v>369</v>
      </c>
      <c r="D27" s="35" t="s">
        <v>370</v>
      </c>
      <c r="F27" s="35" t="s">
        <v>371</v>
      </c>
      <c r="H27" s="35" t="s">
        <v>372</v>
      </c>
      <c r="J27" s="35" t="s">
        <v>373</v>
      </c>
      <c r="L27" s="35" t="s">
        <v>374</v>
      </c>
      <c r="N27" s="35" t="s">
        <v>375</v>
      </c>
      <c r="P27" s="35" t="s">
        <v>376</v>
      </c>
    </row>
    <row r="28" spans="2:16" ht="15">
      <c r="B28" s="98" t="s">
        <v>377</v>
      </c>
      <c r="D28" s="98" t="s">
        <v>378</v>
      </c>
      <c r="F28" s="98" t="s">
        <v>379</v>
      </c>
      <c r="H28" s="98" t="s">
        <v>380</v>
      </c>
      <c r="J28" s="98" t="s">
        <v>381</v>
      </c>
      <c r="L28" s="98" t="s">
        <v>382</v>
      </c>
      <c r="N28" s="98" t="s">
        <v>383</v>
      </c>
      <c r="P28" s="98" t="s">
        <v>384</v>
      </c>
    </row>
    <row r="29" spans="2:16" ht="15">
      <c r="B29" s="34" t="s">
        <v>385</v>
      </c>
      <c r="D29" s="34" t="s">
        <v>386</v>
      </c>
      <c r="F29" s="34" t="s">
        <v>387</v>
      </c>
      <c r="H29" s="34" t="s">
        <v>388</v>
      </c>
      <c r="J29" s="34" t="s">
        <v>389</v>
      </c>
      <c r="L29" s="34" t="s">
        <v>390</v>
      </c>
      <c r="N29" s="34" t="s">
        <v>391</v>
      </c>
      <c r="P29" s="34" t="s">
        <v>392</v>
      </c>
    </row>
    <row r="30" spans="2:16" ht="15">
      <c r="B30" s="35" t="s">
        <v>393</v>
      </c>
      <c r="D30" s="35" t="s">
        <v>394</v>
      </c>
      <c r="F30" s="35" t="s">
        <v>395</v>
      </c>
      <c r="H30" s="35" t="s">
        <v>396</v>
      </c>
      <c r="J30" s="35" t="s">
        <v>397</v>
      </c>
      <c r="L30" s="35" t="s">
        <v>398</v>
      </c>
      <c r="N30" s="35" t="s">
        <v>399</v>
      </c>
      <c r="P30" s="35" t="s">
        <v>400</v>
      </c>
    </row>
    <row r="31" spans="2:16" ht="15">
      <c r="B31" s="34" t="s">
        <v>401</v>
      </c>
      <c r="D31" s="34" t="s">
        <v>402</v>
      </c>
      <c r="F31" s="34" t="s">
        <v>403</v>
      </c>
      <c r="H31" s="34" t="s">
        <v>404</v>
      </c>
      <c r="J31" s="34" t="s">
        <v>405</v>
      </c>
      <c r="L31" s="34" t="s">
        <v>406</v>
      </c>
      <c r="N31" s="34" t="s">
        <v>407</v>
      </c>
      <c r="P31" s="34" t="s">
        <v>408</v>
      </c>
    </row>
    <row r="32" spans="2:16" ht="15">
      <c r="B32" s="35" t="s">
        <v>409</v>
      </c>
      <c r="D32" s="35" t="s">
        <v>410</v>
      </c>
      <c r="F32" s="35" t="s">
        <v>411</v>
      </c>
      <c r="H32" s="35" t="s">
        <v>412</v>
      </c>
      <c r="J32" s="35" t="s">
        <v>413</v>
      </c>
      <c r="L32" s="35" t="s">
        <v>414</v>
      </c>
      <c r="N32" s="98" t="s">
        <v>415</v>
      </c>
      <c r="P32" s="98" t="s">
        <v>416</v>
      </c>
    </row>
    <row r="33" spans="2:16" ht="15">
      <c r="B33" s="98"/>
      <c r="D33" s="98"/>
      <c r="F33" s="98"/>
      <c r="H33" s="98"/>
      <c r="J33" s="98"/>
      <c r="L33" s="98"/>
      <c r="N33" s="34"/>
      <c r="P33" s="34"/>
    </row>
    <row r="34" spans="2:16" ht="15">
      <c r="B34" s="34"/>
      <c r="D34" s="34"/>
      <c r="F34" s="34"/>
      <c r="H34" s="34"/>
      <c r="J34" s="34"/>
      <c r="L34" s="98"/>
      <c r="N34" s="35"/>
      <c r="P34" s="35"/>
    </row>
    <row r="35" spans="2:16" ht="15">
      <c r="B35" s="35"/>
      <c r="D35" s="35"/>
      <c r="F35" s="98"/>
      <c r="H35" s="98"/>
      <c r="J35" s="98"/>
      <c r="L35" s="35"/>
      <c r="N35" s="34"/>
      <c r="P35" s="34"/>
    </row>
    <row r="36" spans="2:16" ht="15">
      <c r="B36" s="34"/>
      <c r="D36" s="34"/>
      <c r="F36" s="34"/>
      <c r="H36" s="34"/>
      <c r="J36" s="34"/>
      <c r="L36" s="34"/>
      <c r="N36" s="34"/>
      <c r="P36" s="34"/>
    </row>
    <row r="37" spans="2:16" ht="15">
      <c r="B37" s="35"/>
      <c r="D37" s="35"/>
      <c r="F37" s="35"/>
      <c r="H37" s="35"/>
      <c r="J37" s="35"/>
      <c r="L37" s="35"/>
      <c r="N37" s="35"/>
      <c r="P37" s="35"/>
    </row>
    <row r="41" spans="2:16" ht="33">
      <c r="B41" s="6" t="s">
        <v>417</v>
      </c>
      <c r="D41" s="6" t="s">
        <v>418</v>
      </c>
      <c r="F41" s="6" t="s">
        <v>419</v>
      </c>
      <c r="H41" s="6" t="s">
        <v>420</v>
      </c>
      <c r="J41" s="6" t="s">
        <v>421</v>
      </c>
    </row>
    <row r="42" spans="2:16" ht="15">
      <c r="B42" s="34" t="s">
        <v>422</v>
      </c>
      <c r="D42" s="1" t="s">
        <v>423</v>
      </c>
      <c r="F42" s="1" t="s">
        <v>422</v>
      </c>
      <c r="H42" s="1" t="s">
        <v>424</v>
      </c>
      <c r="J42" s="1" t="s">
        <v>425</v>
      </c>
    </row>
    <row r="43" spans="2:16" ht="15">
      <c r="B43" s="34" t="s">
        <v>426</v>
      </c>
      <c r="D43" s="1" t="s">
        <v>427</v>
      </c>
      <c r="F43" s="1" t="s">
        <v>428</v>
      </c>
      <c r="H43" s="1" t="s">
        <v>429</v>
      </c>
      <c r="J43" s="1" t="s">
        <v>430</v>
      </c>
    </row>
    <row r="44" spans="2:16" ht="15">
      <c r="B44" s="35" t="s">
        <v>431</v>
      </c>
      <c r="D44" s="1" t="s">
        <v>432</v>
      </c>
      <c r="F44" s="1" t="s">
        <v>433</v>
      </c>
      <c r="H44" s="1" t="s">
        <v>434</v>
      </c>
      <c r="J44" s="1" t="s">
        <v>435</v>
      </c>
    </row>
    <row r="45" spans="2:16" ht="15">
      <c r="B45" s="34" t="s">
        <v>436</v>
      </c>
      <c r="D45" s="1" t="s">
        <v>437</v>
      </c>
      <c r="F45" s="1" t="s">
        <v>438</v>
      </c>
      <c r="H45" s="1" t="s">
        <v>439</v>
      </c>
      <c r="J45" s="1" t="s">
        <v>440</v>
      </c>
    </row>
    <row r="46" spans="2:16" ht="15">
      <c r="D46" s="1" t="s">
        <v>441</v>
      </c>
      <c r="F46" s="1" t="s">
        <v>442</v>
      </c>
      <c r="J46" s="1" t="s">
        <v>443</v>
      </c>
    </row>
    <row r="47" spans="2:16" ht="15">
      <c r="F47" s="1" t="s">
        <v>444</v>
      </c>
    </row>
    <row r="48" spans="2:16" ht="15">
      <c r="F48" s="1" t="s">
        <v>445</v>
      </c>
    </row>
    <row r="49" spans="2:6" ht="16.5">
      <c r="B49" s="6" t="s">
        <v>446</v>
      </c>
      <c r="F49" s="1" t="s">
        <v>447</v>
      </c>
    </row>
    <row r="50" spans="2:6">
      <c r="B50" s="1" t="s">
        <v>448</v>
      </c>
    </row>
    <row r="51" spans="2:6">
      <c r="B51" s="1" t="s">
        <v>449</v>
      </c>
    </row>
    <row r="52" spans="2:6">
      <c r="B52" s="1" t="s">
        <v>450</v>
      </c>
    </row>
    <row r="53" spans="2:6">
      <c r="B53" s="1" t="s">
        <v>451</v>
      </c>
    </row>
    <row r="54" spans="2:6">
      <c r="B54" s="1" t="s">
        <v>452</v>
      </c>
    </row>
    <row r="55" spans="2:6">
      <c r="B55" s="1" t="s">
        <v>453</v>
      </c>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186"/>
  <sheetViews>
    <sheetView showGridLines="0" tabSelected="1" zoomScaleNormal="100" workbookViewId="0">
      <pane xSplit="2" ySplit="1" topLeftCell="C13" activePane="bottomRight" state="frozen"/>
      <selection pane="bottomRight" activeCell="C97" sqref="C97"/>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34.28515625" style="1" customWidth="1"/>
    <col min="6" max="6" width="20" style="1" customWidth="1"/>
    <col min="7" max="7" width="31.42578125" style="1" customWidth="1"/>
    <col min="8" max="8" width="8.5703125" style="1"/>
    <col min="9" max="9" width="38.42578125" style="1" bestFit="1" customWidth="1"/>
    <col min="10" max="10" width="27.42578125" style="1" bestFit="1" customWidth="1"/>
    <col min="11" max="11" width="109.5703125" style="1" bestFit="1" customWidth="1"/>
    <col min="12" max="16384" width="8.5703125" style="1"/>
  </cols>
  <sheetData>
    <row r="1" spans="2:11" ht="30" customHeight="1">
      <c r="B1" s="211" t="s">
        <v>454</v>
      </c>
      <c r="C1" s="211"/>
      <c r="D1" s="211"/>
      <c r="E1" s="211"/>
      <c r="F1" s="211"/>
      <c r="G1" s="211"/>
    </row>
    <row r="2" spans="2:11" ht="18" customHeight="1">
      <c r="B2" s="212" t="s">
        <v>455</v>
      </c>
      <c r="C2" s="212"/>
      <c r="D2" s="212"/>
      <c r="E2" s="212"/>
      <c r="F2" s="212"/>
      <c r="G2" s="212"/>
      <c r="I2" s="62" t="s">
        <v>60</v>
      </c>
      <c r="J2" s="62"/>
      <c r="K2" s="62"/>
    </row>
    <row r="3" spans="2:11" ht="24" customHeight="1">
      <c r="B3" s="203" t="s">
        <v>456</v>
      </c>
      <c r="C3" s="203"/>
      <c r="D3" s="203"/>
      <c r="E3" s="203"/>
      <c r="F3" s="203"/>
      <c r="G3" s="203"/>
      <c r="I3" s="6" t="s">
        <v>61</v>
      </c>
      <c r="J3" s="6" t="s">
        <v>62</v>
      </c>
      <c r="K3" s="6" t="s">
        <v>22</v>
      </c>
    </row>
    <row r="4" spans="2:11" ht="19.5" customHeight="1">
      <c r="B4" s="37" t="s">
        <v>457</v>
      </c>
      <c r="C4" s="207" t="s">
        <v>246</v>
      </c>
      <c r="D4" s="207"/>
      <c r="E4" s="207"/>
      <c r="I4" s="17" t="s">
        <v>63</v>
      </c>
      <c r="J4" s="18" t="s">
        <v>64</v>
      </c>
      <c r="K4" s="63" t="s">
        <v>65</v>
      </c>
    </row>
    <row r="5" spans="2:11" ht="19.5" customHeight="1">
      <c r="B5" s="37" t="s">
        <v>458</v>
      </c>
      <c r="C5" s="207" t="s">
        <v>459</v>
      </c>
      <c r="D5" s="207"/>
      <c r="E5" s="207"/>
      <c r="I5" s="19" t="s">
        <v>66</v>
      </c>
      <c r="J5" s="18" t="s">
        <v>67</v>
      </c>
      <c r="K5" s="63" t="s">
        <v>68</v>
      </c>
    </row>
    <row r="6" spans="2:11" ht="19.5" customHeight="1">
      <c r="B6" s="37" t="s">
        <v>460</v>
      </c>
      <c r="C6" s="207"/>
      <c r="D6" s="207"/>
      <c r="E6" s="207"/>
      <c r="I6" s="20" t="s">
        <v>69</v>
      </c>
      <c r="J6" s="18" t="s">
        <v>70</v>
      </c>
      <c r="K6" s="63" t="s">
        <v>71</v>
      </c>
    </row>
    <row r="7" spans="2:11" ht="19.5" customHeight="1">
      <c r="B7" s="37" t="s">
        <v>461</v>
      </c>
      <c r="C7" s="213">
        <v>46210</v>
      </c>
      <c r="D7" s="214"/>
      <c r="E7" s="214"/>
      <c r="I7" s="21" t="s">
        <v>72</v>
      </c>
      <c r="J7" s="18" t="s">
        <v>73</v>
      </c>
      <c r="K7" s="63" t="s">
        <v>74</v>
      </c>
    </row>
    <row r="8" spans="2:11" ht="19.5" customHeight="1">
      <c r="B8" s="37" t="s">
        <v>462</v>
      </c>
      <c r="C8" s="207" t="s">
        <v>463</v>
      </c>
      <c r="D8" s="207"/>
      <c r="E8" s="207"/>
      <c r="I8" s="22" t="s">
        <v>75</v>
      </c>
      <c r="J8" s="18" t="s">
        <v>76</v>
      </c>
      <c r="K8" s="63" t="s">
        <v>77</v>
      </c>
    </row>
    <row r="9" spans="2:11" ht="19.5" customHeight="1">
      <c r="B9" s="37" t="s">
        <v>464</v>
      </c>
      <c r="C9" s="207"/>
      <c r="D9" s="207"/>
      <c r="E9" s="207"/>
    </row>
    <row r="10" spans="2:11" ht="19.5" customHeight="1">
      <c r="B10" s="37" t="s">
        <v>465</v>
      </c>
      <c r="C10" s="215"/>
      <c r="D10" s="216"/>
      <c r="E10" s="216"/>
    </row>
    <row r="11" spans="2:11" ht="19.5" customHeight="1">
      <c r="B11" s="37" t="s">
        <v>466</v>
      </c>
      <c r="C11" s="207"/>
      <c r="D11" s="207"/>
      <c r="E11" s="207"/>
    </row>
    <row r="12" spans="2:11" ht="19.5" customHeight="1">
      <c r="B12" s="37" t="s">
        <v>467</v>
      </c>
      <c r="C12" s="207"/>
      <c r="D12" s="207"/>
      <c r="E12" s="207"/>
    </row>
    <row r="13" spans="2:11" ht="19.5" customHeight="1">
      <c r="B13" s="37" t="s">
        <v>468</v>
      </c>
      <c r="C13" s="38" t="s">
        <v>66</v>
      </c>
      <c r="D13" s="39" t="s">
        <v>469</v>
      </c>
    </row>
    <row r="14" spans="2:11" ht="19.5" customHeight="1">
      <c r="B14" s="37" t="s">
        <v>470</v>
      </c>
      <c r="C14" s="38" t="s">
        <v>66</v>
      </c>
      <c r="D14" s="39" t="s">
        <v>469</v>
      </c>
    </row>
    <row r="15" spans="2:11" ht="19.5" customHeight="1">
      <c r="B15" s="37" t="s">
        <v>471</v>
      </c>
      <c r="C15" s="207"/>
      <c r="D15" s="207"/>
      <c r="E15" s="207"/>
    </row>
    <row r="16" spans="2:11" ht="19.5" customHeight="1">
      <c r="B16" s="37" t="s">
        <v>472</v>
      </c>
      <c r="C16" s="207"/>
      <c r="D16" s="207"/>
      <c r="E16" s="207"/>
    </row>
    <row r="17" spans="2:7" ht="19.5" customHeight="1">
      <c r="B17" s="37" t="s">
        <v>473</v>
      </c>
      <c r="C17" s="207"/>
      <c r="D17" s="207"/>
      <c r="E17" s="207"/>
    </row>
    <row r="18" spans="2:7" ht="28.5" customHeight="1">
      <c r="B18" s="118" t="s">
        <v>474</v>
      </c>
      <c r="C18" s="208"/>
      <c r="D18" s="208"/>
      <c r="E18" s="208"/>
    </row>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t="s">
        <v>86</v>
      </c>
      <c r="E23" s="5"/>
      <c r="F23" s="36"/>
      <c r="G23" s="36"/>
    </row>
    <row r="24" spans="2:7" ht="27.75" customHeight="1">
      <c r="B24" s="41" t="s">
        <v>484</v>
      </c>
      <c r="C24" s="66" t="s">
        <v>485</v>
      </c>
      <c r="D24" s="26" t="s">
        <v>86</v>
      </c>
      <c r="E24" s="5"/>
      <c r="F24" s="36"/>
      <c r="G24" s="36"/>
    </row>
    <row r="25" spans="2:7" ht="27.75" customHeight="1">
      <c r="B25" s="40" t="s">
        <v>486</v>
      </c>
      <c r="C25" s="65" t="s">
        <v>487</v>
      </c>
      <c r="D25" s="26" t="s">
        <v>89</v>
      </c>
      <c r="E25" s="5"/>
      <c r="F25" s="36"/>
      <c r="G25" s="36"/>
    </row>
    <row r="26" spans="2:7" ht="27.75" customHeight="1">
      <c r="B26" s="41" t="s">
        <v>488</v>
      </c>
      <c r="C26" s="66" t="s">
        <v>489</v>
      </c>
      <c r="D26" s="26" t="s">
        <v>89</v>
      </c>
      <c r="E26" s="5"/>
      <c r="F26" s="36"/>
      <c r="G26" s="36"/>
    </row>
    <row r="27" spans="2:7" ht="27.75" customHeight="1">
      <c r="B27" s="40" t="s">
        <v>490</v>
      </c>
      <c r="C27" s="65" t="s">
        <v>491</v>
      </c>
      <c r="D27" s="26" t="s">
        <v>93</v>
      </c>
      <c r="E27" s="5"/>
      <c r="F27" s="36"/>
      <c r="G27" s="36"/>
    </row>
    <row r="29" spans="2:7" ht="21.75" customHeight="1">
      <c r="B29" s="204" t="s">
        <v>492</v>
      </c>
      <c r="C29" s="204"/>
      <c r="D29" s="204"/>
      <c r="E29" s="204"/>
      <c r="F29" s="204"/>
      <c r="G29" s="204"/>
    </row>
    <row r="30" spans="2:7" ht="27.75" customHeight="1">
      <c r="B30" s="41" t="s">
        <v>493</v>
      </c>
      <c r="C30" s="66" t="s">
        <v>494</v>
      </c>
      <c r="D30" s="26" t="s">
        <v>86</v>
      </c>
      <c r="E30" s="5"/>
      <c r="F30" s="36"/>
      <c r="G30" s="36"/>
    </row>
    <row r="31" spans="2:7" ht="27.75" customHeight="1">
      <c r="B31" s="40" t="s">
        <v>495</v>
      </c>
      <c r="C31" s="65" t="s">
        <v>496</v>
      </c>
      <c r="D31" s="26" t="s">
        <v>86</v>
      </c>
      <c r="E31" s="5"/>
      <c r="F31" s="36"/>
      <c r="G31" s="36"/>
    </row>
    <row r="32" spans="2:7" ht="57" customHeight="1">
      <c r="B32" s="41" t="s">
        <v>497</v>
      </c>
      <c r="C32" s="66" t="s">
        <v>498</v>
      </c>
      <c r="D32" s="26" t="s">
        <v>89</v>
      </c>
      <c r="E32" s="5"/>
      <c r="F32" s="36"/>
      <c r="G32" s="36"/>
    </row>
    <row r="33" spans="2:7" ht="43.5" customHeight="1">
      <c r="B33" s="40" t="s">
        <v>499</v>
      </c>
      <c r="C33" s="65" t="s">
        <v>500</v>
      </c>
      <c r="D33" s="26" t="s">
        <v>89</v>
      </c>
      <c r="E33" s="5"/>
      <c r="F33" s="36"/>
      <c r="G33" s="36"/>
    </row>
    <row r="34" spans="2:7" ht="50.25">
      <c r="B34" s="41" t="s">
        <v>501</v>
      </c>
      <c r="C34" s="66" t="s">
        <v>502</v>
      </c>
      <c r="D34" s="26" t="s">
        <v>93</v>
      </c>
      <c r="E34" s="5"/>
      <c r="F34" s="36"/>
      <c r="G34" s="36"/>
    </row>
    <row r="35" spans="2:7" ht="27.75" customHeight="1">
      <c r="B35" s="40" t="s">
        <v>503</v>
      </c>
      <c r="C35" s="65" t="s">
        <v>504</v>
      </c>
      <c r="D35" s="26" t="s">
        <v>93</v>
      </c>
      <c r="E35" s="5"/>
      <c r="F35" s="36"/>
      <c r="G35" s="36"/>
    </row>
    <row r="36" spans="2:7" ht="27.75" customHeight="1">
      <c r="B36" s="41" t="s">
        <v>505</v>
      </c>
      <c r="C36" s="66" t="s">
        <v>506</v>
      </c>
      <c r="D36" s="26" t="s">
        <v>89</v>
      </c>
      <c r="E36" s="5"/>
      <c r="F36" s="36"/>
      <c r="G36" s="36"/>
    </row>
    <row r="38" spans="2:7" ht="21.75" customHeight="1">
      <c r="B38" s="204" t="s">
        <v>507</v>
      </c>
      <c r="C38" s="204"/>
      <c r="D38" s="204"/>
      <c r="E38" s="204"/>
      <c r="F38" s="204"/>
      <c r="G38" s="204"/>
    </row>
    <row r="39" spans="2:7" ht="27.75" customHeight="1">
      <c r="B39" s="40" t="s">
        <v>508</v>
      </c>
      <c r="C39" s="65" t="s">
        <v>509</v>
      </c>
      <c r="D39" s="26" t="s">
        <v>86</v>
      </c>
      <c r="E39" s="5"/>
      <c r="F39" s="36"/>
      <c r="G39" s="36"/>
    </row>
    <row r="40" spans="2:7" ht="50.25">
      <c r="B40" s="41" t="s">
        <v>510</v>
      </c>
      <c r="C40" s="66" t="s">
        <v>511</v>
      </c>
      <c r="D40" s="26" t="s">
        <v>93</v>
      </c>
      <c r="E40" s="5"/>
      <c r="F40" s="36"/>
      <c r="G40" s="36"/>
    </row>
    <row r="41" spans="2:7" ht="27.75" customHeight="1">
      <c r="B41" s="40" t="s">
        <v>512</v>
      </c>
      <c r="C41" s="65" t="s">
        <v>513</v>
      </c>
      <c r="D41" s="26" t="s">
        <v>93</v>
      </c>
      <c r="E41" s="5"/>
      <c r="F41" s="36"/>
      <c r="G41" s="36"/>
    </row>
    <row r="43" spans="2:7" ht="21.75" customHeight="1">
      <c r="B43" s="204" t="s">
        <v>514</v>
      </c>
      <c r="C43" s="204"/>
      <c r="D43" s="204"/>
      <c r="E43" s="204"/>
      <c r="F43" s="204"/>
      <c r="G43" s="204"/>
    </row>
    <row r="44" spans="2:7" ht="27.75" customHeight="1">
      <c r="B44" s="41" t="s">
        <v>515</v>
      </c>
      <c r="C44" s="66" t="s">
        <v>516</v>
      </c>
      <c r="D44" s="26" t="s">
        <v>89</v>
      </c>
      <c r="E44" s="5"/>
      <c r="F44" s="36"/>
      <c r="G44" s="36"/>
    </row>
    <row r="45" spans="2:7" ht="27.75" customHeight="1">
      <c r="B45" s="40" t="s">
        <v>517</v>
      </c>
      <c r="C45" s="65" t="s">
        <v>518</v>
      </c>
      <c r="D45" s="26" t="s">
        <v>93</v>
      </c>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8</v>
      </c>
      <c r="E47" s="43">
        <f>D47/17</f>
        <v>0.47058823529411764</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3.25" customHeight="1">
      <c r="B65" s="206" t="s">
        <v>541</v>
      </c>
      <c r="C65" s="206"/>
      <c r="D65" s="206"/>
      <c r="E65" s="206"/>
      <c r="F65" s="206"/>
    </row>
    <row r="66" spans="2:6" ht="21.75" customHeight="1">
      <c r="B66" s="6" t="s">
        <v>542</v>
      </c>
      <c r="C66" s="6" t="s">
        <v>543</v>
      </c>
      <c r="D66" s="6" t="s">
        <v>544</v>
      </c>
      <c r="E66" s="6" t="s">
        <v>545</v>
      </c>
      <c r="F66" s="6" t="s">
        <v>546</v>
      </c>
    </row>
    <row r="67" spans="2:6" ht="20.2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555</v>
      </c>
      <c r="C76" s="104"/>
      <c r="D76" s="104"/>
      <c r="E76" s="104"/>
      <c r="F76" s="104"/>
    </row>
    <row r="77" spans="2:6" ht="21.75" customHeight="1">
      <c r="B77" s="6" t="s">
        <v>556</v>
      </c>
      <c r="C77" s="6" t="s">
        <v>522</v>
      </c>
      <c r="D77" s="6" t="s">
        <v>196</v>
      </c>
      <c r="E77" s="6" t="s">
        <v>557</v>
      </c>
      <c r="F77" s="6" t="s">
        <v>546</v>
      </c>
    </row>
    <row r="78" spans="2:6" ht="19.5" customHeight="1">
      <c r="B78" s="14" t="s">
        <v>558</v>
      </c>
      <c r="C78" s="45"/>
      <c r="D78" s="45"/>
      <c r="E78" s="45"/>
      <c r="F78" s="45"/>
    </row>
    <row r="79" spans="2:6" ht="19.5" customHeight="1">
      <c r="B79" s="16" t="s">
        <v>418</v>
      </c>
      <c r="C79" s="36"/>
      <c r="D79" s="36"/>
      <c r="E79" s="47"/>
      <c r="F79" s="47"/>
    </row>
    <row r="80" spans="2:6" ht="19.5" customHeight="1">
      <c r="B80" s="14" t="s">
        <v>419</v>
      </c>
      <c r="C80" s="45"/>
      <c r="D80" s="45"/>
      <c r="E80" s="45"/>
      <c r="F80" s="45"/>
    </row>
    <row r="81" spans="2:7" ht="19.5" customHeight="1">
      <c r="B81" s="16" t="s">
        <v>559</v>
      </c>
      <c r="C81" s="47"/>
      <c r="D81" s="47"/>
      <c r="E81" s="47"/>
      <c r="F81" s="47"/>
    </row>
    <row r="82" spans="2:7" ht="19.5" customHeight="1">
      <c r="B82" s="14" t="s">
        <v>560</v>
      </c>
      <c r="C82" s="45"/>
      <c r="D82" s="45"/>
      <c r="E82" s="45"/>
      <c r="F82" s="45"/>
    </row>
    <row r="83" spans="2:7" ht="19.5" customHeight="1">
      <c r="B83" s="16" t="s">
        <v>420</v>
      </c>
      <c r="C83" s="47"/>
      <c r="D83" s="47"/>
      <c r="E83" s="47"/>
      <c r="F83" s="47"/>
    </row>
    <row r="84" spans="2:7" ht="19.5" customHeight="1">
      <c r="B84" s="14" t="s">
        <v>421</v>
      </c>
      <c r="C84" s="45"/>
      <c r="D84" s="45"/>
      <c r="E84" s="45"/>
      <c r="F84" s="45"/>
    </row>
    <row r="86" spans="2:7" ht="24" customHeight="1">
      <c r="B86" s="203" t="s">
        <v>561</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t="s">
        <v>86</v>
      </c>
      <c r="D88" s="69" t="s">
        <v>568</v>
      </c>
      <c r="E88" s="49"/>
      <c r="F88" s="36"/>
      <c r="G88" s="5"/>
    </row>
    <row r="89" spans="2:7" ht="27.75" customHeight="1">
      <c r="B89" s="50" t="s">
        <v>569</v>
      </c>
      <c r="C89" s="26" t="s">
        <v>89</v>
      </c>
      <c r="D89" s="68" t="s">
        <v>570</v>
      </c>
      <c r="E89" s="49"/>
      <c r="F89" s="36"/>
      <c r="G89" s="5"/>
    </row>
    <row r="90" spans="2:7" ht="25.5" customHeight="1">
      <c r="B90" s="48" t="s">
        <v>571</v>
      </c>
      <c r="C90" s="26" t="s">
        <v>86</v>
      </c>
      <c r="D90" s="69" t="s">
        <v>572</v>
      </c>
      <c r="E90" s="49"/>
      <c r="F90" s="36"/>
      <c r="G90" s="5"/>
    </row>
    <row r="91" spans="2:7" ht="25.5" customHeight="1">
      <c r="B91" s="50" t="s">
        <v>573</v>
      </c>
      <c r="C91" s="26" t="s">
        <v>86</v>
      </c>
      <c r="D91" s="68" t="s">
        <v>574</v>
      </c>
      <c r="E91" s="49"/>
      <c r="F91" s="36"/>
      <c r="G91" s="5"/>
    </row>
    <row r="92" spans="2:7" ht="25.5" customHeight="1">
      <c r="B92" s="48" t="s">
        <v>575</v>
      </c>
      <c r="C92" s="26" t="s">
        <v>86</v>
      </c>
      <c r="D92" s="67" t="s">
        <v>576</v>
      </c>
      <c r="E92" s="49"/>
      <c r="F92" s="36"/>
      <c r="G92" s="5"/>
    </row>
    <row r="93" spans="2:7" ht="25.5" customHeight="1">
      <c r="B93" s="50" t="s">
        <v>577</v>
      </c>
      <c r="C93" s="26" t="s">
        <v>89</v>
      </c>
      <c r="D93" s="68" t="s">
        <v>578</v>
      </c>
      <c r="E93" s="49"/>
      <c r="F93" s="36"/>
      <c r="G93" s="5"/>
    </row>
    <row r="94" spans="2:7" ht="25.5" customHeight="1">
      <c r="B94" s="48" t="s">
        <v>579</v>
      </c>
      <c r="C94" s="26" t="s">
        <v>93</v>
      </c>
      <c r="D94" s="67" t="s">
        <v>580</v>
      </c>
      <c r="E94" s="49"/>
      <c r="F94" s="36"/>
      <c r="G94" s="5"/>
    </row>
    <row r="95" spans="2:7" ht="33" customHeight="1">
      <c r="B95" s="50" t="s">
        <v>581</v>
      </c>
      <c r="C95" s="26"/>
      <c r="D95" s="74" t="s">
        <v>582</v>
      </c>
      <c r="E95" s="49"/>
      <c r="F95" s="36"/>
      <c r="G95" s="5"/>
    </row>
    <row r="96" spans="2:7" ht="42.75" customHeight="1">
      <c r="B96" s="48" t="s">
        <v>583</v>
      </c>
      <c r="C96" s="26"/>
      <c r="D96" s="69" t="s">
        <v>584</v>
      </c>
      <c r="E96" s="49"/>
      <c r="F96" s="36"/>
      <c r="G96" s="5"/>
    </row>
    <row r="97" spans="2:7" ht="56.25" customHeight="1">
      <c r="B97" s="50" t="s">
        <v>585</v>
      </c>
      <c r="C97" s="26" t="s">
        <v>86</v>
      </c>
      <c r="D97" s="74" t="s">
        <v>586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t="s">
        <v>93</v>
      </c>
      <c r="D100" s="69" t="s">
        <v>592</v>
      </c>
      <c r="E100" s="49"/>
      <c r="F100" s="36"/>
      <c r="G100" s="5"/>
    </row>
    <row r="101" spans="2:7" ht="25.5" customHeight="1">
      <c r="B101" s="50" t="s">
        <v>593</v>
      </c>
      <c r="C101" s="26"/>
      <c r="D101" s="74" t="s">
        <v>594</v>
      </c>
      <c r="E101" s="49"/>
      <c r="F101" s="36"/>
      <c r="G101" s="5"/>
    </row>
    <row r="102" spans="2:7" ht="25.5" customHeight="1">
      <c r="B102" s="48" t="s">
        <v>595</v>
      </c>
      <c r="C102" s="26" t="s">
        <v>93</v>
      </c>
      <c r="D102" s="69" t="s">
        <v>596</v>
      </c>
      <c r="E102" s="49"/>
      <c r="F102" s="36"/>
      <c r="G102" s="5"/>
    </row>
    <row r="103" spans="2:7" ht="25.5" customHeight="1">
      <c r="B103" s="50" t="s">
        <v>597</v>
      </c>
      <c r="C103" s="26"/>
      <c r="D103" s="74" t="s">
        <v>598</v>
      </c>
      <c r="E103" s="49"/>
      <c r="F103" s="36"/>
      <c r="G103" s="5"/>
    </row>
    <row r="104" spans="2:7" ht="25.5" customHeight="1">
      <c r="B104" s="48" t="s">
        <v>599</v>
      </c>
      <c r="C104" s="26"/>
      <c r="D104" s="69" t="s">
        <v>600</v>
      </c>
      <c r="E104" s="49"/>
      <c r="F104" s="36"/>
      <c r="G104" s="5"/>
    </row>
    <row r="105" spans="2:7" ht="28.5" customHeight="1">
      <c r="B105" s="50" t="s">
        <v>601</v>
      </c>
      <c r="C105" s="26" t="s">
        <v>86</v>
      </c>
      <c r="D105" s="129" t="s">
        <v>602</v>
      </c>
      <c r="E105" s="49"/>
      <c r="F105" s="36"/>
      <c r="G105" s="5"/>
    </row>
    <row r="106" spans="2:7" ht="15"/>
    <row r="107" spans="2:7" ht="24" customHeight="1">
      <c r="B107" s="104" t="s">
        <v>603</v>
      </c>
      <c r="C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7" ht="21.75" customHeight="1">
      <c r="B113" s="13" t="s">
        <v>610</v>
      </c>
      <c r="C113" s="64"/>
    </row>
    <row r="114" spans="2:7" ht="21.75" customHeight="1">
      <c r="B114" s="15" t="s">
        <v>611</v>
      </c>
      <c r="C114" s="64"/>
    </row>
    <row r="115" spans="2:7" ht="21.75" customHeight="1">
      <c r="B115" s="131" t="s">
        <v>612</v>
      </c>
      <c r="C115" s="64"/>
    </row>
    <row r="116" spans="2:7" ht="21.75" customHeight="1">
      <c r="B116" s="132" t="s">
        <v>613</v>
      </c>
      <c r="C116" s="117"/>
      <c r="D116" s="117"/>
      <c r="E116" s="117"/>
      <c r="F116" s="117"/>
      <c r="G116" s="117"/>
    </row>
    <row r="117" spans="2:7" ht="15"/>
    <row r="118" spans="2:7" ht="24.75" customHeight="1">
      <c r="B118" s="105" t="s">
        <v>614</v>
      </c>
      <c r="C118" s="105"/>
      <c r="D118" s="105"/>
      <c r="E118" s="105"/>
      <c r="F118" s="105"/>
    </row>
    <row r="119" spans="2:7" ht="33" customHeight="1">
      <c r="B119" s="6" t="s">
        <v>615</v>
      </c>
      <c r="C119" s="6" t="s">
        <v>616</v>
      </c>
      <c r="D119" s="6" t="s">
        <v>617</v>
      </c>
      <c r="E119" s="6" t="s">
        <v>618</v>
      </c>
      <c r="F119" s="6" t="s">
        <v>267</v>
      </c>
    </row>
    <row r="120" spans="2:7" ht="16.5">
      <c r="B120" s="14" t="s">
        <v>619</v>
      </c>
      <c r="C120" s="99"/>
      <c r="D120" s="99"/>
      <c r="E120" s="14"/>
      <c r="F120" s="99"/>
    </row>
    <row r="121" spans="2:7" ht="16.5">
      <c r="B121" s="16" t="s">
        <v>620</v>
      </c>
      <c r="C121" s="99"/>
      <c r="D121" s="99"/>
      <c r="E121" s="16"/>
      <c r="F121" s="99"/>
    </row>
    <row r="122" spans="2:7" ht="16.5">
      <c r="B122" s="14" t="s">
        <v>621</v>
      </c>
      <c r="C122" s="99"/>
      <c r="D122" s="99"/>
      <c r="E122" s="14"/>
      <c r="F122" s="99"/>
    </row>
    <row r="123" spans="2:7" ht="16.5">
      <c r="B123" s="16" t="s">
        <v>622</v>
      </c>
      <c r="C123" s="99"/>
      <c r="D123" s="99"/>
      <c r="E123" s="16"/>
      <c r="F123" s="99"/>
    </row>
    <row r="124" spans="2:7" ht="50.25">
      <c r="B124" s="14" t="s">
        <v>623</v>
      </c>
      <c r="C124" s="99"/>
      <c r="D124" s="99"/>
      <c r="E124" s="14"/>
      <c r="F124" s="99"/>
    </row>
    <row r="125" spans="2:7" ht="33">
      <c r="B125" s="16" t="s">
        <v>624</v>
      </c>
      <c r="C125" s="99"/>
      <c r="D125" s="99"/>
      <c r="E125" s="16"/>
      <c r="F125" s="99"/>
    </row>
    <row r="126" spans="2:7" ht="16.5">
      <c r="B126" s="14" t="s">
        <v>625</v>
      </c>
      <c r="C126" s="99"/>
      <c r="D126" s="99"/>
      <c r="E126" s="14"/>
      <c r="F126" s="99"/>
    </row>
    <row r="127" spans="2:7" ht="16.5">
      <c r="B127" s="16" t="s">
        <v>626</v>
      </c>
      <c r="C127" s="99"/>
      <c r="D127" s="99"/>
      <c r="E127" s="16"/>
      <c r="F127" s="99"/>
    </row>
    <row r="128" spans="2:7" ht="16.5">
      <c r="B128" s="14" t="s">
        <v>627</v>
      </c>
      <c r="C128" s="99"/>
      <c r="D128" s="99"/>
      <c r="E128" s="14"/>
      <c r="F128" s="99"/>
    </row>
    <row r="129" spans="2:7" ht="16.5">
      <c r="B129" s="16" t="s">
        <v>628</v>
      </c>
      <c r="C129" s="99"/>
      <c r="D129" s="99"/>
      <c r="E129" s="16"/>
      <c r="F129" s="99"/>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639</v>
      </c>
      <c r="C141" s="203"/>
      <c r="D141" s="203"/>
      <c r="E141" s="203"/>
      <c r="F141" s="203"/>
      <c r="G141" s="203"/>
    </row>
    <row r="142" spans="2:7" ht="21.75" customHeight="1">
      <c r="B142" s="6" t="s">
        <v>640</v>
      </c>
      <c r="C142" s="209" t="s">
        <v>641</v>
      </c>
      <c r="D142" s="210"/>
      <c r="E142" s="210"/>
      <c r="F142" s="210"/>
      <c r="G142" s="210"/>
    </row>
    <row r="143" spans="2:7" ht="30" customHeight="1">
      <c r="B143" s="51" t="s">
        <v>642</v>
      </c>
      <c r="C143" s="198"/>
      <c r="D143" s="198"/>
      <c r="E143" s="198"/>
      <c r="F143" s="198"/>
      <c r="G143" s="198"/>
    </row>
    <row r="144" spans="2:7" ht="30" customHeight="1">
      <c r="B144" s="52" t="s">
        <v>643</v>
      </c>
      <c r="C144" s="198"/>
      <c r="D144" s="198"/>
      <c r="E144" s="198"/>
      <c r="F144" s="198"/>
      <c r="G144" s="198"/>
    </row>
    <row r="145" spans="2:12" ht="30" customHeight="1">
      <c r="B145" s="51" t="s">
        <v>644</v>
      </c>
      <c r="C145" s="198"/>
      <c r="D145" s="198"/>
      <c r="E145" s="198"/>
      <c r="F145" s="198"/>
      <c r="G145" s="198"/>
    </row>
    <row r="146" spans="2:12" ht="30" customHeight="1">
      <c r="B146" s="52" t="s">
        <v>645</v>
      </c>
      <c r="C146" s="198"/>
      <c r="D146" s="198"/>
      <c r="E146" s="198"/>
      <c r="F146" s="198"/>
      <c r="G146" s="198"/>
    </row>
    <row r="147" spans="2:12" ht="30" customHeight="1">
      <c r="B147" s="51" t="s">
        <v>646</v>
      </c>
      <c r="C147" s="198"/>
      <c r="D147" s="198"/>
      <c r="E147" s="198"/>
      <c r="F147" s="198"/>
      <c r="G147" s="198"/>
    </row>
    <row r="148" spans="2:12" ht="30" customHeight="1">
      <c r="B148" s="52" t="s">
        <v>647</v>
      </c>
      <c r="C148" s="198"/>
      <c r="D148" s="198"/>
      <c r="E148" s="198"/>
      <c r="F148" s="198"/>
      <c r="G148" s="198"/>
    </row>
    <row r="149" spans="2:12" ht="30" customHeight="1">
      <c r="B149" s="51" t="s">
        <v>648</v>
      </c>
      <c r="C149" s="198"/>
      <c r="D149" s="198"/>
      <c r="E149" s="198"/>
      <c r="F149" s="198"/>
      <c r="G149" s="198"/>
    </row>
    <row r="150" spans="2:12" ht="30" customHeight="1">
      <c r="B150" s="52" t="s">
        <v>649</v>
      </c>
      <c r="C150" s="201" t="s">
        <v>650</v>
      </c>
      <c r="D150" s="202"/>
      <c r="E150" s="202"/>
      <c r="F150" s="202"/>
      <c r="G150" s="202"/>
    </row>
    <row r="151" spans="2:12" ht="30" customHeight="1">
      <c r="B151" s="51" t="s">
        <v>651</v>
      </c>
      <c r="C151" s="198"/>
      <c r="D151" s="198"/>
      <c r="E151" s="198"/>
      <c r="F151" s="198"/>
      <c r="G151" s="198"/>
    </row>
    <row r="152" spans="2:12" ht="15">
      <c r="B152" s="231"/>
      <c r="C152" s="231"/>
      <c r="D152" s="231"/>
      <c r="E152" s="231"/>
      <c r="F152" s="231"/>
      <c r="G152" s="231"/>
      <c r="H152" s="231"/>
    </row>
    <row r="153" spans="2:12" ht="24" customHeight="1">
      <c r="B153" s="200" t="s">
        <v>652</v>
      </c>
      <c r="C153" s="200"/>
      <c r="D153" s="200"/>
      <c r="E153" s="200"/>
      <c r="F153" s="200"/>
      <c r="G153" s="200"/>
      <c r="H153" s="231"/>
      <c r="I153" s="133" t="s">
        <v>653</v>
      </c>
      <c r="J153" s="133" t="s">
        <v>654</v>
      </c>
      <c r="K153" s="133" t="s">
        <v>655</v>
      </c>
    </row>
    <row r="154" spans="2:12" ht="30.75">
      <c r="B154" s="92" t="s">
        <v>266</v>
      </c>
      <c r="C154" s="93"/>
      <c r="D154" s="92" t="s">
        <v>656</v>
      </c>
      <c r="E154" s="93"/>
      <c r="F154" s="92" t="s">
        <v>657</v>
      </c>
      <c r="G154" s="93"/>
      <c r="H154" s="231"/>
      <c r="I154" s="134" t="s">
        <v>658</v>
      </c>
      <c r="J154" s="123" t="s">
        <v>659</v>
      </c>
      <c r="K154" s="123" t="s">
        <v>660</v>
      </c>
      <c r="L154" s="231"/>
    </row>
    <row r="155" spans="2:12" ht="27">
      <c r="B155" s="94" t="s">
        <v>661</v>
      </c>
      <c r="C155" s="199"/>
      <c r="D155" s="199"/>
      <c r="E155" s="199"/>
      <c r="F155" s="199"/>
      <c r="G155" s="199"/>
      <c r="H155" s="231"/>
      <c r="I155" s="134" t="s">
        <v>662</v>
      </c>
      <c r="J155" s="123" t="s">
        <v>663</v>
      </c>
      <c r="K155" s="123" t="s">
        <v>664</v>
      </c>
      <c r="L155" s="231"/>
    </row>
    <row r="156" spans="2:12" ht="15">
      <c r="B156" s="92" t="s">
        <v>665</v>
      </c>
      <c r="C156" s="199"/>
      <c r="D156" s="199"/>
      <c r="E156" s="199"/>
      <c r="F156" s="199"/>
      <c r="G156" s="199"/>
      <c r="H156" s="231"/>
      <c r="I156" s="134" t="s">
        <v>666</v>
      </c>
      <c r="J156" s="123" t="s">
        <v>667</v>
      </c>
      <c r="K156" s="123" t="s">
        <v>668</v>
      </c>
      <c r="L156" s="231"/>
    </row>
    <row r="157" spans="2:12" ht="27">
      <c r="B157" s="94" t="s">
        <v>669</v>
      </c>
      <c r="C157" s="199"/>
      <c r="D157" s="199"/>
      <c r="E157" s="199"/>
      <c r="F157" s="199"/>
      <c r="G157" s="199"/>
      <c r="H157" s="231"/>
      <c r="I157" s="134" t="s">
        <v>670</v>
      </c>
      <c r="J157" s="123" t="s">
        <v>671</v>
      </c>
      <c r="K157" s="123" t="s">
        <v>672</v>
      </c>
      <c r="L157" s="231"/>
    </row>
    <row r="158" spans="2:12" ht="27">
      <c r="B158" s="92" t="s">
        <v>673</v>
      </c>
      <c r="C158" s="201" t="s">
        <v>674</v>
      </c>
      <c r="D158" s="202"/>
      <c r="E158" s="202"/>
      <c r="F158" s="202"/>
      <c r="G158" s="202"/>
      <c r="H158" s="231"/>
      <c r="I158" s="134" t="s">
        <v>675</v>
      </c>
      <c r="J158" s="123" t="s">
        <v>676</v>
      </c>
      <c r="K158" s="123" t="s">
        <v>677</v>
      </c>
      <c r="L158" s="231"/>
    </row>
    <row r="159" spans="2:12" ht="42" customHeight="1">
      <c r="B159" s="92" t="s">
        <v>678</v>
      </c>
      <c r="C159" s="199"/>
      <c r="D159" s="199"/>
      <c r="E159" s="199"/>
      <c r="F159" s="199"/>
      <c r="G159" s="199"/>
      <c r="H159" s="231"/>
      <c r="I159" s="134" t="s">
        <v>679</v>
      </c>
      <c r="J159" s="123" t="s">
        <v>680</v>
      </c>
      <c r="K159" s="123" t="s">
        <v>681</v>
      </c>
      <c r="L159" s="231"/>
    </row>
    <row r="160" spans="2:12" ht="30.75">
      <c r="B160" s="94" t="s">
        <v>682</v>
      </c>
      <c r="C160" s="93"/>
      <c r="D160" s="92" t="s">
        <v>683</v>
      </c>
      <c r="E160" s="93"/>
      <c r="F160" s="92" t="s">
        <v>684</v>
      </c>
      <c r="G160" s="93"/>
      <c r="H160" s="231"/>
      <c r="I160" s="134" t="s">
        <v>685</v>
      </c>
      <c r="J160" s="123" t="s">
        <v>686</v>
      </c>
      <c r="K160" s="123" t="s">
        <v>687</v>
      </c>
      <c r="L160" s="231"/>
    </row>
    <row r="161" spans="2:12" ht="42" customHeight="1">
      <c r="B161" s="92" t="s">
        <v>688</v>
      </c>
      <c r="C161" s="93"/>
      <c r="D161" s="92" t="s">
        <v>689</v>
      </c>
      <c r="E161" s="93"/>
      <c r="F161" s="92" t="s">
        <v>690</v>
      </c>
      <c r="G161" s="93"/>
      <c r="H161" s="231"/>
      <c r="I161" s="134" t="s">
        <v>691</v>
      </c>
      <c r="J161" s="123" t="s">
        <v>692</v>
      </c>
      <c r="K161" s="123" t="s">
        <v>693</v>
      </c>
      <c r="L161" s="231"/>
    </row>
    <row r="162" spans="2:12" ht="15">
      <c r="B162" s="94" t="s">
        <v>694</v>
      </c>
      <c r="C162" s="93"/>
      <c r="D162" s="92" t="s">
        <v>695</v>
      </c>
      <c r="E162" s="93"/>
      <c r="F162" s="92" t="s">
        <v>696</v>
      </c>
      <c r="G162" s="93"/>
      <c r="H162" s="231"/>
      <c r="L162" s="231"/>
    </row>
    <row r="163" spans="2:12" ht="15">
      <c r="B163" s="92" t="s">
        <v>697</v>
      </c>
      <c r="C163" s="199"/>
      <c r="D163" s="199"/>
      <c r="E163" s="199"/>
      <c r="F163" s="199"/>
      <c r="G163" s="199"/>
      <c r="H163" s="231"/>
      <c r="I163" s="231"/>
      <c r="J163" s="231"/>
      <c r="K163" s="231"/>
      <c r="L163" s="231"/>
    </row>
    <row r="164" spans="2:12" ht="30.75">
      <c r="B164" s="94" t="s">
        <v>698</v>
      </c>
      <c r="C164" s="199"/>
      <c r="D164" s="199"/>
      <c r="E164" s="199"/>
      <c r="F164" s="199"/>
      <c r="G164" s="199"/>
      <c r="H164" s="231"/>
    </row>
    <row r="165" spans="2:12" ht="45.75">
      <c r="B165" s="92" t="s">
        <v>699</v>
      </c>
      <c r="C165" s="199"/>
      <c r="D165" s="199"/>
      <c r="E165" s="199"/>
      <c r="F165" s="199"/>
      <c r="G165" s="199"/>
      <c r="H165" s="231"/>
    </row>
    <row r="166" spans="2:12" ht="15">
      <c r="B166" s="231"/>
      <c r="C166" s="231"/>
      <c r="D166" s="231"/>
      <c r="E166" s="231"/>
      <c r="F166" s="231"/>
      <c r="G166" s="231"/>
      <c r="H166" s="231"/>
    </row>
    <row r="167" spans="2:12" ht="15">
      <c r="B167" s="231"/>
      <c r="C167" s="231"/>
      <c r="D167" s="231"/>
      <c r="E167" s="231"/>
      <c r="F167" s="231"/>
      <c r="G167" s="231"/>
      <c r="H167" s="231"/>
    </row>
    <row r="168" spans="2:12" ht="15">
      <c r="F168" s="231"/>
      <c r="G168" s="231"/>
      <c r="H168" s="231"/>
    </row>
    <row r="169" spans="2:12" ht="15">
      <c r="F169" s="231"/>
      <c r="G169" s="231"/>
      <c r="H169" s="231"/>
    </row>
    <row r="170" spans="2:12" ht="15">
      <c r="F170" s="231"/>
      <c r="G170" s="231"/>
      <c r="H170" s="231"/>
    </row>
    <row r="171" spans="2:12" ht="15">
      <c r="F171" s="231"/>
      <c r="G171" s="231"/>
      <c r="H171" s="231"/>
      <c r="I171"/>
      <c r="J171"/>
      <c r="K171"/>
    </row>
    <row r="172" spans="2:12" ht="15">
      <c r="F172" s="231"/>
      <c r="G172" s="231"/>
      <c r="H172" s="231"/>
      <c r="I172"/>
      <c r="J172"/>
      <c r="K172"/>
    </row>
    <row r="173" spans="2:12" ht="15">
      <c r="F173" s="231"/>
      <c r="G173" s="231"/>
      <c r="H173" s="231"/>
      <c r="I173"/>
      <c r="J173"/>
      <c r="K173"/>
    </row>
    <row r="174" spans="2:12" ht="15">
      <c r="F174" s="231"/>
      <c r="G174" s="231"/>
      <c r="H174" s="231"/>
      <c r="I174"/>
      <c r="J174"/>
      <c r="K174"/>
    </row>
    <row r="175" spans="2:12" ht="15">
      <c r="F175" s="231"/>
      <c r="G175" s="231"/>
      <c r="H175" s="231"/>
    </row>
    <row r="176" spans="2:12" ht="15">
      <c r="F176" s="231"/>
      <c r="G176" s="231"/>
      <c r="H176" s="231"/>
    </row>
    <row r="177" spans="2:8" ht="15">
      <c r="F177" s="231"/>
      <c r="G177" s="231"/>
      <c r="H177" s="231"/>
    </row>
    <row r="178" spans="2:8" ht="15">
      <c r="B178" s="231"/>
      <c r="C178" s="231"/>
      <c r="D178" s="231"/>
      <c r="E178" s="231"/>
      <c r="F178" s="231"/>
      <c r="G178" s="231"/>
      <c r="H178" s="231"/>
    </row>
    <row r="179" spans="2:8" ht="15">
      <c r="B179" s="231"/>
      <c r="C179" s="231"/>
      <c r="D179" s="231"/>
      <c r="E179" s="231"/>
      <c r="F179" s="231"/>
      <c r="G179" s="231"/>
      <c r="H179" s="231"/>
    </row>
    <row r="180" spans="2:8" ht="15">
      <c r="B180" s="231"/>
      <c r="C180" s="231"/>
      <c r="D180" s="231"/>
      <c r="E180" s="231"/>
      <c r="F180" s="231"/>
      <c r="G180" s="231"/>
      <c r="H180" s="231"/>
    </row>
    <row r="181" spans="2:8" ht="15">
      <c r="B181" s="231"/>
      <c r="C181" s="231"/>
      <c r="D181" s="231"/>
      <c r="E181" s="231"/>
      <c r="F181" s="231"/>
      <c r="G181" s="231"/>
      <c r="H181" s="231"/>
    </row>
    <row r="182" spans="2:8" ht="15">
      <c r="B182" s="231"/>
      <c r="C182" s="231"/>
      <c r="D182" s="231"/>
      <c r="E182" s="231"/>
      <c r="F182" s="231"/>
      <c r="G182" s="231"/>
      <c r="H182" s="231"/>
    </row>
    <row r="183" spans="2:8" ht="15"/>
    <row r="184" spans="2:8" ht="15"/>
    <row r="185" spans="2:8" ht="15"/>
    <row r="186" spans="2:8" ht="15"/>
  </sheetData>
  <mergeCells count="53">
    <mergeCell ref="C142:G142"/>
    <mergeCell ref="C151:G151"/>
    <mergeCell ref="C150:G150"/>
    <mergeCell ref="B1:G1"/>
    <mergeCell ref="B2:G2"/>
    <mergeCell ref="B3:G3"/>
    <mergeCell ref="C4:E4"/>
    <mergeCell ref="C5:E5"/>
    <mergeCell ref="C6:E6"/>
    <mergeCell ref="C8:E8"/>
    <mergeCell ref="C9:E9"/>
    <mergeCell ref="C7:E7"/>
    <mergeCell ref="C10:E10"/>
    <mergeCell ref="C11:E11"/>
    <mergeCell ref="C12:E12"/>
    <mergeCell ref="B20:G20"/>
    <mergeCell ref="B22:G22"/>
    <mergeCell ref="B29:G29"/>
    <mergeCell ref="C15:E15"/>
    <mergeCell ref="C16:E16"/>
    <mergeCell ref="C17:E17"/>
    <mergeCell ref="C18:E18"/>
    <mergeCell ref="B86:G86"/>
    <mergeCell ref="B38:G38"/>
    <mergeCell ref="B43:G43"/>
    <mergeCell ref="B47:C47"/>
    <mergeCell ref="B49:G49"/>
    <mergeCell ref="B65:F65"/>
    <mergeCell ref="B141:G141"/>
    <mergeCell ref="B131:G131"/>
    <mergeCell ref="C133:G133"/>
    <mergeCell ref="C134:G134"/>
    <mergeCell ref="C135:G135"/>
    <mergeCell ref="C136:G136"/>
    <mergeCell ref="C137:G137"/>
    <mergeCell ref="C138:G138"/>
    <mergeCell ref="C139:G139"/>
    <mergeCell ref="C165:G165"/>
    <mergeCell ref="B153:G153"/>
    <mergeCell ref="C155:G155"/>
    <mergeCell ref="C156:G156"/>
    <mergeCell ref="C157:G157"/>
    <mergeCell ref="C158:G158"/>
    <mergeCell ref="C159:G159"/>
    <mergeCell ref="C163:G163"/>
    <mergeCell ref="C164:G164"/>
    <mergeCell ref="C148:G148"/>
    <mergeCell ref="C149:G149"/>
    <mergeCell ref="C143:G143"/>
    <mergeCell ref="C144:G144"/>
    <mergeCell ref="C145:G145"/>
    <mergeCell ref="C146:G146"/>
    <mergeCell ref="C147:G147"/>
  </mergeCells>
  <dataValidations count="6">
    <dataValidation type="list" allowBlank="1" sqref="G23:G27 G30:G36 G39:G41 G44:G45" xr:uid="{00000000-0002-0000-0500-000003000000}">
      <formula1>"Alta,Media,Baja,Sin mejora"</formula1>
      <formula2>0</formula2>
    </dataValidation>
    <dataValidation type="list" allowBlank="1" sqref="C88:C105"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25"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29" xr:uid="{4ADE6148-D4CA-4CA4-8E00-CEA8A113DD0E}">
      <formula1>"API REST,Power Automate,Zapier,Make,Azure Logic Apps,MuleSoft,Boomi,Workato,ServiceNow IntegrationHub,Jira Automation"</formula1>
    </dataValidation>
    <dataValidation type="date" allowBlank="1" showInputMessage="1" showErrorMessage="1" sqref="C7:E7" xr:uid="{F72D2271-E63B-42F1-9BA0-7D0E6F63E002}">
      <formula1>46174</formula1>
      <formula2>46368</formula2>
    </dataValidation>
    <dataValidation allowBlank="1" sqref="C15:E18" xr:uid="{76483307-7A97-4EED-9B6D-6F3D326DCA9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00000000-0002-0000-0500-000000000000}">
          <x14:formula1>
            <xm:f>Listas!$H$5:$H$9</xm:f>
          </x14:formula1>
          <x14:formula2>
            <xm:f>0</xm:f>
          </x14:formula2>
          <xm:sqref>C11</xm:sqref>
        </x14:dataValidation>
        <x14:dataValidation type="list" allowBlank="1" xr:uid="{00000000-0002-0000-0500-000001000000}">
          <x14:formula1>
            <xm:f>Listas!$D$5:$D$10</xm:f>
          </x14:formula1>
          <x14:formula2>
            <xm:f>0</xm:f>
          </x14:formula2>
          <xm:sqref>C13:C14</xm:sqref>
        </x14:dataValidation>
        <x14:dataValidation type="list" allowBlank="1" xr:uid="{00000000-0002-0000-0500-000002000000}">
          <x14:formula1>
            <xm:f>Listas!$B$5:$B$8</xm:f>
          </x14:formula1>
          <x14:formula2>
            <xm:f>0</xm:f>
          </x14:formula2>
          <xm:sqref>D23:D27 D30:D36 D39:D41 D44:D45</xm:sqref>
        </x14:dataValidation>
        <x14:dataValidation type="list" allowBlank="1" xr:uid="{00000000-0002-0000-0500-000005000000}">
          <x14:formula1>
            <xm:f>Listas!$F$5:$F$7</xm:f>
          </x14:formula1>
          <x14:formula2>
            <xm:f>0</xm:f>
          </x14:formula2>
          <xm:sqref>F88:F105</xm:sqref>
        </x14:dataValidation>
        <x14:dataValidation type="list" allowBlank="1" xr:uid="{00000000-0002-0000-0500-000006000000}">
          <x14:formula1>
            <xm:f>Listas!$L$5:$L$7</xm:f>
          </x14:formula1>
          <x14:formula2>
            <xm:f>0</xm:f>
          </x14:formula2>
          <xm:sqref>C147</xm:sqref>
        </x14:dataValidation>
        <x14:dataValidation type="list" allowBlank="1" showInputMessage="1" showErrorMessage="1" xr:uid="{73CA7FB8-F182-4DE9-98F6-3F6C4F3FD78F}">
          <x14:formula1>
            <xm:f>Listas!$N$5:$N$10</xm:f>
          </x14:formula1>
          <xm:sqref>C4:E4</xm:sqref>
        </x14:dataValidation>
        <x14:dataValidation type="list" allowBlank="1" showInputMessage="1" showErrorMessage="1" xr:uid="{6163B702-35DF-4C50-9526-5EA3BC82B3BA}">
          <x14:formula1>
            <xm:f>Listas!$P$5:$P$8</xm:f>
          </x14:formula1>
          <xm:sqref>F120:F129</xm:sqref>
        </x14:dataValidation>
        <x14:dataValidation type="list" allowBlank="1" showInputMessage="1" showErrorMessage="1" xr:uid="{231FED15-D09F-4A7D-8A4E-C22EE434E8FC}">
          <x14:formula1>
            <xm:f>Listas!$R$5:$R$7</xm:f>
          </x14:formula1>
          <xm:sqref>D120:D129</xm:sqref>
        </x14:dataValidation>
        <x14:dataValidation type="list" allowBlank="1" showInputMessage="1" showErrorMessage="1" promptTitle="Seleccione herramienta" prompt="Seleccione una opción de la lista o escriba otra herramienta si aplica." xr:uid="{EF568638-C551-406D-B9CF-7946537A1EAC}">
          <x14:formula1>
            <xm:f>Listas!$B$18:$B$32</xm:f>
          </x14:formula1>
          <xm:sqref>C120</xm:sqref>
        </x14:dataValidation>
        <x14:dataValidation type="list" allowBlank="1" showInputMessage="1" showErrorMessage="1" promptTitle="Seleccione herramienta" prompt="Seleccione una opción de la lista o escriba otra herramienta si aplica." xr:uid="{D48F002F-EFAC-49B0-B50D-A6F021DFC7F3}">
          <x14:formula1>
            <xm:f>Listas!$D$18:$D$32</xm:f>
          </x14:formula1>
          <xm:sqref>C121</xm:sqref>
        </x14:dataValidation>
        <x14:dataValidation type="list" allowBlank="1" showInputMessage="1" showErrorMessage="1" promptTitle="Seleccione herramienta" prompt="Seleccione una opción de la lista o escriba otra herramienta si aplica." xr:uid="{9C074A17-EA2E-4739-BCF0-6A5F37070D63}">
          <x14:formula1>
            <xm:f>Listas!$F$18:$F$32</xm:f>
          </x14:formula1>
          <xm:sqref>C122</xm:sqref>
        </x14:dataValidation>
        <x14:dataValidation type="list" allowBlank="1" showInputMessage="1" showErrorMessage="1" promptTitle="Seleccione herramienta" prompt="Seleccione una opción de la lista o escriba otra herramienta si aplica." xr:uid="{CFB42949-7959-47CE-8D36-2C764AB71AB2}">
          <x14:formula1>
            <xm:f>Listas!$P$18:$P$32</xm:f>
          </x14:formula1>
          <xm:sqref>C123</xm:sqref>
        </x14:dataValidation>
        <x14:dataValidation type="list" allowBlank="1" showInputMessage="1" showErrorMessage="1" promptTitle="Seleccione herramienta" prompt="Seleccione una opción de la lista o escriba otra herramienta si aplica." xr:uid="{D6F1DE2E-39DF-47C7-9521-D830EE556E1C}">
          <x14:formula1>
            <xm:f>Listas!$N$18:$N$32</xm:f>
          </x14:formula1>
          <xm:sqref>C124</xm:sqref>
        </x14:dataValidation>
        <x14:dataValidation type="list" allowBlank="1" showInputMessage="1" showErrorMessage="1" promptTitle="Seleccione herramienta" prompt="Seleccione una opción de la lista o escriba otra herramienta si aplica." xr:uid="{57B1E5C7-5EE3-4221-BECD-504BBCFDA310}">
          <x14:formula1>
            <xm:f>Listas!$H$18:$H$32</xm:f>
          </x14:formula1>
          <xm:sqref>C126</xm:sqref>
        </x14:dataValidation>
        <x14:dataValidation type="list" allowBlank="1" showInputMessage="1" showErrorMessage="1" promptTitle="Seleccione herramienta" prompt="Seleccione una opción de la lista o escriba otra herramienta si aplica." xr:uid="{63C19C09-181B-4F69-B3C1-A11AB7786FF9}">
          <x14:formula1>
            <xm:f>Listas!$L$18:$L$32</xm:f>
          </x14:formula1>
          <xm:sqref>C127</xm:sqref>
        </x14:dataValidation>
        <x14:dataValidation type="list" allowBlank="1" showInputMessage="1" showErrorMessage="1" promptTitle="Seleccione herramienta" prompt="Seleccione una opción de la lista o escriba otra herramienta si aplica." xr:uid="{116A2E36-F8BE-4C89-8A44-DCD3DD2324B2}">
          <x14:formula1>
            <xm:f>Listas!$J$18:$J$32</xm:f>
          </x14:formula1>
          <xm:sqref>C128</xm:sqref>
        </x14:dataValidation>
        <x14:dataValidation type="list" allowBlank="1" showInputMessage="1" showErrorMessage="1" xr:uid="{C63DAED6-FFB4-43B3-8837-CC4FA90D91B0}">
          <x14:formula1>
            <xm:f>Listas!$B$42:$B$45</xm:f>
          </x14:formula1>
          <xm:sqref>C78:D78</xm:sqref>
        </x14:dataValidation>
        <x14:dataValidation type="list" allowBlank="1" showInputMessage="1" showErrorMessage="1" xr:uid="{2EC7336E-C254-4FC5-970D-BDAB67C5C7CF}">
          <x14:formula1>
            <xm:f>Listas!$D$42:$D$46</xm:f>
          </x14:formula1>
          <xm:sqref>C79:D79</xm:sqref>
        </x14:dataValidation>
        <x14:dataValidation type="list" allowBlank="1" showInputMessage="1" showErrorMessage="1" xr:uid="{88375AB9-0755-4DDD-BBBB-F6AF5580F21E}">
          <x14:formula1>
            <xm:f>Listas!$F$42:$F$49</xm:f>
          </x14:formula1>
          <xm:sqref>C80:D80</xm:sqref>
        </x14:dataValidation>
        <x14:dataValidation type="list" allowBlank="1" showInputMessage="1" showErrorMessage="1" xr:uid="{21AEE156-5BB7-4FB0-B629-A6C6100B8188}">
          <x14:formula1>
            <xm:f>Listas!$H$42:$H$45</xm:f>
          </x14:formula1>
          <xm:sqref>C83:D83</xm:sqref>
        </x14:dataValidation>
        <x14:dataValidation type="list" allowBlank="1" showInputMessage="1" showErrorMessage="1" xr:uid="{7A3B62A0-0DCD-4356-B8EC-A8429E338541}">
          <x14:formula1>
            <xm:f>Listas!$J$42:$J$46</xm:f>
          </x14:formula1>
          <xm:sqref>C84:D84</xm:sqref>
        </x14:dataValidation>
        <x14:dataValidation type="list" allowBlank="1" showInputMessage="1" showErrorMessage="1" xr:uid="{6D994D98-7C49-4014-979E-6649CABA0FB8}">
          <x14:formula1>
            <xm:f>Listas!$B$50:$B$55</xm:f>
          </x14:formula1>
          <xm:sqref>C115</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66"/>
  <sheetViews>
    <sheetView showGridLines="0" zoomScaleNormal="100" workbookViewId="0">
      <pane xSplit="2" ySplit="2" topLeftCell="C143"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2.28515625" style="1" customWidth="1"/>
    <col min="5" max="5" width="40" style="1" customWidth="1"/>
    <col min="6" max="6" width="15.7109375" style="1" customWidth="1"/>
    <col min="7" max="7" width="27.140625" style="1" customWidth="1"/>
    <col min="8" max="8" width="8.5703125" style="1"/>
    <col min="9" max="9" width="12" style="1" customWidth="1"/>
    <col min="10" max="10" width="23" style="1" customWidth="1"/>
    <col min="11" max="11" width="53" style="1" customWidth="1"/>
    <col min="12" max="16384" width="8.5703125" style="1"/>
  </cols>
  <sheetData>
    <row r="1" spans="2:11" ht="7.5" customHeight="1"/>
    <row r="2" spans="2:11" ht="30" customHeight="1">
      <c r="B2" s="211" t="s">
        <v>700</v>
      </c>
      <c r="C2" s="211"/>
      <c r="D2" s="211"/>
      <c r="E2" s="211"/>
      <c r="F2" s="211"/>
      <c r="G2" s="211"/>
    </row>
    <row r="3" spans="2:11" ht="18" customHeight="1">
      <c r="B3" s="212" t="s">
        <v>455</v>
      </c>
      <c r="C3" s="212"/>
      <c r="D3" s="212"/>
      <c r="E3" s="212"/>
      <c r="F3" s="212"/>
      <c r="G3" s="212"/>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246</v>
      </c>
      <c r="D5" s="207"/>
      <c r="E5" s="207"/>
      <c r="I5" s="17" t="s">
        <v>63</v>
      </c>
      <c r="J5" s="18" t="s">
        <v>64</v>
      </c>
      <c r="K5" s="63" t="s">
        <v>65</v>
      </c>
    </row>
    <row r="6" spans="2:11" ht="19.5" customHeight="1">
      <c r="B6" s="37" t="s">
        <v>458</v>
      </c>
      <c r="C6" s="207" t="s">
        <v>701</v>
      </c>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19.5" customHeight="1">
      <c r="B18" s="37" t="s">
        <v>473</v>
      </c>
      <c r="C18" s="207"/>
      <c r="D18" s="207"/>
      <c r="E18" s="207"/>
    </row>
    <row r="19" spans="2:7" ht="14.45" customHeight="1"/>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t="s">
        <v>89</v>
      </c>
      <c r="E23" s="5"/>
      <c r="F23" s="36"/>
      <c r="G23" s="36"/>
    </row>
    <row r="24" spans="2:7" ht="27.75" customHeight="1">
      <c r="B24" s="41" t="s">
        <v>484</v>
      </c>
      <c r="C24" s="66" t="s">
        <v>485</v>
      </c>
      <c r="D24" s="26" t="s">
        <v>89</v>
      </c>
      <c r="E24" s="5"/>
      <c r="F24" s="36"/>
      <c r="G24" s="36"/>
    </row>
    <row r="25" spans="2:7" ht="27.75" customHeight="1">
      <c r="B25" s="40" t="s">
        <v>486</v>
      </c>
      <c r="C25" s="65" t="s">
        <v>487</v>
      </c>
      <c r="D25" s="26" t="s">
        <v>93</v>
      </c>
      <c r="E25" s="5"/>
      <c r="F25" s="36"/>
      <c r="G25" s="36"/>
    </row>
    <row r="26" spans="2:7" ht="27.75" customHeight="1">
      <c r="B26" s="41" t="s">
        <v>488</v>
      </c>
      <c r="C26" s="66" t="s">
        <v>489</v>
      </c>
      <c r="D26" s="26" t="s">
        <v>93</v>
      </c>
      <c r="E26" s="5"/>
      <c r="F26" s="36"/>
      <c r="G26" s="36"/>
    </row>
    <row r="27" spans="2:7" ht="27.75" customHeight="1">
      <c r="B27" s="40" t="s">
        <v>490</v>
      </c>
      <c r="C27" s="65" t="s">
        <v>491</v>
      </c>
      <c r="D27" s="26" t="s">
        <v>93</v>
      </c>
      <c r="E27" s="5"/>
      <c r="F27" s="36"/>
      <c r="G27" s="36"/>
    </row>
    <row r="29" spans="2:7" ht="21.75" customHeight="1">
      <c r="B29" s="204" t="s">
        <v>492</v>
      </c>
      <c r="C29" s="204"/>
      <c r="D29" s="204"/>
      <c r="E29" s="204"/>
      <c r="F29" s="204"/>
      <c r="G29" s="204"/>
    </row>
    <row r="30" spans="2:7" ht="27.75" customHeight="1">
      <c r="B30" s="41" t="s">
        <v>493</v>
      </c>
      <c r="C30" s="66" t="s">
        <v>494</v>
      </c>
      <c r="D30" s="26" t="s">
        <v>86</v>
      </c>
      <c r="E30" s="5"/>
      <c r="F30" s="36"/>
      <c r="G30" s="36"/>
    </row>
    <row r="31" spans="2:7" ht="27.75" customHeight="1">
      <c r="B31" s="40" t="s">
        <v>495</v>
      </c>
      <c r="C31" s="65" t="s">
        <v>496</v>
      </c>
      <c r="D31" s="26" t="s">
        <v>89</v>
      </c>
      <c r="E31" s="5"/>
      <c r="F31" s="36"/>
      <c r="G31" s="36"/>
    </row>
    <row r="32" spans="2:7" ht="27.75" customHeight="1">
      <c r="B32" s="41" t="s">
        <v>497</v>
      </c>
      <c r="C32" s="66" t="s">
        <v>498</v>
      </c>
      <c r="D32" s="26" t="s">
        <v>93</v>
      </c>
      <c r="E32" s="5"/>
      <c r="F32" s="36"/>
      <c r="G32" s="36"/>
    </row>
    <row r="33" spans="2:7" ht="27.75" customHeight="1">
      <c r="B33" s="40" t="s">
        <v>499</v>
      </c>
      <c r="C33" s="65" t="s">
        <v>500</v>
      </c>
      <c r="D33" s="26" t="s">
        <v>93</v>
      </c>
      <c r="E33" s="5"/>
      <c r="F33" s="36"/>
      <c r="G33" s="36"/>
    </row>
    <row r="34" spans="2:7" ht="39" customHeight="1">
      <c r="B34" s="41" t="s">
        <v>501</v>
      </c>
      <c r="C34" s="66" t="s">
        <v>502</v>
      </c>
      <c r="D34" s="26" t="s">
        <v>93</v>
      </c>
      <c r="E34" s="5"/>
      <c r="F34" s="36"/>
      <c r="G34" s="36"/>
    </row>
    <row r="35" spans="2:7" ht="27.75" customHeight="1">
      <c r="B35" s="40" t="s">
        <v>503</v>
      </c>
      <c r="C35" s="65" t="s">
        <v>504</v>
      </c>
      <c r="D35" s="26" t="s">
        <v>93</v>
      </c>
      <c r="E35" s="5"/>
      <c r="F35" s="36"/>
      <c r="G35" s="36"/>
    </row>
    <row r="36" spans="2:7" ht="27.75" customHeight="1">
      <c r="B36" s="41" t="s">
        <v>505</v>
      </c>
      <c r="C36" s="66" t="s">
        <v>506</v>
      </c>
      <c r="D36" s="26" t="s">
        <v>93</v>
      </c>
      <c r="E36" s="5"/>
      <c r="F36" s="36"/>
      <c r="G36" s="36"/>
    </row>
    <row r="38" spans="2:7" ht="21.75" customHeight="1">
      <c r="B38" s="204" t="s">
        <v>507</v>
      </c>
      <c r="C38" s="204"/>
      <c r="D38" s="204"/>
      <c r="E38" s="204"/>
      <c r="F38" s="204"/>
      <c r="G38" s="204"/>
    </row>
    <row r="39" spans="2:7" ht="27.75" customHeight="1">
      <c r="B39" s="40" t="s">
        <v>508</v>
      </c>
      <c r="C39" s="65" t="s">
        <v>509</v>
      </c>
      <c r="D39" s="26" t="s">
        <v>89</v>
      </c>
      <c r="E39" s="5"/>
      <c r="F39" s="36"/>
      <c r="G39" s="36"/>
    </row>
    <row r="40" spans="2:7" ht="42.75" customHeight="1">
      <c r="B40" s="41" t="s">
        <v>510</v>
      </c>
      <c r="C40" s="66" t="s">
        <v>511</v>
      </c>
      <c r="D40" s="26" t="s">
        <v>93</v>
      </c>
      <c r="E40" s="5"/>
      <c r="F40" s="36"/>
      <c r="G40" s="36"/>
    </row>
    <row r="41" spans="2:7" ht="30.75" customHeight="1">
      <c r="B41" s="40" t="s">
        <v>512</v>
      </c>
      <c r="C41" s="65" t="s">
        <v>513</v>
      </c>
      <c r="D41" s="26" t="s">
        <v>93</v>
      </c>
      <c r="E41" s="5"/>
      <c r="F41" s="36"/>
      <c r="G41" s="36"/>
    </row>
    <row r="43" spans="2:7" ht="21.75" customHeight="1">
      <c r="B43" s="204" t="s">
        <v>514</v>
      </c>
      <c r="C43" s="204"/>
      <c r="D43" s="204"/>
      <c r="E43" s="204"/>
      <c r="F43" s="204"/>
      <c r="G43" s="204"/>
    </row>
    <row r="44" spans="2:7" ht="27.75" customHeight="1">
      <c r="B44" s="41" t="s">
        <v>515</v>
      </c>
      <c r="C44" s="66" t="s">
        <v>516</v>
      </c>
      <c r="D44" s="26" t="s">
        <v>93</v>
      </c>
      <c r="E44" s="5"/>
      <c r="F44" s="36"/>
      <c r="G44" s="36"/>
    </row>
    <row r="45" spans="2:7" ht="27.75" customHeight="1">
      <c r="B45" s="40" t="s">
        <v>517</v>
      </c>
      <c r="C45" s="65" t="s">
        <v>518</v>
      </c>
      <c r="D45" s="26" t="s">
        <v>93</v>
      </c>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3</v>
      </c>
      <c r="E47" s="43">
        <f>D47/17</f>
        <v>0.17647058823529413</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44.25" customHeight="1">
      <c r="B72" s="16" t="s">
        <v>702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703</v>
      </c>
      <c r="C76" s="106"/>
      <c r="D76" s="106"/>
      <c r="E76" s="106"/>
      <c r="F76" s="106"/>
    </row>
    <row r="77" spans="2:6" ht="21.75" customHeight="1">
      <c r="B77" s="6" t="s">
        <v>556</v>
      </c>
      <c r="C77" s="6" t="s">
        <v>522</v>
      </c>
      <c r="D77" s="6" t="s">
        <v>196</v>
      </c>
      <c r="E77" s="6" t="s">
        <v>557</v>
      </c>
      <c r="F77" s="6" t="s">
        <v>546</v>
      </c>
    </row>
    <row r="78" spans="2:6" ht="21.75" customHeight="1">
      <c r="B78" s="14" t="s">
        <v>558</v>
      </c>
      <c r="C78" s="45"/>
      <c r="D78" s="45"/>
      <c r="E78" s="45"/>
      <c r="F78" s="45"/>
    </row>
    <row r="79" spans="2:6" ht="16.5">
      <c r="B79" s="16" t="s">
        <v>418</v>
      </c>
      <c r="C79" s="36"/>
      <c r="D79" s="36"/>
      <c r="E79" s="47"/>
      <c r="F79" s="47"/>
    </row>
    <row r="80" spans="2:6" ht="21.75" customHeight="1">
      <c r="B80" s="14" t="s">
        <v>419</v>
      </c>
      <c r="C80" s="45"/>
      <c r="D80" s="45"/>
      <c r="E80" s="45"/>
      <c r="F80" s="45"/>
    </row>
    <row r="81" spans="2:7" ht="16.5">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t="s">
        <v>86</v>
      </c>
      <c r="D88" s="69" t="s">
        <v>568</v>
      </c>
      <c r="E88" s="49"/>
      <c r="F88" s="36"/>
      <c r="G88" s="5"/>
    </row>
    <row r="89" spans="2:7" ht="25.5" customHeight="1">
      <c r="B89" s="50" t="s">
        <v>569</v>
      </c>
      <c r="C89" s="26" t="s">
        <v>86</v>
      </c>
      <c r="D89" s="68" t="s">
        <v>570</v>
      </c>
      <c r="E89" s="49"/>
      <c r="F89" s="36"/>
      <c r="G89" s="5"/>
    </row>
    <row r="90" spans="2:7" ht="25.5" customHeight="1">
      <c r="B90" s="48" t="s">
        <v>571</v>
      </c>
      <c r="C90" s="26" t="s">
        <v>86</v>
      </c>
      <c r="D90" s="69" t="s">
        <v>572</v>
      </c>
      <c r="E90" s="49"/>
      <c r="F90" s="36"/>
      <c r="G90" s="5"/>
    </row>
    <row r="91" spans="2:7" ht="25.5" customHeight="1">
      <c r="B91" s="50" t="s">
        <v>573</v>
      </c>
      <c r="C91" s="26" t="s">
        <v>86</v>
      </c>
      <c r="D91" s="68" t="s">
        <v>574</v>
      </c>
      <c r="E91" s="49"/>
      <c r="F91" s="36"/>
      <c r="G91" s="5"/>
    </row>
    <row r="92" spans="2:7" ht="25.5" customHeight="1">
      <c r="B92" s="48" t="s">
        <v>575</v>
      </c>
      <c r="C92" s="26" t="s">
        <v>86</v>
      </c>
      <c r="D92" s="67" t="s">
        <v>576</v>
      </c>
      <c r="E92" s="49"/>
      <c r="F92" s="36"/>
      <c r="G92" s="5"/>
    </row>
    <row r="93" spans="2:7" ht="25.5" customHeight="1">
      <c r="B93" s="50" t="s">
        <v>577</v>
      </c>
      <c r="C93" s="26" t="s">
        <v>86</v>
      </c>
      <c r="D93" s="68" t="s">
        <v>578</v>
      </c>
      <c r="E93" s="49"/>
      <c r="F93" s="36"/>
      <c r="G93" s="5"/>
    </row>
    <row r="94" spans="2:7" ht="25.5" customHeight="1">
      <c r="B94" s="48" t="s">
        <v>579</v>
      </c>
      <c r="C94" s="26" t="s">
        <v>86</v>
      </c>
      <c r="D94" s="67" t="s">
        <v>705</v>
      </c>
      <c r="E94" s="49"/>
      <c r="F94" s="36"/>
      <c r="G94" s="5"/>
    </row>
    <row r="95" spans="2:7" ht="25.5" customHeight="1">
      <c r="B95" s="50" t="s">
        <v>581</v>
      </c>
      <c r="C95" s="26"/>
      <c r="D95" s="74" t="s">
        <v>582</v>
      </c>
      <c r="E95" s="49"/>
      <c r="F95" s="36"/>
      <c r="G95" s="5"/>
    </row>
    <row r="96" spans="2:7" ht="25.5" customHeight="1">
      <c r="B96" s="48" t="s">
        <v>583</v>
      </c>
      <c r="C96" s="26"/>
      <c r="D96" s="69" t="s">
        <v>584</v>
      </c>
      <c r="E96" s="49"/>
      <c r="F96" s="36"/>
      <c r="G96" s="5"/>
    </row>
    <row r="97" spans="2:7" ht="83.25">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c r="D105" s="74" t="s">
        <v>602</v>
      </c>
      <c r="E105" s="49"/>
      <c r="F105" s="36"/>
      <c r="G105" s="5"/>
    </row>
    <row r="106" spans="2:7" ht="15"/>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6" ht="21.75" customHeight="1">
      <c r="B113" s="13" t="s">
        <v>610</v>
      </c>
      <c r="C113" s="64"/>
    </row>
    <row r="114" spans="2:6" ht="21.75" customHeight="1">
      <c r="B114" s="15" t="s">
        <v>611</v>
      </c>
      <c r="C114" s="64"/>
    </row>
    <row r="115" spans="2:6" ht="25.5" customHeight="1">
      <c r="B115" s="131" t="s">
        <v>612</v>
      </c>
      <c r="C115" s="64"/>
    </row>
    <row r="116" spans="2:6" ht="16.5">
      <c r="B116" s="132" t="s">
        <v>613</v>
      </c>
      <c r="C116" s="117"/>
      <c r="D116" s="117"/>
    </row>
    <row r="117" spans="2:6" ht="15">
      <c r="B117" s="132"/>
      <c r="C117" s="117"/>
      <c r="D117" s="117"/>
    </row>
    <row r="118" spans="2:6" ht="24" customHeight="1">
      <c r="B118" s="104" t="s">
        <v>614</v>
      </c>
      <c r="C118" s="104"/>
      <c r="D118" s="104"/>
      <c r="E118" s="104"/>
      <c r="F118" s="104"/>
    </row>
    <row r="119" spans="2:6" ht="21.75" customHeight="1">
      <c r="B119" s="6" t="s">
        <v>615</v>
      </c>
      <c r="C119" s="6" t="s">
        <v>616</v>
      </c>
      <c r="D119" s="6" t="s">
        <v>617</v>
      </c>
      <c r="E119" s="6" t="s">
        <v>618</v>
      </c>
      <c r="F119" s="6" t="s">
        <v>267</v>
      </c>
    </row>
    <row r="120" spans="2:6" ht="21.75" customHeight="1">
      <c r="B120" s="44" t="s">
        <v>619</v>
      </c>
      <c r="C120" s="99"/>
      <c r="D120" s="45"/>
      <c r="E120" s="14"/>
      <c r="F120" s="45"/>
    </row>
    <row r="121" spans="2:6" ht="21.75" customHeight="1">
      <c r="B121" s="46" t="s">
        <v>620</v>
      </c>
      <c r="C121" s="99"/>
      <c r="D121" s="45"/>
      <c r="E121" s="16"/>
      <c r="F121" s="45"/>
    </row>
    <row r="122" spans="2:6" ht="21.75" customHeight="1">
      <c r="B122" s="44" t="s">
        <v>621</v>
      </c>
      <c r="C122" s="99"/>
      <c r="D122" s="45"/>
      <c r="E122" s="14"/>
      <c r="F122" s="45"/>
    </row>
    <row r="123" spans="2:6" ht="21.75" customHeight="1">
      <c r="B123" s="46" t="s">
        <v>622</v>
      </c>
      <c r="C123" s="99"/>
      <c r="D123" s="45"/>
      <c r="E123" s="16"/>
      <c r="F123" s="45"/>
    </row>
    <row r="124" spans="2:6" ht="31.5" customHeight="1">
      <c r="B124" s="14" t="s">
        <v>623</v>
      </c>
      <c r="C124" s="99"/>
      <c r="D124" s="45"/>
      <c r="E124" s="14"/>
      <c r="F124" s="45"/>
    </row>
    <row r="125" spans="2:6" ht="30" customHeight="1">
      <c r="B125" s="16" t="s">
        <v>624</v>
      </c>
      <c r="C125" s="99"/>
      <c r="D125" s="45"/>
      <c r="E125" s="16"/>
      <c r="F125" s="45"/>
    </row>
    <row r="126" spans="2:6" ht="21.75" customHeight="1">
      <c r="B126" s="44" t="s">
        <v>625</v>
      </c>
      <c r="C126" s="99"/>
      <c r="D126" s="45"/>
      <c r="E126" s="14"/>
      <c r="F126" s="45"/>
    </row>
    <row r="127" spans="2:6" ht="21.75" customHeight="1">
      <c r="B127" s="46" t="s">
        <v>626</v>
      </c>
      <c r="C127" s="99"/>
      <c r="D127" s="45"/>
      <c r="E127" s="16"/>
      <c r="F127" s="45"/>
    </row>
    <row r="128" spans="2:6"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2" spans="2:11" ht="15"/>
    <row r="153" spans="2:11" ht="22.5" customHeight="1">
      <c r="B153" s="200" t="s">
        <v>652</v>
      </c>
      <c r="C153" s="200"/>
      <c r="D153" s="200"/>
      <c r="E153" s="200"/>
      <c r="F153" s="200"/>
      <c r="G153" s="200"/>
      <c r="H153" s="231"/>
      <c r="I153" s="133" t="s">
        <v>653</v>
      </c>
      <c r="J153" s="133" t="s">
        <v>654</v>
      </c>
      <c r="K153" s="133" t="s">
        <v>655</v>
      </c>
    </row>
    <row r="154" spans="2:11" ht="30.75">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ht="27">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7">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45.75">
      <c r="B160" s="94" t="s">
        <v>682</v>
      </c>
      <c r="C160" s="93"/>
      <c r="D160" s="92" t="s">
        <v>683</v>
      </c>
      <c r="E160" s="93"/>
      <c r="F160" s="92" t="s">
        <v>684</v>
      </c>
      <c r="G160" s="93"/>
      <c r="H160" s="231"/>
      <c r="I160" s="134" t="s">
        <v>685</v>
      </c>
      <c r="J160" s="123" t="s">
        <v>686</v>
      </c>
      <c r="K160" s="123" t="s">
        <v>687</v>
      </c>
    </row>
    <row r="161" spans="2:11" ht="45.75">
      <c r="B161" s="92" t="s">
        <v>688</v>
      </c>
      <c r="C161" s="93"/>
      <c r="D161" s="92" t="s">
        <v>689</v>
      </c>
      <c r="E161" s="93"/>
      <c r="F161" s="92" t="s">
        <v>690</v>
      </c>
      <c r="G161" s="93"/>
      <c r="H161" s="231"/>
      <c r="I161" s="134" t="s">
        <v>691</v>
      </c>
      <c r="J161" s="123" t="s">
        <v>692</v>
      </c>
      <c r="K161" s="123" t="s">
        <v>693</v>
      </c>
    </row>
    <row r="162" spans="2:11" ht="30.75">
      <c r="B162" s="94" t="s">
        <v>694</v>
      </c>
      <c r="C162" s="93"/>
      <c r="D162" s="92" t="s">
        <v>695</v>
      </c>
      <c r="E162" s="93"/>
      <c r="F162" s="92" t="s">
        <v>696</v>
      </c>
      <c r="G162" s="93"/>
      <c r="H162" s="231"/>
    </row>
    <row r="163" spans="2:11" ht="15">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30.75">
      <c r="B165" s="92" t="s">
        <v>699</v>
      </c>
      <c r="C165" s="199"/>
      <c r="D165" s="199"/>
      <c r="E165" s="199"/>
      <c r="F165" s="199"/>
      <c r="G165" s="199"/>
      <c r="H165" s="231"/>
    </row>
    <row r="166" spans="2:11" ht="15"/>
  </sheetData>
  <mergeCells count="51">
    <mergeCell ref="C150:G150"/>
    <mergeCell ref="C151:G151"/>
    <mergeCell ref="B2:G2"/>
    <mergeCell ref="B3:G3"/>
    <mergeCell ref="B4:G4"/>
    <mergeCell ref="C5:E5"/>
    <mergeCell ref="C6:E6"/>
    <mergeCell ref="C7:E7"/>
    <mergeCell ref="C8:E8"/>
    <mergeCell ref="C9:E9"/>
    <mergeCell ref="C10:E10"/>
    <mergeCell ref="C11:E11"/>
    <mergeCell ref="C12:E12"/>
    <mergeCell ref="C13:E13"/>
    <mergeCell ref="B20:G20"/>
    <mergeCell ref="B22:G22"/>
    <mergeCell ref="B29:G29"/>
    <mergeCell ref="C16:E16"/>
    <mergeCell ref="C17:E17"/>
    <mergeCell ref="C18:E18"/>
    <mergeCell ref="B86:G86"/>
    <mergeCell ref="B38:G38"/>
    <mergeCell ref="B43:G43"/>
    <mergeCell ref="B47:C47"/>
    <mergeCell ref="B49:G49"/>
    <mergeCell ref="B65:F65"/>
    <mergeCell ref="B131:G131"/>
    <mergeCell ref="C133:G133"/>
    <mergeCell ref="C134:G134"/>
    <mergeCell ref="C135:G135"/>
    <mergeCell ref="C147:G147"/>
    <mergeCell ref="C136:G136"/>
    <mergeCell ref="C137:G137"/>
    <mergeCell ref="C138:G138"/>
    <mergeCell ref="C139:G139"/>
    <mergeCell ref="B141:G141"/>
    <mergeCell ref="C159:G159"/>
    <mergeCell ref="C163:G163"/>
    <mergeCell ref="C164:G164"/>
    <mergeCell ref="C165:G165"/>
    <mergeCell ref="B153:G153"/>
    <mergeCell ref="C155:G155"/>
    <mergeCell ref="C156:G156"/>
    <mergeCell ref="C157:G157"/>
    <mergeCell ref="C158:G158"/>
    <mergeCell ref="C148:G148"/>
    <mergeCell ref="C149:G149"/>
    <mergeCell ref="C143:G143"/>
    <mergeCell ref="C144:G144"/>
    <mergeCell ref="C145:G145"/>
    <mergeCell ref="C146:G146"/>
  </mergeCells>
  <dataValidations count="6">
    <dataValidation type="list" allowBlank="1" sqref="G23:G27 G30:G36 G39:G41 G44:G45" xr:uid="{00000000-0002-0000-0600-000003000000}">
      <formula1>"Alta,Media,Baja,Sin mejora"</formula1>
      <formula2>0</formula2>
    </dataValidation>
    <dataValidation type="list" allowBlank="1" sqref="C88:C105"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29"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1874763C-9CC2-4952-B079-D6153E887E40}">
      <formula1>"Microsoft Teams Phone,Genesys Cloud,Avaya,3CX,Cisco Webex Contact Center,Amazon Connect,Twilio Flex,Five9,NICE CXone,Talkdesk"</formula1>
    </dataValidation>
    <dataValidation allowBlank="1" sqref="C16:E18" xr:uid="{48A3D86A-652A-4FFA-9889-F0964AA26C02}"/>
    <dataValidation type="date" allowBlank="1" showInputMessage="1" showErrorMessage="1" sqref="C8:E8" xr:uid="{25CD8A82-CAF2-42E0-A7B7-8D0F9B229C8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CCB1C77E-93B3-4DFE-8590-AE3D9B0633A5}">
          <x14:formula1>
            <xm:f>Listas!$H$5:$H$9</xm:f>
          </x14:formula1>
          <x14:formula2>
            <xm:f>0</xm:f>
          </x14:formula2>
          <xm:sqref>C12</xm:sqref>
        </x14:dataValidation>
        <x14:dataValidation type="list" allowBlank="1" xr:uid="{597AB57D-ECDE-46B4-9054-13B948E7934E}">
          <x14:formula1>
            <xm:f>Listas!$D$5:$D$10</xm:f>
          </x14:formula1>
          <x14:formula2>
            <xm:f>0</xm:f>
          </x14:formula2>
          <xm:sqref>C14:C15</xm:sqref>
        </x14:dataValidation>
        <x14:dataValidation type="list" allowBlank="1" xr:uid="{00000000-0002-0000-0600-000002000000}">
          <x14:formula1>
            <xm:f>Listas!$B$5:$B$8</xm:f>
          </x14:formula1>
          <x14:formula2>
            <xm:f>0</xm:f>
          </x14:formula2>
          <xm:sqref>D23:D27 D30:D36 D39:D41 D44:D45</xm:sqref>
        </x14:dataValidation>
        <x14:dataValidation type="list" allowBlank="1" xr:uid="{00000000-0002-0000-0600-000005000000}">
          <x14:formula1>
            <xm:f>Listas!$F$5:$F$7</xm:f>
          </x14:formula1>
          <x14:formula2>
            <xm:f>0</xm:f>
          </x14:formula2>
          <xm:sqref>F88:F105</xm:sqref>
        </x14:dataValidation>
        <x14:dataValidation type="list" allowBlank="1" xr:uid="{00000000-0002-0000-0600-000006000000}">
          <x14:formula1>
            <xm:f>Listas!$L$5:$L$7</xm:f>
          </x14:formula1>
          <x14:formula2>
            <xm:f>0</xm:f>
          </x14:formula2>
          <xm:sqref>C147</xm:sqref>
        </x14:dataValidation>
        <x14:dataValidation type="list" allowBlank="1" showInputMessage="1" showErrorMessage="1" xr:uid="{49D0AA2E-0A97-4BAD-830A-AAC6348966A7}">
          <x14:formula1>
            <xm:f>Listas!$N$5:$N$10</xm:f>
          </x14:formula1>
          <xm:sqref>C5:E5</xm:sqref>
        </x14:dataValidation>
        <x14:dataValidation type="list" allowBlank="1" showInputMessage="1" showErrorMessage="1" xr:uid="{FE17F82F-65E2-40EC-B979-3C44F4C07558}">
          <x14:formula1>
            <xm:f>Listas!$P$5:$P$8</xm:f>
          </x14:formula1>
          <xm:sqref>F120:F129</xm:sqref>
        </x14:dataValidation>
        <x14:dataValidation type="list" allowBlank="1" showInputMessage="1" showErrorMessage="1" xr:uid="{32225A3D-8DFC-4E67-9849-BE67EA0FA541}">
          <x14:formula1>
            <xm:f>Listas!$R$5:$R$7</xm:f>
          </x14:formula1>
          <xm:sqref>D120:D129</xm:sqref>
        </x14:dataValidation>
        <x14:dataValidation type="list" allowBlank="1" showInputMessage="1" showErrorMessage="1" promptTitle="Seleccione herramienta" prompt="Seleccione una opción de la lista o escriba otra herramienta si aplica." xr:uid="{54006033-51B6-4681-B44E-CF4BA5DF8156}">
          <x14:formula1>
            <xm:f>Listas!$J$18:$J$32</xm:f>
          </x14:formula1>
          <xm:sqref>C128</xm:sqref>
        </x14:dataValidation>
        <x14:dataValidation type="list" allowBlank="1" showInputMessage="1" showErrorMessage="1" promptTitle="Seleccione herramienta" prompt="Seleccione una opción de la lista o escriba otra herramienta si aplica." xr:uid="{78BAAC6B-F976-4C5B-9B8F-665D7387CDC4}">
          <x14:formula1>
            <xm:f>Listas!$L$18:$L$32</xm:f>
          </x14:formula1>
          <xm:sqref>C127</xm:sqref>
        </x14:dataValidation>
        <x14:dataValidation type="list" allowBlank="1" showInputMessage="1" showErrorMessage="1" promptTitle="Seleccione herramienta" prompt="Seleccione una opción de la lista o escriba otra herramienta si aplica." xr:uid="{47FE625C-3914-4E92-B003-000F2CB28B65}">
          <x14:formula1>
            <xm:f>Listas!$H$18:$H$32</xm:f>
          </x14:formula1>
          <xm:sqref>C126</xm:sqref>
        </x14:dataValidation>
        <x14:dataValidation type="list" allowBlank="1" showInputMessage="1" showErrorMessage="1" promptTitle="Seleccione herramienta" prompt="Seleccione una opción de la lista o escriba otra herramienta si aplica." xr:uid="{A80788E3-C33C-4192-913C-AF383C4FADF0}">
          <x14:formula1>
            <xm:f>Listas!$N$18:$N$32</xm:f>
          </x14:formula1>
          <xm:sqref>C124</xm:sqref>
        </x14:dataValidation>
        <x14:dataValidation type="list" allowBlank="1" showInputMessage="1" showErrorMessage="1" promptTitle="Seleccione herramienta" prompt="Seleccione una opción de la lista o escriba otra herramienta si aplica." xr:uid="{FD0879D9-1A92-49D2-A7C1-44B0CB468A1F}">
          <x14:formula1>
            <xm:f>Listas!$P$18:$P$32</xm:f>
          </x14:formula1>
          <xm:sqref>C123</xm:sqref>
        </x14:dataValidation>
        <x14:dataValidation type="list" allowBlank="1" showInputMessage="1" showErrorMessage="1" promptTitle="Seleccione herramienta" prompt="Seleccione una opción de la lista o escriba otra herramienta si aplica." xr:uid="{E424FC51-DE9D-4196-BB48-F1C88DD1FF6B}">
          <x14:formula1>
            <xm:f>Listas!$F$18:$F$32</xm:f>
          </x14:formula1>
          <xm:sqref>C122</xm:sqref>
        </x14:dataValidation>
        <x14:dataValidation type="list" allowBlank="1" showInputMessage="1" showErrorMessage="1" promptTitle="Seleccione herramienta" prompt="Seleccione una opción de la lista o escriba otra herramienta si aplica." xr:uid="{7F35B527-B538-48A5-A0B9-282DCBA6A94D}">
          <x14:formula1>
            <xm:f>Listas!$D$18:$D$32</xm:f>
          </x14:formula1>
          <xm:sqref>C121</xm:sqref>
        </x14:dataValidation>
        <x14:dataValidation type="list" allowBlank="1" showInputMessage="1" showErrorMessage="1" promptTitle="Seleccione herramienta" prompt="Seleccione una opción de la lista o escriba otra herramienta si aplica." xr:uid="{8098B548-44C4-4410-BAE3-F040578C17D8}">
          <x14:formula1>
            <xm:f>Listas!$B$18:$B$32</xm:f>
          </x14:formula1>
          <xm:sqref>C120</xm:sqref>
        </x14:dataValidation>
        <x14:dataValidation type="list" allowBlank="1" showInputMessage="1" showErrorMessage="1" xr:uid="{A7D6D034-A4CD-4F0E-ACBD-E3A595245970}">
          <x14:formula1>
            <xm:f>Listas!$J$42:$J$46</xm:f>
          </x14:formula1>
          <xm:sqref>C84:D84</xm:sqref>
        </x14:dataValidation>
        <x14:dataValidation type="list" allowBlank="1" showInputMessage="1" showErrorMessage="1" xr:uid="{750047AE-F335-446B-8CBE-11A75FD0FC52}">
          <x14:formula1>
            <xm:f>Listas!$H$42:$H$45</xm:f>
          </x14:formula1>
          <xm:sqref>C83:D83</xm:sqref>
        </x14:dataValidation>
        <x14:dataValidation type="list" allowBlank="1" showInputMessage="1" showErrorMessage="1" xr:uid="{DF5BBF76-3B68-41DC-821B-99B1377A0F73}">
          <x14:formula1>
            <xm:f>Listas!$F$42:$F$49</xm:f>
          </x14:formula1>
          <xm:sqref>C80:D80</xm:sqref>
        </x14:dataValidation>
        <x14:dataValidation type="list" allowBlank="1" showInputMessage="1" showErrorMessage="1" xr:uid="{4B60CDB3-4EA0-4F3F-A898-D9E9F9189A41}">
          <x14:formula1>
            <xm:f>Listas!$D$42:$D$46</xm:f>
          </x14:formula1>
          <xm:sqref>C79:D79</xm:sqref>
        </x14:dataValidation>
        <x14:dataValidation type="list" allowBlank="1" showInputMessage="1" showErrorMessage="1" xr:uid="{1449A359-EB91-49D7-B093-DD977F4B8167}">
          <x14:formula1>
            <xm:f>Listas!$B$42:$B$45</xm:f>
          </x14:formula1>
          <xm:sqref>C78:D78</xm:sqref>
        </x14:dataValidation>
        <x14:dataValidation type="list" allowBlank="1" showInputMessage="1" showErrorMessage="1" xr:uid="{E7B5DEB7-A436-41F6-82A1-29AA29194EFF}">
          <x14:formula1>
            <xm:f>Listas!$B$50:$B$55</xm:f>
          </x14:formula1>
          <xm:sqref>C115</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65"/>
  <sheetViews>
    <sheetView showGridLines="0" zoomScaleNormal="100" workbookViewId="0">
      <pane xSplit="2" ySplit="2" topLeftCell="C141"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24.140625" style="1" customWidth="1"/>
    <col min="11" max="11" width="40.5703125" style="1" customWidth="1"/>
    <col min="12" max="16384" width="8.5703125" style="1"/>
  </cols>
  <sheetData>
    <row r="1" spans="2:11" ht="7.5" customHeight="1"/>
    <row r="2" spans="2:11" ht="30" customHeight="1">
      <c r="B2" s="211" t="s">
        <v>709</v>
      </c>
      <c r="C2" s="211"/>
      <c r="D2" s="211"/>
      <c r="E2" s="211"/>
      <c r="F2" s="211"/>
      <c r="G2" s="211"/>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246</v>
      </c>
      <c r="D5" s="207"/>
      <c r="E5" s="207"/>
      <c r="I5" s="17" t="s">
        <v>63</v>
      </c>
      <c r="J5" s="18" t="s">
        <v>64</v>
      </c>
      <c r="K5" s="63" t="s">
        <v>65</v>
      </c>
    </row>
    <row r="6" spans="2:11" ht="19.5" customHeight="1">
      <c r="B6" s="37" t="s">
        <v>458</v>
      </c>
      <c r="C6" s="207" t="s">
        <v>710</v>
      </c>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22.5" customHeight="1">
      <c r="B15" s="37" t="s">
        <v>470</v>
      </c>
      <c r="C15" s="38" t="s">
        <v>66</v>
      </c>
      <c r="D15" s="39" t="s">
        <v>469</v>
      </c>
    </row>
    <row r="16" spans="2:11" ht="18.75" customHeight="1">
      <c r="B16" s="37" t="s">
        <v>471</v>
      </c>
      <c r="C16" s="207"/>
      <c r="D16" s="207"/>
      <c r="E16" s="207"/>
    </row>
    <row r="17" spans="2:7" ht="18.75" customHeight="1">
      <c r="B17" s="37" t="s">
        <v>472</v>
      </c>
      <c r="C17" s="207"/>
      <c r="D17" s="207"/>
      <c r="E17" s="207"/>
    </row>
    <row r="18" spans="2:7" ht="18.75" customHeight="1">
      <c r="B18" s="37" t="s">
        <v>473</v>
      </c>
      <c r="C18" s="207"/>
      <c r="D18" s="207"/>
      <c r="E18" s="207"/>
    </row>
    <row r="19" spans="2:7" ht="15"/>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27.75" customHeight="1">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50.2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33">
      <c r="B79" s="16" t="s">
        <v>418</v>
      </c>
      <c r="C79" s="36"/>
      <c r="D79" s="36"/>
      <c r="E79" s="47"/>
      <c r="F79" s="47"/>
    </row>
    <row r="80" spans="2:6" ht="21.75" customHeight="1">
      <c r="B80" s="14" t="s">
        <v>419</v>
      </c>
      <c r="C80" s="45"/>
      <c r="D80" s="45"/>
      <c r="E80" s="45"/>
      <c r="F80" s="45"/>
    </row>
    <row r="81" spans="2:7" ht="33">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25.5" customHeight="1">
      <c r="B95" s="50" t="s">
        <v>581</v>
      </c>
      <c r="C95" s="26"/>
      <c r="D95" s="74" t="s">
        <v>582</v>
      </c>
      <c r="E95" s="49"/>
      <c r="F95" s="36"/>
      <c r="G95" s="5"/>
    </row>
    <row r="96" spans="2:7" ht="50.25">
      <c r="B96" s="48" t="s">
        <v>583</v>
      </c>
      <c r="C96" s="26"/>
      <c r="D96" s="69" t="s">
        <v>584</v>
      </c>
      <c r="E96" s="49"/>
      <c r="F96" s="36"/>
      <c r="G96" s="5"/>
    </row>
    <row r="97" spans="2:7" ht="66.75">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33">
      <c r="B105" s="50" t="s">
        <v>601</v>
      </c>
      <c r="C105" s="26"/>
      <c r="D105" s="74" t="s">
        <v>602</v>
      </c>
      <c r="E105" s="49"/>
      <c r="F105" s="36"/>
      <c r="G105" s="5"/>
    </row>
    <row r="106" spans="2:7" ht="15.75">
      <c r="B106" s="75"/>
      <c r="C106" s="76"/>
      <c r="D106" s="77"/>
    </row>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6" ht="21.75" customHeight="1">
      <c r="B113" s="13" t="s">
        <v>610</v>
      </c>
      <c r="C113" s="64"/>
    </row>
    <row r="114" spans="2:6" ht="21.75" customHeight="1">
      <c r="B114" s="15" t="s">
        <v>611</v>
      </c>
      <c r="C114" s="64"/>
    </row>
    <row r="115" spans="2:6" ht="26.25" customHeight="1">
      <c r="B115" s="131" t="s">
        <v>612</v>
      </c>
      <c r="C115" s="64"/>
    </row>
    <row r="116" spans="2:6" ht="21.75" customHeight="1">
      <c r="B116" s="132" t="s">
        <v>613</v>
      </c>
      <c r="C116" s="117"/>
      <c r="D116" s="117"/>
    </row>
    <row r="117" spans="2:6" ht="15"/>
    <row r="118" spans="2:6" ht="24" customHeight="1">
      <c r="B118" s="104" t="s">
        <v>614</v>
      </c>
      <c r="C118" s="104"/>
      <c r="D118" s="104"/>
      <c r="E118" s="104"/>
      <c r="F118" s="104"/>
    </row>
    <row r="119" spans="2:6" ht="21.75" customHeight="1">
      <c r="B119" s="6" t="s">
        <v>615</v>
      </c>
      <c r="C119" s="6" t="s">
        <v>616</v>
      </c>
      <c r="D119" s="6" t="s">
        <v>617</v>
      </c>
      <c r="E119" s="6" t="s">
        <v>618</v>
      </c>
      <c r="F119" s="6" t="s">
        <v>267</v>
      </c>
    </row>
    <row r="120" spans="2:6" ht="21.75" customHeight="1">
      <c r="B120" s="44" t="s">
        <v>619</v>
      </c>
      <c r="C120" s="99"/>
      <c r="D120" s="45"/>
      <c r="E120" s="14"/>
      <c r="F120" s="45"/>
    </row>
    <row r="121" spans="2:6" ht="21.75" customHeight="1">
      <c r="B121" s="46" t="s">
        <v>620</v>
      </c>
      <c r="C121" s="99"/>
      <c r="D121" s="45"/>
      <c r="E121" s="16"/>
      <c r="F121" s="45"/>
    </row>
    <row r="122" spans="2:6" ht="21.75" customHeight="1">
      <c r="B122" s="44" t="s">
        <v>621</v>
      </c>
      <c r="C122" s="99"/>
      <c r="D122" s="45"/>
      <c r="E122" s="14"/>
      <c r="F122" s="45"/>
    </row>
    <row r="123" spans="2:6" ht="21.75" customHeight="1">
      <c r="B123" s="46" t="s">
        <v>622</v>
      </c>
      <c r="C123" s="99"/>
      <c r="D123" s="45"/>
      <c r="E123" s="16"/>
      <c r="F123" s="45"/>
    </row>
    <row r="124" spans="2:6" ht="27" customHeight="1">
      <c r="B124" s="14" t="s">
        <v>623</v>
      </c>
      <c r="C124" s="99"/>
      <c r="D124" s="45"/>
      <c r="E124" s="14"/>
      <c r="F124" s="45"/>
    </row>
    <row r="125" spans="2:6" ht="31.5" customHeight="1">
      <c r="B125" s="16" t="s">
        <v>624</v>
      </c>
      <c r="C125" s="99"/>
      <c r="D125" s="45"/>
      <c r="E125" s="16"/>
      <c r="F125" s="45"/>
    </row>
    <row r="126" spans="2:6" ht="21.75" customHeight="1">
      <c r="B126" s="44" t="s">
        <v>625</v>
      </c>
      <c r="C126" s="99"/>
      <c r="D126" s="45"/>
      <c r="E126" s="14"/>
      <c r="F126" s="45"/>
    </row>
    <row r="127" spans="2:6" ht="21.75" customHeight="1">
      <c r="B127" s="46" t="s">
        <v>626</v>
      </c>
      <c r="C127" s="99"/>
      <c r="D127" s="45"/>
      <c r="E127" s="16"/>
      <c r="F127" s="45"/>
    </row>
    <row r="128" spans="2:6"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2" spans="2:11" ht="15"/>
    <row r="153" spans="2:11" ht="22.5" customHeight="1">
      <c r="B153" s="200" t="s">
        <v>652</v>
      </c>
      <c r="C153" s="200"/>
      <c r="D153" s="200"/>
      <c r="E153" s="200"/>
      <c r="F153" s="200"/>
      <c r="G153" s="200"/>
      <c r="H153" s="231"/>
      <c r="I153" s="133" t="s">
        <v>653</v>
      </c>
      <c r="J153" s="133" t="s">
        <v>654</v>
      </c>
      <c r="K153" s="133" t="s">
        <v>655</v>
      </c>
    </row>
    <row r="154" spans="2:11" ht="29.25" customHeight="1">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ht="27">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7">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27.75" customHeight="1">
      <c r="B160" s="94" t="s">
        <v>682</v>
      </c>
      <c r="C160" s="93"/>
      <c r="D160" s="92" t="s">
        <v>683</v>
      </c>
      <c r="E160" s="93"/>
      <c r="F160" s="92" t="s">
        <v>684</v>
      </c>
      <c r="G160" s="93"/>
      <c r="H160" s="231"/>
      <c r="I160" s="134" t="s">
        <v>685</v>
      </c>
      <c r="J160" s="123" t="s">
        <v>686</v>
      </c>
      <c r="K160" s="123" t="s">
        <v>687</v>
      </c>
    </row>
    <row r="161" spans="2:11" ht="30.75" customHeight="1">
      <c r="B161" s="92" t="s">
        <v>688</v>
      </c>
      <c r="C161" s="93"/>
      <c r="D161" s="92" t="s">
        <v>689</v>
      </c>
      <c r="E161" s="93"/>
      <c r="F161" s="92" t="s">
        <v>690</v>
      </c>
      <c r="G161" s="93"/>
      <c r="H161" s="231"/>
      <c r="I161" s="134" t="s">
        <v>691</v>
      </c>
      <c r="J161" s="123" t="s">
        <v>692</v>
      </c>
      <c r="K161" s="123" t="s">
        <v>693</v>
      </c>
    </row>
    <row r="162" spans="2:11" ht="15.75" customHeight="1">
      <c r="B162" s="94" t="s">
        <v>694</v>
      </c>
      <c r="C162" s="93"/>
      <c r="D162" s="92" t="s">
        <v>695</v>
      </c>
      <c r="E162" s="93"/>
      <c r="F162" s="92" t="s">
        <v>696</v>
      </c>
      <c r="G162" s="93"/>
      <c r="H162" s="231"/>
    </row>
    <row r="163" spans="2:11" ht="15">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45.75">
      <c r="B165" s="92" t="s">
        <v>699</v>
      </c>
      <c r="C165" s="199"/>
      <c r="D165" s="199"/>
      <c r="E165" s="199"/>
      <c r="F165" s="199"/>
      <c r="G165" s="199"/>
      <c r="H165" s="231"/>
    </row>
  </sheetData>
  <mergeCells count="50">
    <mergeCell ref="C149:G149"/>
    <mergeCell ref="C150:G150"/>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43:G143"/>
    <mergeCell ref="B65:F65"/>
    <mergeCell ref="C159:G159"/>
    <mergeCell ref="C163:G163"/>
    <mergeCell ref="C164:G164"/>
    <mergeCell ref="C151:G151"/>
    <mergeCell ref="C144:G144"/>
    <mergeCell ref="C145:G145"/>
    <mergeCell ref="C146:G146"/>
    <mergeCell ref="C147:G147"/>
    <mergeCell ref="C148:G148"/>
    <mergeCell ref="C136:G136"/>
    <mergeCell ref="C137:G137"/>
    <mergeCell ref="C138:G138"/>
    <mergeCell ref="C139:G139"/>
    <mergeCell ref="B141:G141"/>
    <mergeCell ref="C165:G165"/>
    <mergeCell ref="B153:G153"/>
    <mergeCell ref="C155:G155"/>
    <mergeCell ref="C156:G156"/>
    <mergeCell ref="C157:G157"/>
    <mergeCell ref="C158:G158"/>
  </mergeCells>
  <dataValidations count="6">
    <dataValidation type="list" allowBlank="1" sqref="G23:G27 G30:G36 G39:G41 G44:G45" xr:uid="{00000000-0002-0000-0700-000003000000}">
      <formula1>"Alta,Media,Baja,Sin mejora"</formula1>
      <formula2>0</formula2>
    </dataValidation>
    <dataValidation type="list" allowBlank="1" sqref="C88:C106"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29"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95A81D3A-DB20-48F4-9F6E-7A051DA9635D}">
      <formula1>"Microsoft Teams Phone,Genesys Cloud,Avaya,3CX,Cisco Webex Contact Center,Amazon Connect,Twilio Flex,Five9,NICE CXone,Talkdesk"</formula1>
    </dataValidation>
    <dataValidation type="date" allowBlank="1" showInputMessage="1" showErrorMessage="1" sqref="C8:E8" xr:uid="{0B9B5DEC-3066-4631-82F2-DC97D4CA5FDB}">
      <formula1>46174</formula1>
      <formula2>46368</formula2>
    </dataValidation>
    <dataValidation allowBlank="1" sqref="C16:E18" xr:uid="{C56D03DE-A6DD-4530-945F-B8C3D2AD9DC6}"/>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E988B645-EE13-4D70-A691-EC3C8031D8AA}">
          <x14:formula1>
            <xm:f>Listas!$H$5:$H$9</xm:f>
          </x14:formula1>
          <x14:formula2>
            <xm:f>0</xm:f>
          </x14:formula2>
          <xm:sqref>C12</xm:sqref>
        </x14:dataValidation>
        <x14:dataValidation type="list" allowBlank="1" xr:uid="{59AF83A3-BD05-4564-A71E-D464617B6607}">
          <x14:formula1>
            <xm:f>Listas!$D$5:$D$10</xm:f>
          </x14:formula1>
          <x14:formula2>
            <xm:f>0</xm:f>
          </x14:formula2>
          <xm:sqref>C14:C15</xm:sqref>
        </x14:dataValidation>
        <x14:dataValidation type="list" allowBlank="1" xr:uid="{00000000-0002-0000-0700-000002000000}">
          <x14:formula1>
            <xm:f>Listas!$B$5:$B$8</xm:f>
          </x14:formula1>
          <x14:formula2>
            <xm:f>0</xm:f>
          </x14:formula2>
          <xm:sqref>D23:D27 D30:D36 D39:D41 D44:D45</xm:sqref>
        </x14:dataValidation>
        <x14:dataValidation type="list" allowBlank="1" xr:uid="{00000000-0002-0000-0700-000005000000}">
          <x14:formula1>
            <xm:f>Listas!$F$5:$F$7</xm:f>
          </x14:formula1>
          <x14:formula2>
            <xm:f>0</xm:f>
          </x14:formula2>
          <xm:sqref>F88:F105</xm:sqref>
        </x14:dataValidation>
        <x14:dataValidation type="list" allowBlank="1" xr:uid="{00000000-0002-0000-0700-000006000000}">
          <x14:formula1>
            <xm:f>Listas!$L$5:$L$7</xm:f>
          </x14:formula1>
          <x14:formula2>
            <xm:f>0</xm:f>
          </x14:formula2>
          <xm:sqref>C147</xm:sqref>
        </x14:dataValidation>
        <x14:dataValidation type="list" allowBlank="1" showInputMessage="1" showErrorMessage="1" xr:uid="{336EC771-09C3-40BB-97FA-7CF13117986F}">
          <x14:formula1>
            <xm:f>Listas!$N$5:$N$10</xm:f>
          </x14:formula1>
          <xm:sqref>C5:E5</xm:sqref>
        </x14:dataValidation>
        <x14:dataValidation type="list" allowBlank="1" showInputMessage="1" showErrorMessage="1" xr:uid="{3A9B6E8C-9A4B-427C-AB9C-AD5393F1D6EB}">
          <x14:formula1>
            <xm:f>Listas!$P$5:$P$8</xm:f>
          </x14:formula1>
          <xm:sqref>F120:F129</xm:sqref>
        </x14:dataValidation>
        <x14:dataValidation type="list" allowBlank="1" showInputMessage="1" showErrorMessage="1" xr:uid="{F1838F98-B980-4B80-9367-AF4C85EA6660}">
          <x14:formula1>
            <xm:f>Listas!$R$5:$R$7</xm:f>
          </x14:formula1>
          <xm:sqref>D120:D129</xm:sqref>
        </x14:dataValidation>
        <x14:dataValidation type="list" allowBlank="1" showInputMessage="1" showErrorMessage="1" promptTitle="Seleccione herramienta" prompt="Seleccione una opción de la lista o escriba otra herramienta si aplica." xr:uid="{99DAB139-5967-4E21-A605-68C12AC3C0EC}">
          <x14:formula1>
            <xm:f>Listas!$J$18:$J$32</xm:f>
          </x14:formula1>
          <xm:sqref>C128</xm:sqref>
        </x14:dataValidation>
        <x14:dataValidation type="list" allowBlank="1" showInputMessage="1" showErrorMessage="1" promptTitle="Seleccione herramienta" prompt="Seleccione una opción de la lista o escriba otra herramienta si aplica." xr:uid="{32A5EAD7-7BE9-4F95-8449-339B0E9EF23A}">
          <x14:formula1>
            <xm:f>Listas!$L$18:$L$32</xm:f>
          </x14:formula1>
          <xm:sqref>C127</xm:sqref>
        </x14:dataValidation>
        <x14:dataValidation type="list" allowBlank="1" showInputMessage="1" showErrorMessage="1" promptTitle="Seleccione herramienta" prompt="Seleccione una opción de la lista o escriba otra herramienta si aplica." xr:uid="{A6403977-E9EA-4913-8F23-6BBD5F3F6B0B}">
          <x14:formula1>
            <xm:f>Listas!$H$18:$H$32</xm:f>
          </x14:formula1>
          <xm:sqref>C126</xm:sqref>
        </x14:dataValidation>
        <x14:dataValidation type="list" allowBlank="1" showInputMessage="1" showErrorMessage="1" promptTitle="Seleccione herramienta" prompt="Seleccione una opción de la lista o escriba otra herramienta si aplica." xr:uid="{10D894F6-3C2C-43C9-9A55-BBD9D17AAF9F}">
          <x14:formula1>
            <xm:f>Listas!$N$18:$N$32</xm:f>
          </x14:formula1>
          <xm:sqref>C124</xm:sqref>
        </x14:dataValidation>
        <x14:dataValidation type="list" allowBlank="1" showInputMessage="1" showErrorMessage="1" promptTitle="Seleccione herramienta" prompt="Seleccione una opción de la lista o escriba otra herramienta si aplica." xr:uid="{829FDC96-E52C-4442-8FC5-B78A2699C1B9}">
          <x14:formula1>
            <xm:f>Listas!$P$18:$P$32</xm:f>
          </x14:formula1>
          <xm:sqref>C123</xm:sqref>
        </x14:dataValidation>
        <x14:dataValidation type="list" allowBlank="1" showInputMessage="1" showErrorMessage="1" promptTitle="Seleccione herramienta" prompt="Seleccione una opción de la lista o escriba otra herramienta si aplica." xr:uid="{159706EE-85BE-46F6-A9DE-F56F5DCC127F}">
          <x14:formula1>
            <xm:f>Listas!$F$18:$F$32</xm:f>
          </x14:formula1>
          <xm:sqref>C122</xm:sqref>
        </x14:dataValidation>
        <x14:dataValidation type="list" allowBlank="1" showInputMessage="1" showErrorMessage="1" promptTitle="Seleccione herramienta" prompt="Seleccione una opción de la lista o escriba otra herramienta si aplica." xr:uid="{B2697653-5D7C-4064-980E-A0DB3A82A8C4}">
          <x14:formula1>
            <xm:f>Listas!$D$18:$D$32</xm:f>
          </x14:formula1>
          <xm:sqref>C121</xm:sqref>
        </x14:dataValidation>
        <x14:dataValidation type="list" allowBlank="1" showInputMessage="1" showErrorMessage="1" promptTitle="Seleccione herramienta" prompt="Seleccione una opción de la lista o escriba otra herramienta si aplica." xr:uid="{D81CD239-189D-4F54-B210-86356E0D36D5}">
          <x14:formula1>
            <xm:f>Listas!$B$18:$B$32</xm:f>
          </x14:formula1>
          <xm:sqref>C120</xm:sqref>
        </x14:dataValidation>
        <x14:dataValidation type="list" allowBlank="1" showInputMessage="1" showErrorMessage="1" xr:uid="{DF2E3B34-C6A3-403A-9349-E6904790E263}">
          <x14:formula1>
            <xm:f>Listas!$J$42:$J$46</xm:f>
          </x14:formula1>
          <xm:sqref>C84:D84</xm:sqref>
        </x14:dataValidation>
        <x14:dataValidation type="list" allowBlank="1" showInputMessage="1" showErrorMessage="1" xr:uid="{EB989175-B03C-4D3C-8F4B-69157D99EFF0}">
          <x14:formula1>
            <xm:f>Listas!$H$42:$H$45</xm:f>
          </x14:formula1>
          <xm:sqref>C83:D83</xm:sqref>
        </x14:dataValidation>
        <x14:dataValidation type="list" allowBlank="1" showInputMessage="1" showErrorMessage="1" xr:uid="{4140356E-FD1D-4967-AF3B-855A56F90B8A}">
          <x14:formula1>
            <xm:f>Listas!$F$42:$F$49</xm:f>
          </x14:formula1>
          <xm:sqref>C80:D80</xm:sqref>
        </x14:dataValidation>
        <x14:dataValidation type="list" allowBlank="1" showInputMessage="1" showErrorMessage="1" xr:uid="{B283D698-28D1-4E3F-99AF-B1667A396516}">
          <x14:formula1>
            <xm:f>Listas!$D$42:$D$46</xm:f>
          </x14:formula1>
          <xm:sqref>C79:D79</xm:sqref>
        </x14:dataValidation>
        <x14:dataValidation type="list" allowBlank="1" showInputMessage="1" showErrorMessage="1" xr:uid="{84F6D5C2-ECD7-4ED3-A83E-844EB6C22F47}">
          <x14:formula1>
            <xm:f>Listas!$B$42:$B$45</xm:f>
          </x14:formula1>
          <xm:sqref>C78:D78</xm:sqref>
        </x14:dataValidation>
        <x14:dataValidation type="list" allowBlank="1" showInputMessage="1" showErrorMessage="1" xr:uid="{B2567787-E4C3-40F4-BC29-BD11AE39571F}">
          <x14:formula1>
            <xm:f>Listas!$B$50:$B$55</xm:f>
          </x14:formula1>
          <xm:sqref>C115</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65"/>
  <sheetViews>
    <sheetView showGridLines="0" zoomScaleNormal="100" workbookViewId="0">
      <pane xSplit="2" ySplit="2" topLeftCell="C88" activePane="bottomRight" state="frozen"/>
      <selection pane="bottomRight" activeCell="C105" sqref="C105"/>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1.140625" style="1" customWidth="1"/>
    <col min="5" max="5" width="40" style="1" customWidth="1"/>
    <col min="6" max="6" width="19.140625" style="1" customWidth="1"/>
    <col min="7" max="7" width="27.28515625" style="1" customWidth="1"/>
    <col min="8" max="8" width="8.5703125" style="1"/>
    <col min="9" max="9" width="12.42578125" style="1" customWidth="1"/>
    <col min="10" max="10" width="20.7109375" style="1" customWidth="1"/>
    <col min="11" max="11" width="40.42578125" style="1" customWidth="1"/>
    <col min="12" max="16384" width="8.5703125" style="1"/>
  </cols>
  <sheetData>
    <row r="1" spans="2:11" ht="7.5" customHeight="1"/>
    <row r="2" spans="2:11" ht="30" customHeight="1">
      <c r="B2" s="211" t="s">
        <v>711</v>
      </c>
      <c r="C2" s="211"/>
      <c r="D2" s="211"/>
      <c r="E2" s="211"/>
      <c r="F2" s="211"/>
      <c r="G2" s="211"/>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246</v>
      </c>
      <c r="D5" s="207"/>
      <c r="E5" s="207"/>
      <c r="I5" s="17" t="s">
        <v>63</v>
      </c>
      <c r="J5" s="18" t="s">
        <v>64</v>
      </c>
      <c r="K5" s="63" t="s">
        <v>65</v>
      </c>
    </row>
    <row r="6" spans="2:11" ht="19.5" customHeight="1">
      <c r="B6" s="37" t="s">
        <v>458</v>
      </c>
      <c r="C6" s="207" t="s">
        <v>701</v>
      </c>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22.5" customHeight="1">
      <c r="B17" s="37" t="s">
        <v>472</v>
      </c>
      <c r="C17" s="207"/>
      <c r="D17" s="207"/>
      <c r="E17" s="207"/>
    </row>
    <row r="18" spans="2:7" ht="22.5" customHeight="1">
      <c r="B18" s="37" t="s">
        <v>473</v>
      </c>
      <c r="C18" s="207"/>
      <c r="D18" s="207"/>
      <c r="E18" s="207"/>
    </row>
    <row r="19" spans="2:7" ht="15"/>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27.75" customHeight="1">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50.2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33">
      <c r="B79" s="16" t="s">
        <v>418</v>
      </c>
      <c r="C79" s="36"/>
      <c r="D79" s="36"/>
      <c r="E79" s="47"/>
      <c r="F79" s="47"/>
    </row>
    <row r="80" spans="2:6" ht="21.75" customHeight="1">
      <c r="B80" s="14" t="s">
        <v>419</v>
      </c>
      <c r="C80" s="45"/>
      <c r="D80" s="45"/>
      <c r="E80" s="45"/>
      <c r="F80" s="45"/>
    </row>
    <row r="81" spans="2:7" ht="33">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25.5" customHeight="1">
      <c r="B95" s="50" t="s">
        <v>581</v>
      </c>
      <c r="C95" s="26"/>
      <c r="D95" s="74" t="s">
        <v>582</v>
      </c>
      <c r="E95" s="49"/>
      <c r="F95" s="36"/>
      <c r="G95" s="5"/>
    </row>
    <row r="96" spans="2:7" ht="25.5" customHeight="1">
      <c r="B96" s="48" t="s">
        <v>583</v>
      </c>
      <c r="C96" s="26"/>
      <c r="D96" s="69" t="s">
        <v>584</v>
      </c>
      <c r="E96" s="49"/>
      <c r="F96" s="36"/>
      <c r="G96" s="5"/>
    </row>
    <row r="97" spans="2:7" ht="83.25">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t="s">
        <v>93</v>
      </c>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t="s">
        <v>86</v>
      </c>
      <c r="D105" s="74" t="s">
        <v>602</v>
      </c>
      <c r="E105" s="49"/>
      <c r="F105" s="36"/>
      <c r="G105" s="5"/>
    </row>
    <row r="106" spans="2:7" ht="15"/>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6" ht="21.75" customHeight="1">
      <c r="B113" s="13" t="s">
        <v>610</v>
      </c>
      <c r="C113" s="64"/>
    </row>
    <row r="114" spans="2:6" ht="21.75" customHeight="1">
      <c r="B114" s="15" t="s">
        <v>611</v>
      </c>
      <c r="C114" s="64"/>
    </row>
    <row r="115" spans="2:6" ht="27" customHeight="1">
      <c r="B115" s="131" t="s">
        <v>612</v>
      </c>
      <c r="C115" s="64"/>
    </row>
    <row r="116" spans="2:6" ht="21.75" customHeight="1">
      <c r="B116" s="132" t="s">
        <v>613</v>
      </c>
      <c r="C116" s="117"/>
      <c r="D116" s="117"/>
    </row>
    <row r="117" spans="2:6" ht="15"/>
    <row r="118" spans="2:6" ht="24" customHeight="1">
      <c r="B118" s="104" t="s">
        <v>614</v>
      </c>
      <c r="C118" s="104"/>
      <c r="D118" s="104"/>
      <c r="E118" s="104"/>
      <c r="F118" s="104"/>
    </row>
    <row r="119" spans="2:6" ht="21.75" customHeight="1">
      <c r="B119" s="6" t="s">
        <v>615</v>
      </c>
      <c r="C119" s="6" t="s">
        <v>616</v>
      </c>
      <c r="D119" s="6" t="s">
        <v>617</v>
      </c>
      <c r="E119" s="6" t="s">
        <v>618</v>
      </c>
      <c r="F119" s="6" t="s">
        <v>267</v>
      </c>
    </row>
    <row r="120" spans="2:6" ht="21.75" customHeight="1">
      <c r="B120" s="44" t="s">
        <v>619</v>
      </c>
      <c r="C120" s="45"/>
      <c r="D120" s="45"/>
      <c r="E120" s="14"/>
      <c r="F120" s="45"/>
    </row>
    <row r="121" spans="2:6" ht="21.75" customHeight="1">
      <c r="B121" s="46" t="s">
        <v>620</v>
      </c>
      <c r="C121" s="47"/>
      <c r="D121" s="45"/>
      <c r="E121" s="16"/>
      <c r="F121" s="45"/>
    </row>
    <row r="122" spans="2:6" ht="21.75" customHeight="1">
      <c r="B122" s="44" t="s">
        <v>621</v>
      </c>
      <c r="C122" s="45"/>
      <c r="D122" s="45"/>
      <c r="E122" s="14"/>
      <c r="F122" s="45"/>
    </row>
    <row r="123" spans="2:6" ht="21.75" customHeight="1">
      <c r="B123" s="46" t="s">
        <v>622</v>
      </c>
      <c r="C123" s="47"/>
      <c r="D123" s="45"/>
      <c r="E123" s="16"/>
      <c r="F123" s="45"/>
    </row>
    <row r="124" spans="2:6" ht="33" customHeight="1">
      <c r="B124" s="14" t="s">
        <v>623</v>
      </c>
      <c r="C124" s="45"/>
      <c r="D124" s="45"/>
      <c r="E124" s="14"/>
      <c r="F124" s="45"/>
    </row>
    <row r="125" spans="2:6" ht="27.75" customHeight="1">
      <c r="B125" s="16" t="s">
        <v>624</v>
      </c>
      <c r="C125" s="47"/>
      <c r="D125" s="45"/>
      <c r="E125" s="16"/>
      <c r="F125" s="45"/>
    </row>
    <row r="126" spans="2:6" ht="21.75" customHeight="1">
      <c r="B126" s="44" t="s">
        <v>625</v>
      </c>
      <c r="C126" s="45"/>
      <c r="D126" s="45"/>
      <c r="E126" s="14"/>
      <c r="F126" s="45"/>
    </row>
    <row r="127" spans="2:6" ht="21.75" customHeight="1">
      <c r="B127" s="46" t="s">
        <v>626</v>
      </c>
      <c r="C127" s="47"/>
      <c r="D127" s="45"/>
      <c r="E127" s="16"/>
      <c r="F127" s="45"/>
    </row>
    <row r="128" spans="2:6" ht="21.75" customHeight="1">
      <c r="B128" s="44" t="s">
        <v>627</v>
      </c>
      <c r="C128" s="45"/>
      <c r="D128" s="45"/>
      <c r="E128" s="14"/>
      <c r="F128" s="45"/>
    </row>
    <row r="129" spans="2:7" ht="21.75" customHeight="1">
      <c r="B129" s="46" t="s">
        <v>628</v>
      </c>
      <c r="C129" s="47"/>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2" spans="2:11" ht="15"/>
    <row r="153" spans="2:11" ht="23.25" customHeight="1">
      <c r="B153" s="200" t="s">
        <v>652</v>
      </c>
      <c r="C153" s="200"/>
      <c r="D153" s="200"/>
      <c r="E153" s="200"/>
      <c r="F153" s="200"/>
      <c r="G153" s="200"/>
      <c r="H153" s="231"/>
      <c r="I153" s="133" t="s">
        <v>653</v>
      </c>
      <c r="J153" s="133" t="s">
        <v>654</v>
      </c>
      <c r="K153" s="133" t="s">
        <v>655</v>
      </c>
    </row>
    <row r="154" spans="2:11" ht="30.75">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ht="27">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7">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40.5">
      <c r="B160" s="94" t="s">
        <v>682</v>
      </c>
      <c r="C160" s="93"/>
      <c r="D160" s="92" t="s">
        <v>683</v>
      </c>
      <c r="E160" s="93"/>
      <c r="F160" s="92" t="s">
        <v>684</v>
      </c>
      <c r="G160" s="93"/>
      <c r="H160" s="231"/>
      <c r="I160" s="134" t="s">
        <v>685</v>
      </c>
      <c r="J160" s="123" t="s">
        <v>686</v>
      </c>
      <c r="K160" s="123" t="s">
        <v>687</v>
      </c>
    </row>
    <row r="161" spans="2:11" ht="32.25" customHeight="1">
      <c r="B161" s="92" t="s">
        <v>688</v>
      </c>
      <c r="C161" s="93"/>
      <c r="D161" s="92" t="s">
        <v>689</v>
      </c>
      <c r="E161" s="93"/>
      <c r="F161" s="92" t="s">
        <v>690</v>
      </c>
      <c r="G161" s="93"/>
      <c r="H161" s="231"/>
      <c r="I161" s="134" t="s">
        <v>691</v>
      </c>
      <c r="J161" s="123" t="s">
        <v>692</v>
      </c>
      <c r="K161" s="123" t="s">
        <v>693</v>
      </c>
    </row>
    <row r="162" spans="2:11" ht="15">
      <c r="B162" s="94" t="s">
        <v>694</v>
      </c>
      <c r="C162" s="93"/>
      <c r="D162" s="92" t="s">
        <v>695</v>
      </c>
      <c r="E162" s="93"/>
      <c r="F162" s="92" t="s">
        <v>696</v>
      </c>
      <c r="G162" s="93"/>
      <c r="H162" s="231"/>
    </row>
    <row r="163" spans="2:11" ht="15">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45.75">
      <c r="B165" s="92" t="s">
        <v>699</v>
      </c>
      <c r="C165" s="199"/>
      <c r="D165" s="199"/>
      <c r="E165" s="199"/>
      <c r="F165" s="199"/>
      <c r="G165" s="199"/>
      <c r="H165" s="231"/>
    </row>
  </sheetData>
  <mergeCells count="50">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43:G143"/>
    <mergeCell ref="B65:F65"/>
    <mergeCell ref="C159:G159"/>
    <mergeCell ref="C163:G163"/>
    <mergeCell ref="C164:G164"/>
    <mergeCell ref="C149:G149"/>
    <mergeCell ref="C144:G144"/>
    <mergeCell ref="C145:G145"/>
    <mergeCell ref="C146:G146"/>
    <mergeCell ref="C147:G147"/>
    <mergeCell ref="C148:G148"/>
    <mergeCell ref="C136:G136"/>
    <mergeCell ref="C137:G137"/>
    <mergeCell ref="C138:G138"/>
    <mergeCell ref="C139:G139"/>
    <mergeCell ref="B141:G141"/>
    <mergeCell ref="C165:G165"/>
    <mergeCell ref="B153:G153"/>
    <mergeCell ref="C155:G155"/>
    <mergeCell ref="C156:G156"/>
    <mergeCell ref="C157:G157"/>
    <mergeCell ref="C158:G158"/>
  </mergeCells>
  <dataValidations count="4">
    <dataValidation type="list" allowBlank="1" sqref="G23:G27 G30:G36 G39:G41 G44:G45" xr:uid="{00000000-0002-0000-0800-000003000000}">
      <formula1>"Alta,Media,Baja,Sin mejora"</formula1>
      <formula2>0</formula2>
    </dataValidation>
    <dataValidation type="list" allowBlank="1" sqref="C88:C105" xr:uid="{00000000-0002-0000-0800-000004000000}">
      <formula1>"Sí,No,Parcial"</formula1>
      <formula2>0</formula2>
    </dataValidation>
    <dataValidation allowBlank="1" sqref="C16:E18" xr:uid="{1C9FD569-0BE5-4894-81AA-95FD31212998}"/>
    <dataValidation type="date" allowBlank="1" showInputMessage="1" showErrorMessage="1" sqref="C8:E8" xr:uid="{E53CE7D5-C9BB-42CA-A83C-B4149BC7DE8D}">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xr:uid="{B8E0F09C-7DC1-4F29-8041-1C28791A1B4A}">
          <x14:formula1>
            <xm:f>Listas!$H$5:$H$9</xm:f>
          </x14:formula1>
          <x14:formula2>
            <xm:f>0</xm:f>
          </x14:formula2>
          <xm:sqref>C12</xm:sqref>
        </x14:dataValidation>
        <x14:dataValidation type="list" allowBlank="1" xr:uid="{DAD4E237-0D16-4C0A-B06E-00EA169E481E}">
          <x14:formula1>
            <xm:f>Listas!$D$5:$D$10</xm:f>
          </x14:formula1>
          <x14:formula2>
            <xm:f>0</xm:f>
          </x14:formula2>
          <xm:sqref>C14:C15</xm:sqref>
        </x14:dataValidation>
        <x14:dataValidation type="list" allowBlank="1" xr:uid="{00000000-0002-0000-0800-000002000000}">
          <x14:formula1>
            <xm:f>Listas!$B$5:$B$8</xm:f>
          </x14:formula1>
          <x14:formula2>
            <xm:f>0</xm:f>
          </x14:formula2>
          <xm:sqref>D23:D27 D30:D36 D39:D41 D44:D45</xm:sqref>
        </x14:dataValidation>
        <x14:dataValidation type="list" allowBlank="1" xr:uid="{00000000-0002-0000-0800-000005000000}">
          <x14:formula1>
            <xm:f>Listas!$F$5:$F$7</xm:f>
          </x14:formula1>
          <x14:formula2>
            <xm:f>0</xm:f>
          </x14:formula2>
          <xm:sqref>F88:F105</xm:sqref>
        </x14:dataValidation>
        <x14:dataValidation type="list" allowBlank="1" xr:uid="{00000000-0002-0000-0800-000006000000}">
          <x14:formula1>
            <xm:f>Listas!$L$5:$L$7</xm:f>
          </x14:formula1>
          <x14:formula2>
            <xm:f>0</xm:f>
          </x14:formula2>
          <xm:sqref>C147</xm:sqref>
        </x14:dataValidation>
        <x14:dataValidation type="list" allowBlank="1" showInputMessage="1" showErrorMessage="1" xr:uid="{8DCF4BE0-93F3-4252-8A6B-4E4E5D782944}">
          <x14:formula1>
            <xm:f>Listas!$N$5:$N$10</xm:f>
          </x14:formula1>
          <xm:sqref>C5:E5</xm:sqref>
        </x14:dataValidation>
        <x14:dataValidation type="list" allowBlank="1" showInputMessage="1" showErrorMessage="1" xr:uid="{18CE5E0E-7254-4385-AEB2-1486967132E0}">
          <x14:formula1>
            <xm:f>Listas!$P$5:$P$8</xm:f>
          </x14:formula1>
          <xm:sqref>F120:F129</xm:sqref>
        </x14:dataValidation>
        <x14:dataValidation type="list" allowBlank="1" showInputMessage="1" showErrorMessage="1" xr:uid="{9761CBEA-289E-469A-827E-4DD3C0A5B669}">
          <x14:formula1>
            <xm:f>Listas!$R$5:$R$7</xm:f>
          </x14:formula1>
          <xm:sqref>D120:D129</xm:sqref>
        </x14:dataValidation>
        <x14:dataValidation type="list" allowBlank="1" showInputMessage="1" showErrorMessage="1" xr:uid="{B1F9CC3D-9639-492C-8667-005277C826D6}">
          <x14:formula1>
            <xm:f>Listas!$J$42:$J$46</xm:f>
          </x14:formula1>
          <xm:sqref>C84:D84</xm:sqref>
        </x14:dataValidation>
        <x14:dataValidation type="list" allowBlank="1" showInputMessage="1" showErrorMessage="1" xr:uid="{51235C29-961E-4166-A99A-65C898799C88}">
          <x14:formula1>
            <xm:f>Listas!$H$42:$H$45</xm:f>
          </x14:formula1>
          <xm:sqref>C83:D83</xm:sqref>
        </x14:dataValidation>
        <x14:dataValidation type="list" allowBlank="1" showInputMessage="1" showErrorMessage="1" xr:uid="{F8B97C04-D518-4AE3-B253-C59B41507A14}">
          <x14:formula1>
            <xm:f>Listas!$F$42:$F$49</xm:f>
          </x14:formula1>
          <xm:sqref>C80:D80</xm:sqref>
        </x14:dataValidation>
        <x14:dataValidation type="list" allowBlank="1" showInputMessage="1" showErrorMessage="1" xr:uid="{24008BA9-D38C-47C2-81B3-E1E6CD9512FC}">
          <x14:formula1>
            <xm:f>Listas!$D$42:$D$46</xm:f>
          </x14:formula1>
          <xm:sqref>C79:D79</xm:sqref>
        </x14:dataValidation>
        <x14:dataValidation type="list" allowBlank="1" showInputMessage="1" showErrorMessage="1" xr:uid="{996CA3E2-8A60-4F66-BA3A-24001849ABA8}">
          <x14:formula1>
            <xm:f>Listas!$B$42:$B$45</xm:f>
          </x14:formula1>
          <xm:sqref>C78:D78</xm:sqref>
        </x14:dataValidation>
        <x14:dataValidation type="list" allowBlank="1" showInputMessage="1" showErrorMessage="1" xr:uid="{F012717D-E78F-4C9A-8E40-998A017CE865}">
          <x14:formula1>
            <xm:f>Listas!$B$50:$B$55</xm:f>
          </x14:formula1>
          <xm:sqref>C115</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65"/>
  <sheetViews>
    <sheetView showGridLines="0" zoomScaleNormal="100" workbookViewId="0">
      <pane xSplit="2" ySplit="2" topLeftCell="C143"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19.5703125" style="1" customWidth="1"/>
    <col min="7" max="7" width="28.28515625" style="1" customWidth="1"/>
    <col min="8" max="8" width="8.5703125" style="1"/>
    <col min="9" max="9" width="14.85546875" style="1" customWidth="1"/>
    <col min="10" max="10" width="30.85546875" style="1" customWidth="1"/>
    <col min="11" max="11" width="32.28515625" style="1" customWidth="1"/>
    <col min="12" max="16384" width="8.5703125" style="1"/>
  </cols>
  <sheetData>
    <row r="1" spans="2:11" ht="7.5" customHeight="1"/>
    <row r="2" spans="2:11" ht="30" customHeight="1">
      <c r="B2" s="217" t="s">
        <v>712</v>
      </c>
      <c r="C2" s="217"/>
      <c r="D2" s="217"/>
      <c r="E2" s="217"/>
      <c r="F2" s="217"/>
      <c r="G2" s="217"/>
    </row>
    <row r="3" spans="2:11" ht="18" customHeight="1">
      <c r="B3" s="212" t="s">
        <v>455</v>
      </c>
      <c r="C3" s="212"/>
      <c r="D3" s="212"/>
      <c r="E3" s="212"/>
      <c r="F3" s="212"/>
      <c r="G3" s="212"/>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278</v>
      </c>
      <c r="D5" s="207"/>
      <c r="E5" s="207"/>
      <c r="I5" s="17" t="s">
        <v>63</v>
      </c>
      <c r="J5" s="18" t="s">
        <v>64</v>
      </c>
      <c r="K5" s="63" t="s">
        <v>65</v>
      </c>
    </row>
    <row r="6" spans="2:11" ht="19.5" customHeight="1">
      <c r="B6" s="37" t="s">
        <v>458</v>
      </c>
      <c r="C6" s="207" t="s">
        <v>713</v>
      </c>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21" customHeight="1">
      <c r="B18" s="37" t="s">
        <v>473</v>
      </c>
      <c r="C18" s="207"/>
      <c r="D18" s="207"/>
      <c r="E18" s="207"/>
    </row>
    <row r="19" spans="2:7" ht="15"/>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t="s">
        <v>86</v>
      </c>
      <c r="E23" s="5"/>
      <c r="F23" s="36"/>
      <c r="G23" s="36"/>
    </row>
    <row r="24" spans="2:7" ht="27.75" customHeight="1">
      <c r="B24" s="41" t="s">
        <v>484</v>
      </c>
      <c r="C24" s="66" t="s">
        <v>485</v>
      </c>
      <c r="D24" s="26" t="s">
        <v>86</v>
      </c>
      <c r="E24" s="5"/>
      <c r="F24" s="36"/>
      <c r="G24" s="36"/>
    </row>
    <row r="25" spans="2:7" ht="27.75" customHeight="1">
      <c r="B25" s="40" t="s">
        <v>486</v>
      </c>
      <c r="C25" s="65" t="s">
        <v>487</v>
      </c>
      <c r="D25" s="26" t="s">
        <v>86</v>
      </c>
      <c r="E25" s="5"/>
      <c r="F25" s="36"/>
      <c r="G25" s="36"/>
    </row>
    <row r="26" spans="2:7" ht="27.75" customHeight="1">
      <c r="B26" s="41" t="s">
        <v>488</v>
      </c>
      <c r="C26" s="66" t="s">
        <v>489</v>
      </c>
      <c r="D26" s="26" t="s">
        <v>89</v>
      </c>
      <c r="E26" s="5"/>
      <c r="F26" s="36"/>
      <c r="G26" s="36"/>
    </row>
    <row r="27" spans="2:7" ht="27.75" customHeight="1">
      <c r="B27" s="40" t="s">
        <v>490</v>
      </c>
      <c r="C27" s="65" t="s">
        <v>491</v>
      </c>
      <c r="D27" s="26" t="s">
        <v>89</v>
      </c>
      <c r="E27" s="5"/>
      <c r="F27" s="36"/>
      <c r="G27" s="36"/>
    </row>
    <row r="29" spans="2:7" ht="21.75" customHeight="1">
      <c r="B29" s="204" t="s">
        <v>492</v>
      </c>
      <c r="C29" s="204"/>
      <c r="D29" s="204"/>
      <c r="E29" s="204"/>
      <c r="F29" s="204"/>
      <c r="G29" s="204"/>
    </row>
    <row r="30" spans="2:7" ht="27.75" customHeight="1">
      <c r="B30" s="41" t="s">
        <v>493</v>
      </c>
      <c r="C30" s="66" t="s">
        <v>494</v>
      </c>
      <c r="D30" s="26" t="s">
        <v>86</v>
      </c>
      <c r="E30" s="5"/>
      <c r="F30" s="36"/>
      <c r="G30" s="36"/>
    </row>
    <row r="31" spans="2:7" ht="27.75" customHeight="1">
      <c r="B31" s="40" t="s">
        <v>495</v>
      </c>
      <c r="C31" s="65" t="s">
        <v>496</v>
      </c>
      <c r="D31" s="26" t="s">
        <v>86</v>
      </c>
      <c r="E31" s="5"/>
      <c r="F31" s="36"/>
      <c r="G31" s="36"/>
    </row>
    <row r="32" spans="2:7" ht="27.75" customHeight="1">
      <c r="B32" s="41" t="s">
        <v>497</v>
      </c>
      <c r="C32" s="66" t="s">
        <v>498</v>
      </c>
      <c r="D32" s="26" t="s">
        <v>86</v>
      </c>
      <c r="E32" s="5"/>
      <c r="F32" s="36"/>
      <c r="G32" s="36"/>
    </row>
    <row r="33" spans="2:7" ht="27.75" customHeight="1">
      <c r="B33" s="40" t="s">
        <v>499</v>
      </c>
      <c r="C33" s="65" t="s">
        <v>500</v>
      </c>
      <c r="D33" s="26" t="s">
        <v>89</v>
      </c>
      <c r="E33" s="5"/>
      <c r="F33" s="36"/>
      <c r="G33" s="36"/>
    </row>
    <row r="34" spans="2:7" ht="50.25">
      <c r="B34" s="41" t="s">
        <v>501</v>
      </c>
      <c r="C34" s="66" t="s">
        <v>502</v>
      </c>
      <c r="D34" s="26" t="s">
        <v>89</v>
      </c>
      <c r="E34" s="5"/>
      <c r="F34" s="36"/>
      <c r="G34" s="36"/>
    </row>
    <row r="35" spans="2:7" ht="27.75" customHeight="1">
      <c r="B35" s="40" t="s">
        <v>503</v>
      </c>
      <c r="C35" s="65" t="s">
        <v>504</v>
      </c>
      <c r="D35" s="26" t="s">
        <v>89</v>
      </c>
      <c r="E35" s="5"/>
      <c r="F35" s="36"/>
      <c r="G35" s="36"/>
    </row>
    <row r="36" spans="2:7" ht="27.75" customHeight="1">
      <c r="B36" s="41" t="s">
        <v>505</v>
      </c>
      <c r="C36" s="66" t="s">
        <v>506</v>
      </c>
      <c r="D36" s="26" t="s">
        <v>86</v>
      </c>
      <c r="E36" s="5"/>
      <c r="F36" s="36"/>
      <c r="G36" s="36"/>
    </row>
    <row r="38" spans="2:7" ht="21.75" customHeight="1">
      <c r="B38" s="204" t="s">
        <v>507</v>
      </c>
      <c r="C38" s="204"/>
      <c r="D38" s="204"/>
      <c r="E38" s="204"/>
      <c r="F38" s="204"/>
      <c r="G38" s="204"/>
    </row>
    <row r="39" spans="2:7" ht="27.75" customHeight="1">
      <c r="B39" s="40" t="s">
        <v>508</v>
      </c>
      <c r="C39" s="65" t="s">
        <v>509</v>
      </c>
      <c r="D39" s="26" t="s">
        <v>86</v>
      </c>
      <c r="E39" s="5"/>
      <c r="F39" s="36"/>
      <c r="G39" s="36"/>
    </row>
    <row r="40" spans="2:7" ht="50.25">
      <c r="B40" s="41" t="s">
        <v>510</v>
      </c>
      <c r="C40" s="66" t="s">
        <v>511</v>
      </c>
      <c r="D40" s="26" t="s">
        <v>86</v>
      </c>
      <c r="E40" s="5"/>
      <c r="F40" s="36"/>
      <c r="G40" s="36"/>
    </row>
    <row r="41" spans="2:7" ht="27.75" customHeight="1">
      <c r="B41" s="40" t="s">
        <v>512</v>
      </c>
      <c r="C41" s="65" t="s">
        <v>513</v>
      </c>
      <c r="D41" s="26" t="s">
        <v>89</v>
      </c>
      <c r="E41" s="5"/>
      <c r="F41" s="36"/>
      <c r="G41" s="36"/>
    </row>
    <row r="43" spans="2:7" ht="21.75" customHeight="1">
      <c r="B43" s="204" t="s">
        <v>514</v>
      </c>
      <c r="C43" s="204"/>
      <c r="D43" s="204"/>
      <c r="E43" s="204"/>
      <c r="F43" s="204"/>
      <c r="G43" s="204"/>
    </row>
    <row r="44" spans="2:7" ht="27.75" customHeight="1">
      <c r="B44" s="41" t="s">
        <v>515</v>
      </c>
      <c r="C44" s="66" t="s">
        <v>516</v>
      </c>
      <c r="D44" s="26" t="s">
        <v>86</v>
      </c>
      <c r="E44" s="5"/>
      <c r="F44" s="36"/>
      <c r="G44" s="36"/>
    </row>
    <row r="45" spans="2:7" ht="27.75" customHeight="1">
      <c r="B45" s="40" t="s">
        <v>517</v>
      </c>
      <c r="C45" s="65" t="s">
        <v>518</v>
      </c>
      <c r="D45" s="26" t="s">
        <v>89</v>
      </c>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13.5</v>
      </c>
      <c r="E47" s="43">
        <f>D47/17</f>
        <v>0.79411764705882348</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33">
      <c r="B79" s="16" t="s">
        <v>418</v>
      </c>
      <c r="C79" s="36"/>
      <c r="D79" s="36"/>
      <c r="E79" s="47"/>
      <c r="F79" s="47"/>
    </row>
    <row r="80" spans="2:6" ht="21.75" customHeight="1">
      <c r="B80" s="14" t="s">
        <v>419</v>
      </c>
      <c r="C80" s="45"/>
      <c r="D80" s="45"/>
      <c r="E80" s="45"/>
      <c r="F80" s="45"/>
    </row>
    <row r="81" spans="2:7" ht="33">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t="s">
        <v>89</v>
      </c>
      <c r="D88" s="69" t="s">
        <v>568</v>
      </c>
      <c r="E88" s="49"/>
      <c r="F88" s="36"/>
      <c r="G88" s="5"/>
    </row>
    <row r="89" spans="2:7" ht="25.5" customHeight="1">
      <c r="B89" s="50" t="s">
        <v>569</v>
      </c>
      <c r="C89" s="26" t="s">
        <v>93</v>
      </c>
      <c r="D89" s="68" t="s">
        <v>570</v>
      </c>
      <c r="E89" s="49"/>
      <c r="F89" s="36"/>
      <c r="G89" s="5"/>
    </row>
    <row r="90" spans="2:7" ht="25.5" customHeight="1">
      <c r="B90" s="48" t="s">
        <v>571</v>
      </c>
      <c r="C90" s="26" t="s">
        <v>89</v>
      </c>
      <c r="D90" s="69" t="s">
        <v>572</v>
      </c>
      <c r="E90" s="49"/>
      <c r="F90" s="36"/>
      <c r="G90" s="5"/>
    </row>
    <row r="91" spans="2:7" ht="25.5" customHeight="1">
      <c r="B91" s="50" t="s">
        <v>573</v>
      </c>
      <c r="C91" s="26" t="s">
        <v>93</v>
      </c>
      <c r="D91" s="68" t="s">
        <v>574</v>
      </c>
      <c r="E91" s="49"/>
      <c r="F91" s="36"/>
      <c r="G91" s="5"/>
    </row>
    <row r="92" spans="2:7" ht="25.5" customHeight="1">
      <c r="B92" s="48" t="s">
        <v>575</v>
      </c>
      <c r="C92" s="26" t="s">
        <v>93</v>
      </c>
      <c r="D92" s="67" t="s">
        <v>576</v>
      </c>
      <c r="E92" s="49"/>
      <c r="F92" s="36"/>
      <c r="G92" s="5"/>
    </row>
    <row r="93" spans="2:7" ht="25.5" customHeight="1">
      <c r="B93" s="50" t="s">
        <v>577</v>
      </c>
      <c r="C93" s="26" t="s">
        <v>93</v>
      </c>
      <c r="D93" s="68" t="s">
        <v>578</v>
      </c>
      <c r="E93" s="49"/>
      <c r="F93" s="36"/>
      <c r="G93" s="5"/>
    </row>
    <row r="94" spans="2:7" ht="25.5" customHeight="1">
      <c r="B94" s="48" t="s">
        <v>579</v>
      </c>
      <c r="C94" s="26" t="s">
        <v>93</v>
      </c>
      <c r="D94" s="67" t="s">
        <v>705</v>
      </c>
      <c r="E94" s="49"/>
      <c r="F94" s="36"/>
      <c r="G94" s="5"/>
    </row>
    <row r="95" spans="2:7" ht="25.5" customHeight="1">
      <c r="B95" s="50" t="s">
        <v>581</v>
      </c>
      <c r="C95" s="26"/>
      <c r="D95" s="74" t="s">
        <v>582</v>
      </c>
      <c r="E95" s="49"/>
      <c r="F95" s="36"/>
      <c r="G95" s="5"/>
    </row>
    <row r="96" spans="2:7" ht="66.75">
      <c r="B96" s="48" t="s">
        <v>583</v>
      </c>
      <c r="C96" s="26"/>
      <c r="D96" s="69" t="s">
        <v>584</v>
      </c>
      <c r="E96" s="49"/>
      <c r="F96" s="36"/>
      <c r="G96" s="5"/>
    </row>
    <row r="97" spans="2:7" ht="25.5" customHeight="1">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c r="D105" s="74" t="s">
        <v>602</v>
      </c>
      <c r="E105" s="49"/>
      <c r="F105" s="36"/>
      <c r="G105" s="5"/>
    </row>
    <row r="106" spans="2:7" ht="15"/>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7" ht="21.75" customHeight="1">
      <c r="B113" s="13" t="s">
        <v>610</v>
      </c>
      <c r="C113" s="64"/>
    </row>
    <row r="114" spans="2:7" ht="21.75" customHeight="1">
      <c r="B114" s="15" t="s">
        <v>611</v>
      </c>
      <c r="C114" s="64"/>
    </row>
    <row r="115" spans="2:7" ht="29.25" customHeight="1">
      <c r="B115" s="131" t="s">
        <v>612</v>
      </c>
      <c r="C115" s="64"/>
    </row>
    <row r="116" spans="2:7" ht="21.75" customHeight="1">
      <c r="B116" s="132" t="s">
        <v>613</v>
      </c>
      <c r="C116" s="117"/>
      <c r="D116" s="117"/>
      <c r="G116" s="117"/>
    </row>
    <row r="117" spans="2:7" ht="15"/>
    <row r="118" spans="2:7" ht="24" customHeight="1">
      <c r="B118" s="104" t="s">
        <v>614</v>
      </c>
      <c r="C118" s="104"/>
      <c r="D118" s="104"/>
      <c r="E118" s="104"/>
      <c r="F118" s="104"/>
    </row>
    <row r="119" spans="2:7" ht="21.75" customHeight="1">
      <c r="B119" s="6" t="s">
        <v>615</v>
      </c>
      <c r="C119" s="6" t="s">
        <v>616</v>
      </c>
      <c r="D119" s="6" t="s">
        <v>617</v>
      </c>
      <c r="E119" s="6" t="s">
        <v>618</v>
      </c>
      <c r="F119" s="6" t="s">
        <v>267</v>
      </c>
    </row>
    <row r="120" spans="2:7" ht="21.75" customHeight="1">
      <c r="B120" s="44" t="s">
        <v>619</v>
      </c>
      <c r="C120" s="99"/>
      <c r="D120" s="45"/>
      <c r="E120" s="14"/>
      <c r="F120" s="45"/>
    </row>
    <row r="121" spans="2:7" ht="21.75" customHeight="1">
      <c r="B121" s="46" t="s">
        <v>620</v>
      </c>
      <c r="C121" s="99"/>
      <c r="D121" s="45"/>
      <c r="E121" s="16"/>
      <c r="F121" s="45"/>
    </row>
    <row r="122" spans="2:7" ht="21.75" customHeight="1">
      <c r="B122" s="44" t="s">
        <v>621</v>
      </c>
      <c r="C122" s="99"/>
      <c r="D122" s="45"/>
      <c r="E122" s="14"/>
      <c r="F122" s="45"/>
    </row>
    <row r="123" spans="2:7" ht="21.75" customHeight="1">
      <c r="B123" s="46" t="s">
        <v>622</v>
      </c>
      <c r="C123" s="99"/>
      <c r="D123" s="45"/>
      <c r="E123" s="16"/>
      <c r="F123" s="45"/>
    </row>
    <row r="124" spans="2:7" ht="21.75" customHeight="1">
      <c r="B124" s="14" t="s">
        <v>623</v>
      </c>
      <c r="C124" s="99"/>
      <c r="D124" s="45"/>
      <c r="E124" s="14"/>
      <c r="F124" s="45"/>
    </row>
    <row r="125" spans="2:7" ht="31.5" customHeight="1">
      <c r="B125" s="16" t="s">
        <v>624</v>
      </c>
      <c r="C125" s="99"/>
      <c r="D125" s="45"/>
      <c r="E125" s="16"/>
      <c r="F125" s="45"/>
    </row>
    <row r="126" spans="2:7" ht="21.75" customHeight="1">
      <c r="B126" s="44" t="s">
        <v>625</v>
      </c>
      <c r="C126" s="99"/>
      <c r="D126" s="45"/>
      <c r="E126" s="14"/>
      <c r="F126" s="45"/>
    </row>
    <row r="127" spans="2:7" ht="21.75" customHeight="1">
      <c r="B127" s="46" t="s">
        <v>626</v>
      </c>
      <c r="C127" s="99"/>
      <c r="D127" s="45"/>
      <c r="E127" s="16"/>
      <c r="F127" s="45"/>
    </row>
    <row r="128" spans="2:7"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2" spans="2:11" ht="15"/>
    <row r="153" spans="2:11" ht="23.25" customHeight="1">
      <c r="B153" s="200" t="s">
        <v>652</v>
      </c>
      <c r="C153" s="200"/>
      <c r="D153" s="200"/>
      <c r="E153" s="200"/>
      <c r="F153" s="200"/>
      <c r="G153" s="200"/>
      <c r="H153" s="231"/>
      <c r="I153" s="133" t="s">
        <v>653</v>
      </c>
      <c r="J153" s="133" t="s">
        <v>654</v>
      </c>
      <c r="K153" s="133" t="s">
        <v>655</v>
      </c>
    </row>
    <row r="154" spans="2:11" ht="30.75">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ht="15">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7.75" customHeight="1">
      <c r="B158" s="92" t="s">
        <v>673</v>
      </c>
      <c r="C158" s="201" t="s">
        <v>674</v>
      </c>
      <c r="D158" s="202"/>
      <c r="E158" s="202"/>
      <c r="F158" s="202"/>
      <c r="G158" s="202"/>
      <c r="H158" s="231"/>
      <c r="I158" s="134" t="s">
        <v>675</v>
      </c>
      <c r="J158" s="123" t="s">
        <v>676</v>
      </c>
      <c r="K158" s="123" t="s">
        <v>677</v>
      </c>
    </row>
    <row r="159" spans="2:11" ht="15">
      <c r="B159" s="92" t="s">
        <v>678</v>
      </c>
      <c r="C159" s="199"/>
      <c r="D159" s="199"/>
      <c r="E159" s="199"/>
      <c r="F159" s="199"/>
      <c r="G159" s="199"/>
      <c r="H159" s="231"/>
      <c r="I159" s="134" t="s">
        <v>679</v>
      </c>
      <c r="J159" s="123" t="s">
        <v>680</v>
      </c>
      <c r="K159" s="123" t="s">
        <v>681</v>
      </c>
    </row>
    <row r="160" spans="2:11" ht="30.75">
      <c r="B160" s="94" t="s">
        <v>682</v>
      </c>
      <c r="C160" s="93"/>
      <c r="D160" s="92" t="s">
        <v>683</v>
      </c>
      <c r="E160" s="93"/>
      <c r="F160" s="92" t="s">
        <v>684</v>
      </c>
      <c r="G160" s="93"/>
      <c r="H160" s="231"/>
      <c r="I160" s="134" t="s">
        <v>685</v>
      </c>
      <c r="J160" s="123" t="s">
        <v>686</v>
      </c>
      <c r="K160" s="123" t="s">
        <v>687</v>
      </c>
    </row>
    <row r="161" spans="2:11" ht="45.75">
      <c r="B161" s="92" t="s">
        <v>688</v>
      </c>
      <c r="C161" s="93"/>
      <c r="D161" s="92" t="s">
        <v>689</v>
      </c>
      <c r="E161" s="93"/>
      <c r="F161" s="92" t="s">
        <v>690</v>
      </c>
      <c r="G161" s="93"/>
      <c r="H161" s="231"/>
      <c r="I161" s="134" t="s">
        <v>691</v>
      </c>
      <c r="J161" s="123" t="s">
        <v>692</v>
      </c>
      <c r="K161" s="123" t="s">
        <v>693</v>
      </c>
    </row>
    <row r="162" spans="2:11" ht="15">
      <c r="B162" s="94" t="s">
        <v>694</v>
      </c>
      <c r="C162" s="93"/>
      <c r="D162" s="92" t="s">
        <v>695</v>
      </c>
      <c r="E162" s="93"/>
      <c r="F162" s="92" t="s">
        <v>696</v>
      </c>
      <c r="G162" s="93"/>
      <c r="H162" s="231"/>
    </row>
    <row r="163" spans="2:11" ht="15">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45.75">
      <c r="B165" s="92" t="s">
        <v>699</v>
      </c>
      <c r="C165" s="199"/>
      <c r="D165" s="199"/>
      <c r="E165" s="199"/>
      <c r="F165" s="199"/>
      <c r="G165" s="199"/>
      <c r="H165" s="231"/>
    </row>
  </sheetData>
  <mergeCells count="51">
    <mergeCell ref="C150:G150"/>
    <mergeCell ref="C151:G151"/>
    <mergeCell ref="B2:G2"/>
    <mergeCell ref="B3:G3"/>
    <mergeCell ref="B4:G4"/>
    <mergeCell ref="C5:E5"/>
    <mergeCell ref="C6:E6"/>
    <mergeCell ref="C7:E7"/>
    <mergeCell ref="C8:E8"/>
    <mergeCell ref="C9:E9"/>
    <mergeCell ref="C10:E10"/>
    <mergeCell ref="C11:E11"/>
    <mergeCell ref="C12:E12"/>
    <mergeCell ref="C13:E13"/>
    <mergeCell ref="B20:G20"/>
    <mergeCell ref="B22:G22"/>
    <mergeCell ref="B29:G29"/>
    <mergeCell ref="C16:E16"/>
    <mergeCell ref="C17:E17"/>
    <mergeCell ref="C18:E18"/>
    <mergeCell ref="B86:G86"/>
    <mergeCell ref="B38:G38"/>
    <mergeCell ref="B43:G43"/>
    <mergeCell ref="B47:C47"/>
    <mergeCell ref="B49:G49"/>
    <mergeCell ref="B65:F65"/>
    <mergeCell ref="B131:G131"/>
    <mergeCell ref="C133:G133"/>
    <mergeCell ref="C134:G134"/>
    <mergeCell ref="C135:G135"/>
    <mergeCell ref="C147:G147"/>
    <mergeCell ref="C136:G136"/>
    <mergeCell ref="C137:G137"/>
    <mergeCell ref="C138:G138"/>
    <mergeCell ref="C139:G139"/>
    <mergeCell ref="B141:G141"/>
    <mergeCell ref="C159:G159"/>
    <mergeCell ref="C163:G163"/>
    <mergeCell ref="C164:G164"/>
    <mergeCell ref="C165:G165"/>
    <mergeCell ref="B153:G153"/>
    <mergeCell ref="C155:G155"/>
    <mergeCell ref="C156:G156"/>
    <mergeCell ref="C157:G157"/>
    <mergeCell ref="C158:G158"/>
    <mergeCell ref="C148:G148"/>
    <mergeCell ref="C149:G149"/>
    <mergeCell ref="C143:G143"/>
    <mergeCell ref="C144:G144"/>
    <mergeCell ref="C145:G145"/>
    <mergeCell ref="C146:G146"/>
  </mergeCells>
  <dataValidations count="6">
    <dataValidation type="list" allowBlank="1" sqref="G23:G27 G30:G36 G39:G41 G44:G45" xr:uid="{00000000-0002-0000-0900-000003000000}">
      <formula1>"Alta,Media,Baja,Sin mejora"</formula1>
      <formula2>0</formula2>
    </dataValidation>
    <dataValidation type="list" allowBlank="1" sqref="C88:C105"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29"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80782ACD-2B76-4870-BEC9-5607AFD81134}">
      <formula1>"Microsoft Teams Phone,Genesys Cloud,Avaya,3CX,Cisco Webex Contact Center,Amazon Connect,Twilio Flex,Five9,NICE CXone,Talkdesk"</formula1>
    </dataValidation>
    <dataValidation type="date" allowBlank="1" showInputMessage="1" showErrorMessage="1" sqref="C8:E8" xr:uid="{11749FE0-198C-4EF3-8AF9-E83716269C9D}">
      <formula1>46174</formula1>
      <formula2>46368</formula2>
    </dataValidation>
    <dataValidation allowBlank="1" sqref="C16:E18" xr:uid="{82E3F78B-0B6F-4B85-B728-4E6E15C7A44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1137DE5F-40D6-4342-AE11-9B23219543BB}">
          <x14:formula1>
            <xm:f>Listas!$H$5:$H$9</xm:f>
          </x14:formula1>
          <x14:formula2>
            <xm:f>0</xm:f>
          </x14:formula2>
          <xm:sqref>C12</xm:sqref>
        </x14:dataValidation>
        <x14:dataValidation type="list" allowBlank="1" xr:uid="{1FA4A8A3-65CB-4A0C-87E1-A37DDB277880}">
          <x14:formula1>
            <xm:f>Listas!$D$5:$D$10</xm:f>
          </x14:formula1>
          <x14:formula2>
            <xm:f>0</xm:f>
          </x14:formula2>
          <xm:sqref>C14:C15</xm:sqref>
        </x14:dataValidation>
        <x14:dataValidation type="list" allowBlank="1" xr:uid="{00000000-0002-0000-0900-000002000000}">
          <x14:formula1>
            <xm:f>Listas!$B$5:$B$8</xm:f>
          </x14:formula1>
          <x14:formula2>
            <xm:f>0</xm:f>
          </x14:formula2>
          <xm:sqref>D23:D27 D30:D36 D39:D41 D44:D45</xm:sqref>
        </x14:dataValidation>
        <x14:dataValidation type="list" allowBlank="1" xr:uid="{00000000-0002-0000-0900-000005000000}">
          <x14:formula1>
            <xm:f>Listas!$F$5:$F$7</xm:f>
          </x14:formula1>
          <x14:formula2>
            <xm:f>0</xm:f>
          </x14:formula2>
          <xm:sqref>F88:F105</xm:sqref>
        </x14:dataValidation>
        <x14:dataValidation type="list" allowBlank="1" xr:uid="{00000000-0002-0000-0900-000006000000}">
          <x14:formula1>
            <xm:f>Listas!$L$5:$L$7</xm:f>
          </x14:formula1>
          <x14:formula2>
            <xm:f>0</xm:f>
          </x14:formula2>
          <xm:sqref>C147</xm:sqref>
        </x14:dataValidation>
        <x14:dataValidation type="list" allowBlank="1" showInputMessage="1" showErrorMessage="1" xr:uid="{5AA6C266-D8AF-4EBE-94E4-E0BEBB482A3E}">
          <x14:formula1>
            <xm:f>Listas!$N$5:$N$10</xm:f>
          </x14:formula1>
          <xm:sqref>C5:E5</xm:sqref>
        </x14:dataValidation>
        <x14:dataValidation type="list" allowBlank="1" showInputMessage="1" showErrorMessage="1" xr:uid="{D79174D7-771E-4817-9A3B-D9246F2818E9}">
          <x14:formula1>
            <xm:f>Listas!$P$5:$P$8</xm:f>
          </x14:formula1>
          <xm:sqref>F120:F129</xm:sqref>
        </x14:dataValidation>
        <x14:dataValidation type="list" allowBlank="1" showInputMessage="1" showErrorMessage="1" xr:uid="{7CEC16F2-5996-4584-9060-BF63290D5E8B}">
          <x14:formula1>
            <xm:f>Listas!$R$5:$R$7</xm:f>
          </x14:formula1>
          <xm:sqref>D120:D129</xm:sqref>
        </x14:dataValidation>
        <x14:dataValidation type="list" allowBlank="1" showInputMessage="1" showErrorMessage="1" promptTitle="Seleccione herramienta" prompt="Seleccione una opción de la lista o escriba otra herramienta si aplica." xr:uid="{FE5720A6-FC9C-497B-A18F-A29804FF3D90}">
          <x14:formula1>
            <xm:f>Listas!$J$18:$J$32</xm:f>
          </x14:formula1>
          <xm:sqref>C128</xm:sqref>
        </x14:dataValidation>
        <x14:dataValidation type="list" allowBlank="1" showInputMessage="1" showErrorMessage="1" promptTitle="Seleccione herramienta" prompt="Seleccione una opción de la lista o escriba otra herramienta si aplica." xr:uid="{496857CB-6469-490A-A35E-BA66889E47CC}">
          <x14:formula1>
            <xm:f>Listas!$L$18:$L$32</xm:f>
          </x14:formula1>
          <xm:sqref>C127</xm:sqref>
        </x14:dataValidation>
        <x14:dataValidation type="list" allowBlank="1" showInputMessage="1" showErrorMessage="1" promptTitle="Seleccione herramienta" prompt="Seleccione una opción de la lista o escriba otra herramienta si aplica." xr:uid="{C6806D38-0EB0-4B83-B689-358F52618603}">
          <x14:formula1>
            <xm:f>Listas!$H$18:$H$32</xm:f>
          </x14:formula1>
          <xm:sqref>C126</xm:sqref>
        </x14:dataValidation>
        <x14:dataValidation type="list" allowBlank="1" showInputMessage="1" showErrorMessage="1" promptTitle="Seleccione herramienta" prompt="Seleccione una opción de la lista o escriba otra herramienta si aplica." xr:uid="{2D2EE06E-5CF9-402C-BBCD-F5E0957E9DDE}">
          <x14:formula1>
            <xm:f>Listas!$N$18:$N$32</xm:f>
          </x14:formula1>
          <xm:sqref>C124</xm:sqref>
        </x14:dataValidation>
        <x14:dataValidation type="list" allowBlank="1" showInputMessage="1" showErrorMessage="1" promptTitle="Seleccione herramienta" prompt="Seleccione una opción de la lista o escriba otra herramienta si aplica." xr:uid="{1640C14C-597F-4DB5-809C-00013457F6B0}">
          <x14:formula1>
            <xm:f>Listas!$P$18:$P$32</xm:f>
          </x14:formula1>
          <xm:sqref>C123</xm:sqref>
        </x14:dataValidation>
        <x14:dataValidation type="list" allowBlank="1" showInputMessage="1" showErrorMessage="1" promptTitle="Seleccione herramienta" prompt="Seleccione una opción de la lista o escriba otra herramienta si aplica." xr:uid="{0B486CC9-9E42-4C02-B40D-A7476C5E53FA}">
          <x14:formula1>
            <xm:f>Listas!$F$18:$F$32</xm:f>
          </x14:formula1>
          <xm:sqref>C122</xm:sqref>
        </x14:dataValidation>
        <x14:dataValidation type="list" allowBlank="1" showInputMessage="1" showErrorMessage="1" promptTitle="Seleccione herramienta" prompt="Seleccione una opción de la lista o escriba otra herramienta si aplica." xr:uid="{506B5C2B-08AA-43F5-B2C9-80B9F58FC70F}">
          <x14:formula1>
            <xm:f>Listas!$D$18:$D$32</xm:f>
          </x14:formula1>
          <xm:sqref>C121</xm:sqref>
        </x14:dataValidation>
        <x14:dataValidation type="list" allowBlank="1" showInputMessage="1" showErrorMessage="1" promptTitle="Seleccione herramienta" prompt="Seleccione una opción de la lista o escriba otra herramienta si aplica." xr:uid="{248DF416-B109-4ECB-92C6-664727204547}">
          <x14:formula1>
            <xm:f>Listas!$B$18:$B$32</xm:f>
          </x14:formula1>
          <xm:sqref>C120</xm:sqref>
        </x14:dataValidation>
        <x14:dataValidation type="list" allowBlank="1" showInputMessage="1" showErrorMessage="1" xr:uid="{EE3CB675-568B-4574-8934-DA39FE740B79}">
          <x14:formula1>
            <xm:f>Listas!$J$42:$J$46</xm:f>
          </x14:formula1>
          <xm:sqref>C84:D84</xm:sqref>
        </x14:dataValidation>
        <x14:dataValidation type="list" allowBlank="1" showInputMessage="1" showErrorMessage="1" xr:uid="{B30C9946-5F0C-4634-9BE0-453623BCA115}">
          <x14:formula1>
            <xm:f>Listas!$H$42:$H$45</xm:f>
          </x14:formula1>
          <xm:sqref>C83:D83</xm:sqref>
        </x14:dataValidation>
        <x14:dataValidation type="list" allowBlank="1" showInputMessage="1" showErrorMessage="1" xr:uid="{5F4DEC74-D7AD-46E7-B1E1-F1677813AAD7}">
          <x14:formula1>
            <xm:f>Listas!$F$42:$F$49</xm:f>
          </x14:formula1>
          <xm:sqref>C80:D80</xm:sqref>
        </x14:dataValidation>
        <x14:dataValidation type="list" allowBlank="1" showInputMessage="1" showErrorMessage="1" xr:uid="{ED248034-08E9-432C-9B12-E9843348EC00}">
          <x14:formula1>
            <xm:f>Listas!$D$42:$D$46</xm:f>
          </x14:formula1>
          <xm:sqref>C79:D79</xm:sqref>
        </x14:dataValidation>
        <x14:dataValidation type="list" allowBlank="1" showInputMessage="1" showErrorMessage="1" xr:uid="{22E1E543-AF76-4689-A595-660EC2875DCC}">
          <x14:formula1>
            <xm:f>Listas!$B$42:$B$45</xm:f>
          </x14:formula1>
          <xm:sqref>C78:D78</xm:sqref>
        </x14:dataValidation>
        <x14:dataValidation type="list" allowBlank="1" showInputMessage="1" showErrorMessage="1" xr:uid="{E10141BB-0A15-4F68-8F13-38A2EB643784}">
          <x14:formula1>
            <xm:f>Listas!$B$50:$B$55</xm:f>
          </x14:formula1>
          <xm:sqref>C115</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66"/>
  <sheetViews>
    <sheetView showGridLines="0" zoomScaleNormal="100" workbookViewId="0">
      <pane xSplit="2" ySplit="2" topLeftCell="C87" activePane="bottomRight" state="frozen"/>
      <selection pane="bottomRight" activeCell="C105" sqref="C105"/>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2.7109375" style="1" customWidth="1"/>
    <col min="7" max="7" width="26.5703125" style="1" customWidth="1"/>
    <col min="8" max="8" width="8.5703125" style="1"/>
    <col min="9" max="9" width="14.7109375" style="1" customWidth="1"/>
    <col min="10" max="10" width="28.140625" style="1" customWidth="1"/>
    <col min="11" max="11" width="43.5703125" style="1" customWidth="1"/>
    <col min="12" max="16384" width="8.5703125" style="1"/>
  </cols>
  <sheetData>
    <row r="1" spans="2:11" ht="7.5" customHeight="1"/>
    <row r="2" spans="2:11" ht="30" customHeight="1">
      <c r="B2" s="217" t="s">
        <v>714</v>
      </c>
      <c r="C2" s="217"/>
      <c r="D2" s="217"/>
      <c r="E2" s="217"/>
      <c r="F2" s="217"/>
      <c r="G2" s="217"/>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278</v>
      </c>
      <c r="D5" s="207"/>
      <c r="E5" s="207"/>
      <c r="I5" s="17" t="s">
        <v>63</v>
      </c>
      <c r="J5" s="18" t="s">
        <v>64</v>
      </c>
      <c r="K5" s="63" t="s">
        <v>65</v>
      </c>
    </row>
    <row r="6" spans="2:11" ht="19.5" customHeight="1">
      <c r="B6" s="37" t="s">
        <v>458</v>
      </c>
      <c r="C6" s="207" t="s">
        <v>715</v>
      </c>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19.5" customHeight="1">
      <c r="B18" s="37" t="s">
        <v>473</v>
      </c>
      <c r="C18" s="207"/>
      <c r="D18" s="207"/>
      <c r="E18" s="207"/>
    </row>
    <row r="19" spans="2:7" ht="15"/>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50.25">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50.2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33">
      <c r="B79" s="16" t="s">
        <v>418</v>
      </c>
      <c r="C79" s="36"/>
      <c r="D79" s="36"/>
      <c r="E79" s="47"/>
      <c r="F79" s="47"/>
    </row>
    <row r="80" spans="2:6" ht="21.75" customHeight="1">
      <c r="B80" s="14" t="s">
        <v>419</v>
      </c>
      <c r="C80" s="45"/>
      <c r="D80" s="45"/>
      <c r="E80" s="45"/>
      <c r="F80" s="45"/>
    </row>
    <row r="81" spans="2:7" ht="33">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25.5" customHeight="1">
      <c r="B95" s="50" t="s">
        <v>581</v>
      </c>
      <c r="C95" s="26"/>
      <c r="D95" s="74" t="s">
        <v>582</v>
      </c>
      <c r="E95" s="49"/>
      <c r="F95" s="36"/>
      <c r="G95" s="5"/>
    </row>
    <row r="96" spans="2:7" ht="66.75">
      <c r="B96" s="48" t="s">
        <v>583</v>
      </c>
      <c r="C96" s="26"/>
      <c r="D96" s="69" t="s">
        <v>584</v>
      </c>
      <c r="E96" s="49"/>
      <c r="F96" s="36"/>
      <c r="G96" s="5"/>
    </row>
    <row r="97" spans="2:7" ht="25.5" customHeight="1">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t="s">
        <v>86</v>
      </c>
      <c r="D103" s="74" t="s">
        <v>707</v>
      </c>
      <c r="E103" s="49"/>
      <c r="F103" s="36"/>
      <c r="G103" s="5"/>
    </row>
    <row r="104" spans="2:7" ht="25.5" customHeight="1">
      <c r="B104" s="48" t="s">
        <v>599</v>
      </c>
      <c r="C104" s="26"/>
      <c r="D104" s="69" t="s">
        <v>600</v>
      </c>
      <c r="E104" s="49"/>
      <c r="F104" s="36"/>
      <c r="G104" s="5"/>
    </row>
    <row r="105" spans="2:7" ht="33">
      <c r="B105" s="50" t="s">
        <v>601</v>
      </c>
      <c r="C105" s="26" t="s">
        <v>93</v>
      </c>
      <c r="D105" s="74" t="s">
        <v>602</v>
      </c>
      <c r="E105" s="49"/>
      <c r="F105" s="36"/>
      <c r="G105" s="5"/>
    </row>
    <row r="106" spans="2:7" ht="15"/>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6" ht="21.75" customHeight="1">
      <c r="B113" s="13" t="s">
        <v>610</v>
      </c>
      <c r="C113" s="64"/>
    </row>
    <row r="114" spans="2:6" ht="21.75" customHeight="1">
      <c r="B114" s="15" t="s">
        <v>611</v>
      </c>
      <c r="C114" s="64"/>
    </row>
    <row r="115" spans="2:6" ht="27.75" customHeight="1">
      <c r="B115" s="131" t="s">
        <v>612</v>
      </c>
      <c r="C115" s="64"/>
    </row>
    <row r="116" spans="2:6" ht="21.75" customHeight="1">
      <c r="B116" s="132" t="s">
        <v>613</v>
      </c>
      <c r="C116" s="117"/>
      <c r="D116" s="117"/>
    </row>
    <row r="117" spans="2:6" ht="15"/>
    <row r="118" spans="2:6" ht="24" customHeight="1">
      <c r="B118" s="104" t="s">
        <v>614</v>
      </c>
      <c r="C118" s="104"/>
      <c r="D118" s="104"/>
      <c r="E118" s="104"/>
      <c r="F118" s="104"/>
    </row>
    <row r="119" spans="2:6" ht="21.75" customHeight="1">
      <c r="B119" s="6" t="s">
        <v>615</v>
      </c>
      <c r="C119" s="6" t="s">
        <v>616</v>
      </c>
      <c r="D119" s="6" t="s">
        <v>617</v>
      </c>
      <c r="E119" s="6" t="s">
        <v>618</v>
      </c>
      <c r="F119" s="6" t="s">
        <v>267</v>
      </c>
    </row>
    <row r="120" spans="2:6" ht="21.75" customHeight="1">
      <c r="B120" s="44" t="s">
        <v>619</v>
      </c>
      <c r="C120" s="99"/>
      <c r="D120" s="45"/>
      <c r="E120" s="14"/>
      <c r="F120" s="45"/>
    </row>
    <row r="121" spans="2:6" ht="21.75" customHeight="1">
      <c r="B121" s="46" t="s">
        <v>620</v>
      </c>
      <c r="C121" s="99"/>
      <c r="D121" s="45"/>
      <c r="E121" s="16"/>
      <c r="F121" s="45"/>
    </row>
    <row r="122" spans="2:6" ht="21.75" customHeight="1">
      <c r="B122" s="44" t="s">
        <v>621</v>
      </c>
      <c r="C122" s="99"/>
      <c r="D122" s="45"/>
      <c r="E122" s="14"/>
      <c r="F122" s="45"/>
    </row>
    <row r="123" spans="2:6" ht="21.75" customHeight="1">
      <c r="B123" s="46" t="s">
        <v>622</v>
      </c>
      <c r="C123" s="99"/>
      <c r="D123" s="45"/>
      <c r="E123" s="16"/>
      <c r="F123" s="45"/>
    </row>
    <row r="124" spans="2:6" ht="21.75" customHeight="1">
      <c r="B124" s="14" t="s">
        <v>623</v>
      </c>
      <c r="C124" s="99"/>
      <c r="D124" s="45"/>
      <c r="E124" s="14"/>
      <c r="F124" s="45"/>
    </row>
    <row r="125" spans="2:6" ht="30" customHeight="1">
      <c r="B125" s="16" t="s">
        <v>624</v>
      </c>
      <c r="C125" s="99"/>
      <c r="D125" s="45"/>
      <c r="E125" s="16"/>
      <c r="F125" s="45"/>
    </row>
    <row r="126" spans="2:6" ht="21.75" customHeight="1">
      <c r="B126" s="44" t="s">
        <v>625</v>
      </c>
      <c r="C126" s="99"/>
      <c r="D126" s="45"/>
      <c r="E126" s="14"/>
      <c r="F126" s="45"/>
    </row>
    <row r="127" spans="2:6" ht="21.75" customHeight="1">
      <c r="B127" s="46" t="s">
        <v>626</v>
      </c>
      <c r="C127" s="99"/>
      <c r="D127" s="45"/>
      <c r="E127" s="16"/>
      <c r="F127" s="45"/>
    </row>
    <row r="128" spans="2:6"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2" spans="2:11" ht="15"/>
    <row r="153" spans="2:11" ht="24.75" customHeight="1">
      <c r="B153" s="200" t="s">
        <v>652</v>
      </c>
      <c r="C153" s="200"/>
      <c r="D153" s="200"/>
      <c r="E153" s="200"/>
      <c r="F153" s="200"/>
      <c r="G153" s="200"/>
      <c r="H153" s="231"/>
      <c r="I153" s="133" t="s">
        <v>653</v>
      </c>
      <c r="J153" s="133" t="s">
        <v>654</v>
      </c>
      <c r="K153" s="133" t="s">
        <v>655</v>
      </c>
    </row>
    <row r="154" spans="2:11" ht="32.25" customHeight="1">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ht="15">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9.25" customHeight="1">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30.75">
      <c r="B160" s="94" t="s">
        <v>682</v>
      </c>
      <c r="C160" s="93"/>
      <c r="D160" s="92" t="s">
        <v>683</v>
      </c>
      <c r="E160" s="93"/>
      <c r="F160" s="92" t="s">
        <v>684</v>
      </c>
      <c r="G160" s="93"/>
      <c r="H160" s="231"/>
      <c r="I160" s="134" t="s">
        <v>685</v>
      </c>
      <c r="J160" s="123" t="s">
        <v>686</v>
      </c>
      <c r="K160" s="123" t="s">
        <v>687</v>
      </c>
    </row>
    <row r="161" spans="2:11" ht="30.75">
      <c r="B161" s="92" t="s">
        <v>688</v>
      </c>
      <c r="C161" s="93"/>
      <c r="D161" s="92" t="s">
        <v>689</v>
      </c>
      <c r="E161" s="93"/>
      <c r="F161" s="92" t="s">
        <v>690</v>
      </c>
      <c r="G161" s="93"/>
      <c r="H161" s="231"/>
      <c r="I161" s="134" t="s">
        <v>691</v>
      </c>
      <c r="J161" s="123" t="s">
        <v>692</v>
      </c>
      <c r="K161" s="123" t="s">
        <v>693</v>
      </c>
    </row>
    <row r="162" spans="2:11" ht="15">
      <c r="B162" s="94" t="s">
        <v>694</v>
      </c>
      <c r="C162" s="93"/>
      <c r="D162" s="92" t="s">
        <v>695</v>
      </c>
      <c r="E162" s="93"/>
      <c r="F162" s="92" t="s">
        <v>696</v>
      </c>
      <c r="G162" s="93"/>
      <c r="H162" s="231"/>
    </row>
    <row r="163" spans="2:11" ht="15">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45.75">
      <c r="B165" s="92" t="s">
        <v>699</v>
      </c>
      <c r="C165" s="199"/>
      <c r="D165" s="199"/>
      <c r="E165" s="199"/>
      <c r="F165" s="199"/>
      <c r="G165" s="199"/>
      <c r="H165" s="231"/>
    </row>
    <row r="166" spans="2:11" ht="15"/>
  </sheetData>
  <mergeCells count="50">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43:G143"/>
    <mergeCell ref="B65:F65"/>
    <mergeCell ref="C159:G159"/>
    <mergeCell ref="C163:G163"/>
    <mergeCell ref="C164:G164"/>
    <mergeCell ref="C149:G149"/>
    <mergeCell ref="C144:G144"/>
    <mergeCell ref="C145:G145"/>
    <mergeCell ref="C146:G146"/>
    <mergeCell ref="C147:G147"/>
    <mergeCell ref="C148:G148"/>
    <mergeCell ref="C136:G136"/>
    <mergeCell ref="C137:G137"/>
    <mergeCell ref="C138:G138"/>
    <mergeCell ref="C139:G139"/>
    <mergeCell ref="B141:G141"/>
    <mergeCell ref="C165:G165"/>
    <mergeCell ref="B153:G153"/>
    <mergeCell ref="C155:G155"/>
    <mergeCell ref="C156:G156"/>
    <mergeCell ref="C157:G157"/>
    <mergeCell ref="C158:G158"/>
  </mergeCells>
  <dataValidations count="6">
    <dataValidation type="list" allowBlank="1" sqref="G23:G27 G30:G36 G39:G41 G44:G45" xr:uid="{00000000-0002-0000-0A00-000003000000}">
      <formula1>"Alta,Media,Baja,Sin mejora"</formula1>
      <formula2>0</formula2>
    </dataValidation>
    <dataValidation type="list" allowBlank="1" sqref="C88:C105"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29"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3035F4F-11B2-42AD-9574-832202D87C14}">
      <formula1>"Microsoft Teams Phone,Genesys Cloud,Avaya,3CX,Cisco Webex Contact Center,Amazon Connect,Twilio Flex,Five9,NICE CXone,Talkdesk"</formula1>
    </dataValidation>
    <dataValidation allowBlank="1" sqref="C16:E18" xr:uid="{E10DEA6C-A492-4648-BA51-B5D7F64577EE}"/>
    <dataValidation type="date" allowBlank="1" showInputMessage="1" showErrorMessage="1" sqref="C8:E8" xr:uid="{6E29EC30-88F8-4B36-B298-8186516F5AAF}">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BA6DBF13-8A6F-4DB3-B8DC-8CE33ACCF7C3}">
          <x14:formula1>
            <xm:f>Listas!$H$5:$H$9</xm:f>
          </x14:formula1>
          <x14:formula2>
            <xm:f>0</xm:f>
          </x14:formula2>
          <xm:sqref>C12</xm:sqref>
        </x14:dataValidation>
        <x14:dataValidation type="list" allowBlank="1" xr:uid="{327D074F-A172-4A29-BF5D-2C0BCE02ABEF}">
          <x14:formula1>
            <xm:f>Listas!$D$5:$D$10</xm:f>
          </x14:formula1>
          <x14:formula2>
            <xm:f>0</xm:f>
          </x14:formula2>
          <xm:sqref>C14:C15</xm:sqref>
        </x14:dataValidation>
        <x14:dataValidation type="list" allowBlank="1" xr:uid="{00000000-0002-0000-0A00-000002000000}">
          <x14:formula1>
            <xm:f>Listas!$B$5:$B$8</xm:f>
          </x14:formula1>
          <x14:formula2>
            <xm:f>0</xm:f>
          </x14:formula2>
          <xm:sqref>D23:D27 D30:D36 D39:D41 D44:D45</xm:sqref>
        </x14:dataValidation>
        <x14:dataValidation type="list" allowBlank="1" xr:uid="{00000000-0002-0000-0A00-000005000000}">
          <x14:formula1>
            <xm:f>Listas!$F$5:$F$7</xm:f>
          </x14:formula1>
          <x14:formula2>
            <xm:f>0</xm:f>
          </x14:formula2>
          <xm:sqref>F88:F105</xm:sqref>
        </x14:dataValidation>
        <x14:dataValidation type="list" allowBlank="1" xr:uid="{00000000-0002-0000-0A00-000006000000}">
          <x14:formula1>
            <xm:f>Listas!$L$5:$L$7</xm:f>
          </x14:formula1>
          <x14:formula2>
            <xm:f>0</xm:f>
          </x14:formula2>
          <xm:sqref>C147</xm:sqref>
        </x14:dataValidation>
        <x14:dataValidation type="list" allowBlank="1" showInputMessage="1" showErrorMessage="1" xr:uid="{B4729F01-DCDE-4DC4-919A-EAB816B5E2C2}">
          <x14:formula1>
            <xm:f>Listas!$N$5:$N$10</xm:f>
          </x14:formula1>
          <xm:sqref>C5:E5</xm:sqref>
        </x14:dataValidation>
        <x14:dataValidation type="list" allowBlank="1" showInputMessage="1" showErrorMessage="1" xr:uid="{58A5D88B-B12F-4AEB-8AA5-3AB391382175}">
          <x14:formula1>
            <xm:f>Listas!$P$5:$P$8</xm:f>
          </x14:formula1>
          <xm:sqref>F120:F129</xm:sqref>
        </x14:dataValidation>
        <x14:dataValidation type="list" allowBlank="1" showInputMessage="1" showErrorMessage="1" xr:uid="{5BA9B84D-5CCC-4F91-996D-32ABCCB725DB}">
          <x14:formula1>
            <xm:f>Listas!$R$5:$R$7</xm:f>
          </x14:formula1>
          <xm:sqref>D120:D129</xm:sqref>
        </x14:dataValidation>
        <x14:dataValidation type="list" allowBlank="1" showInputMessage="1" showErrorMessage="1" promptTitle="Seleccione herramienta" prompt="Seleccione una opción de la lista o escriba otra herramienta si aplica." xr:uid="{FF463059-B452-4D82-BC3E-13CDD9A001B6}">
          <x14:formula1>
            <xm:f>Listas!$J$18:$J$32</xm:f>
          </x14:formula1>
          <xm:sqref>C128</xm:sqref>
        </x14:dataValidation>
        <x14:dataValidation type="list" allowBlank="1" showInputMessage="1" showErrorMessage="1" promptTitle="Seleccione herramienta" prompt="Seleccione una opción de la lista o escriba otra herramienta si aplica." xr:uid="{0AAD2D66-1513-4D93-ABFD-69175EBEA241}">
          <x14:formula1>
            <xm:f>Listas!$L$18:$L$32</xm:f>
          </x14:formula1>
          <xm:sqref>C127</xm:sqref>
        </x14:dataValidation>
        <x14:dataValidation type="list" allowBlank="1" showInputMessage="1" showErrorMessage="1" promptTitle="Seleccione herramienta" prompt="Seleccione una opción de la lista o escriba otra herramienta si aplica." xr:uid="{FB2BB415-66F3-42EC-BD27-F4CE20F6CFC6}">
          <x14:formula1>
            <xm:f>Listas!$H$18:$H$32</xm:f>
          </x14:formula1>
          <xm:sqref>C126</xm:sqref>
        </x14:dataValidation>
        <x14:dataValidation type="list" allowBlank="1" showInputMessage="1" showErrorMessage="1" promptTitle="Seleccione herramienta" prompt="Seleccione una opción de la lista o escriba otra herramienta si aplica." xr:uid="{5A1068A2-D16A-4759-A392-4189C7968ED0}">
          <x14:formula1>
            <xm:f>Listas!$N$18:$N$32</xm:f>
          </x14:formula1>
          <xm:sqref>C124</xm:sqref>
        </x14:dataValidation>
        <x14:dataValidation type="list" allowBlank="1" showInputMessage="1" showErrorMessage="1" promptTitle="Seleccione herramienta" prompt="Seleccione una opción de la lista o escriba otra herramienta si aplica." xr:uid="{AA533D0E-DB8E-4740-9E97-037D92899B60}">
          <x14:formula1>
            <xm:f>Listas!$P$18:$P$32</xm:f>
          </x14:formula1>
          <xm:sqref>C123</xm:sqref>
        </x14:dataValidation>
        <x14:dataValidation type="list" allowBlank="1" showInputMessage="1" showErrorMessage="1" promptTitle="Seleccione herramienta" prompt="Seleccione una opción de la lista o escriba otra herramienta si aplica." xr:uid="{71C2600A-A6FE-485B-B0F0-F31DBF5F2C3E}">
          <x14:formula1>
            <xm:f>Listas!$F$18:$F$32</xm:f>
          </x14:formula1>
          <xm:sqref>C122</xm:sqref>
        </x14:dataValidation>
        <x14:dataValidation type="list" allowBlank="1" showInputMessage="1" showErrorMessage="1" promptTitle="Seleccione herramienta" prompt="Seleccione una opción de la lista o escriba otra herramienta si aplica." xr:uid="{5F101F58-BF8B-4B29-BD7F-6B1E861F851B}">
          <x14:formula1>
            <xm:f>Listas!$D$18:$D$32</xm:f>
          </x14:formula1>
          <xm:sqref>C121</xm:sqref>
        </x14:dataValidation>
        <x14:dataValidation type="list" allowBlank="1" showInputMessage="1" showErrorMessage="1" promptTitle="Seleccione herramienta" prompt="Seleccione una opción de la lista o escriba otra herramienta si aplica." xr:uid="{E034CB5D-F2F5-46FB-8776-74AC9BD40640}">
          <x14:formula1>
            <xm:f>Listas!$B$18:$B$32</xm:f>
          </x14:formula1>
          <xm:sqref>C120</xm:sqref>
        </x14:dataValidation>
        <x14:dataValidation type="list" allowBlank="1" showInputMessage="1" showErrorMessage="1" xr:uid="{DE91A76C-0A8C-4F5C-9E74-9B9E11D70488}">
          <x14:formula1>
            <xm:f>Listas!$J$42:$J$46</xm:f>
          </x14:formula1>
          <xm:sqref>C84:D84</xm:sqref>
        </x14:dataValidation>
        <x14:dataValidation type="list" allowBlank="1" showInputMessage="1" showErrorMessage="1" xr:uid="{780B1415-1673-42E5-80B9-FB4EBFC8A26B}">
          <x14:formula1>
            <xm:f>Listas!$H$42:$H$45</xm:f>
          </x14:formula1>
          <xm:sqref>C83:D83</xm:sqref>
        </x14:dataValidation>
        <x14:dataValidation type="list" allowBlank="1" showInputMessage="1" showErrorMessage="1" xr:uid="{F4FEF02A-1560-4D60-9D79-C4DB4218C899}">
          <x14:formula1>
            <xm:f>Listas!$F$42:$F$49</xm:f>
          </x14:formula1>
          <xm:sqref>C80:D80</xm:sqref>
        </x14:dataValidation>
        <x14:dataValidation type="list" allowBlank="1" showInputMessage="1" showErrorMessage="1" xr:uid="{F1879E18-2EB4-4C05-A496-30318E851498}">
          <x14:formula1>
            <xm:f>Listas!$D$42:$D$46</xm:f>
          </x14:formula1>
          <xm:sqref>C79:D79</xm:sqref>
        </x14:dataValidation>
        <x14:dataValidation type="list" allowBlank="1" showInputMessage="1" showErrorMessage="1" xr:uid="{7D2BA583-85E5-4223-A11C-B80B2349BCE6}">
          <x14:formula1>
            <xm:f>Listas!$B$42:$B$45</xm:f>
          </x14:formula1>
          <xm:sqref>C78:D78</xm:sqref>
        </x14:dataValidation>
        <x14:dataValidation type="list" allowBlank="1" showInputMessage="1" showErrorMessage="1" xr:uid="{8986A0F1-0702-4945-BA0A-7B0556163C27}">
          <x14:formula1>
            <xm:f>Listas!$B$50:$B$55</xm:f>
          </x14:formula1>
          <xm:sqref>C115</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66"/>
  <sheetViews>
    <sheetView showGridLines="0" zoomScaleNormal="100" workbookViewId="0">
      <pane xSplit="2" ySplit="2" topLeftCell="C141" activePane="bottomRight" state="frozen"/>
      <selection pane="bottomRight" activeCell="K161" sqref="I153:K161"/>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19" style="1" customWidth="1"/>
    <col min="7" max="7" width="31" style="1" customWidth="1"/>
    <col min="8" max="8" width="8.5703125" style="1"/>
    <col min="9" max="9" width="13.7109375" style="1" customWidth="1"/>
    <col min="10" max="10" width="26" style="1" customWidth="1"/>
    <col min="11" max="11" width="35.140625" style="1" customWidth="1"/>
    <col min="12" max="16384" width="8.5703125" style="1"/>
  </cols>
  <sheetData>
    <row r="1" spans="2:11" ht="7.5" customHeight="1"/>
    <row r="2" spans="2:11" ht="30" customHeight="1">
      <c r="B2" s="217" t="s">
        <v>716</v>
      </c>
      <c r="C2" s="217"/>
      <c r="D2" s="217"/>
      <c r="E2" s="217"/>
      <c r="F2" s="217"/>
      <c r="G2" s="217"/>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278</v>
      </c>
      <c r="D5" s="207"/>
      <c r="E5" s="207"/>
      <c r="I5" s="17" t="s">
        <v>63</v>
      </c>
      <c r="J5" s="18" t="s">
        <v>64</v>
      </c>
      <c r="K5" s="63" t="s">
        <v>65</v>
      </c>
    </row>
    <row r="6" spans="2:11" ht="19.5" customHeight="1">
      <c r="B6" s="37" t="s">
        <v>458</v>
      </c>
      <c r="C6" s="207" t="s">
        <v>717</v>
      </c>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19.5" customHeight="1">
      <c r="B18" s="37" t="s">
        <v>473</v>
      </c>
      <c r="C18" s="207"/>
      <c r="D18" s="207"/>
      <c r="E18" s="207"/>
    </row>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50.25">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50.2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33">
      <c r="B79" s="16" t="s">
        <v>418</v>
      </c>
      <c r="C79" s="36"/>
      <c r="D79" s="36"/>
      <c r="E79" s="47"/>
      <c r="F79" s="47"/>
    </row>
    <row r="80" spans="2:6" ht="21.75" customHeight="1">
      <c r="B80" s="14" t="s">
        <v>419</v>
      </c>
      <c r="C80" s="45"/>
      <c r="D80" s="45"/>
      <c r="E80" s="45"/>
      <c r="F80" s="45"/>
    </row>
    <row r="81" spans="2:7" ht="33">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33">
      <c r="B95" s="50" t="s">
        <v>581</v>
      </c>
      <c r="C95" s="26"/>
      <c r="D95" s="74" t="s">
        <v>582</v>
      </c>
      <c r="E95" s="49"/>
      <c r="F95" s="36"/>
      <c r="G95" s="5"/>
    </row>
    <row r="96" spans="2:7" ht="50.25">
      <c r="B96" s="48" t="s">
        <v>583</v>
      </c>
      <c r="C96" s="26"/>
      <c r="D96" s="69" t="s">
        <v>584</v>
      </c>
      <c r="E96" s="49"/>
      <c r="F96" s="36"/>
      <c r="G96" s="5"/>
    </row>
    <row r="97" spans="2:7" ht="66.75">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c r="D105" s="74" t="s">
        <v>602</v>
      </c>
      <c r="E105" s="49"/>
      <c r="F105" s="36"/>
      <c r="G105" s="5"/>
    </row>
    <row r="106" spans="2:7" ht="15"/>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7" ht="21.75" customHeight="1">
      <c r="B113" s="13" t="s">
        <v>610</v>
      </c>
      <c r="C113" s="64"/>
    </row>
    <row r="114" spans="2:7" ht="21.75" customHeight="1">
      <c r="B114" s="15" t="s">
        <v>611</v>
      </c>
      <c r="C114" s="64"/>
    </row>
    <row r="115" spans="2:7" ht="25.5" customHeight="1">
      <c r="B115" s="131" t="s">
        <v>612</v>
      </c>
      <c r="C115" s="64"/>
    </row>
    <row r="116" spans="2:7" ht="21.75" customHeight="1">
      <c r="B116" s="132" t="s">
        <v>613</v>
      </c>
      <c r="C116" s="117"/>
      <c r="D116" s="117"/>
    </row>
    <row r="117" spans="2:7" ht="15"/>
    <row r="118" spans="2:7" ht="24" customHeight="1">
      <c r="B118" s="203" t="s">
        <v>614</v>
      </c>
      <c r="C118" s="203"/>
      <c r="D118" s="203"/>
      <c r="E118" s="203"/>
      <c r="F118" s="203"/>
      <c r="G118" s="203"/>
    </row>
    <row r="119" spans="2:7" ht="21.75" customHeight="1">
      <c r="B119" s="6" t="s">
        <v>615</v>
      </c>
      <c r="C119" s="6" t="s">
        <v>616</v>
      </c>
      <c r="D119" s="6" t="s">
        <v>617</v>
      </c>
      <c r="E119" s="6" t="s">
        <v>618</v>
      </c>
      <c r="F119" s="6" t="s">
        <v>267</v>
      </c>
    </row>
    <row r="120" spans="2:7" ht="21.75" customHeight="1">
      <c r="B120" s="44" t="s">
        <v>619</v>
      </c>
      <c r="C120" s="99"/>
      <c r="D120" s="45"/>
      <c r="E120" s="14"/>
      <c r="F120" s="45"/>
    </row>
    <row r="121" spans="2:7" ht="21.75" customHeight="1">
      <c r="B121" s="46" t="s">
        <v>620</v>
      </c>
      <c r="C121" s="99"/>
      <c r="D121" s="45"/>
      <c r="E121" s="16"/>
      <c r="F121" s="45"/>
    </row>
    <row r="122" spans="2:7" ht="21.75" customHeight="1">
      <c r="B122" s="44" t="s">
        <v>621</v>
      </c>
      <c r="C122" s="99"/>
      <c r="D122" s="45"/>
      <c r="E122" s="14"/>
      <c r="F122" s="45"/>
    </row>
    <row r="123" spans="2:7" ht="21.75" customHeight="1">
      <c r="B123" s="46" t="s">
        <v>622</v>
      </c>
      <c r="C123" s="99"/>
      <c r="D123" s="45"/>
      <c r="E123" s="16"/>
      <c r="F123" s="45"/>
    </row>
    <row r="124" spans="2:7" ht="27.75" customHeight="1">
      <c r="B124" s="14" t="s">
        <v>623</v>
      </c>
      <c r="C124" s="99"/>
      <c r="D124" s="45"/>
      <c r="E124" s="14"/>
      <c r="F124" s="45"/>
    </row>
    <row r="125" spans="2:7" ht="31.5" customHeight="1">
      <c r="B125" s="16" t="s">
        <v>624</v>
      </c>
      <c r="C125" s="99"/>
      <c r="D125" s="45"/>
      <c r="E125" s="16"/>
      <c r="F125" s="45"/>
    </row>
    <row r="126" spans="2:7" ht="21.75" customHeight="1">
      <c r="B126" s="44" t="s">
        <v>625</v>
      </c>
      <c r="C126" s="99"/>
      <c r="D126" s="45"/>
      <c r="E126" s="14"/>
      <c r="F126" s="45"/>
    </row>
    <row r="127" spans="2:7" ht="21.75" customHeight="1">
      <c r="B127" s="46" t="s">
        <v>626</v>
      </c>
      <c r="C127" s="99"/>
      <c r="D127" s="45"/>
      <c r="E127" s="16"/>
      <c r="F127" s="45"/>
    </row>
    <row r="128" spans="2:7"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2" spans="2:11" ht="15"/>
    <row r="153" spans="2:11" ht="23.25" customHeight="1">
      <c r="B153" s="200" t="s">
        <v>652</v>
      </c>
      <c r="C153" s="200"/>
      <c r="D153" s="200"/>
      <c r="E153" s="200"/>
      <c r="F153" s="200"/>
      <c r="G153" s="200"/>
      <c r="H153" s="231"/>
      <c r="I153" s="133" t="s">
        <v>653</v>
      </c>
      <c r="J153" s="133" t="s">
        <v>654</v>
      </c>
      <c r="K153" s="133" t="s">
        <v>655</v>
      </c>
    </row>
    <row r="154" spans="2:11" ht="31.5" customHeight="1">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ht="27">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31.5" customHeight="1">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30.75">
      <c r="B160" s="94" t="s">
        <v>682</v>
      </c>
      <c r="C160" s="93"/>
      <c r="D160" s="92" t="s">
        <v>683</v>
      </c>
      <c r="E160" s="93"/>
      <c r="F160" s="92" t="s">
        <v>684</v>
      </c>
      <c r="G160" s="93"/>
      <c r="H160" s="231"/>
      <c r="I160" s="134" t="s">
        <v>685</v>
      </c>
      <c r="J160" s="123" t="s">
        <v>686</v>
      </c>
      <c r="K160" s="123" t="s">
        <v>687</v>
      </c>
    </row>
    <row r="161" spans="2:11" ht="45" customHeight="1">
      <c r="B161" s="92" t="s">
        <v>688</v>
      </c>
      <c r="C161" s="93"/>
      <c r="D161" s="92" t="s">
        <v>689</v>
      </c>
      <c r="E161" s="93"/>
      <c r="F161" s="92" t="s">
        <v>690</v>
      </c>
      <c r="G161" s="93"/>
      <c r="H161" s="231"/>
      <c r="I161" s="134" t="s">
        <v>691</v>
      </c>
      <c r="J161" s="123" t="s">
        <v>692</v>
      </c>
      <c r="K161" s="123" t="s">
        <v>693</v>
      </c>
    </row>
    <row r="162" spans="2:11" ht="15">
      <c r="B162" s="94" t="s">
        <v>694</v>
      </c>
      <c r="C162" s="93"/>
      <c r="D162" s="92" t="s">
        <v>695</v>
      </c>
      <c r="E162" s="93"/>
      <c r="F162" s="92" t="s">
        <v>696</v>
      </c>
      <c r="G162" s="93"/>
      <c r="H162" s="231"/>
    </row>
    <row r="163" spans="2:11" ht="15">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45.75">
      <c r="B165" s="92" t="s">
        <v>699</v>
      </c>
      <c r="C165" s="199"/>
      <c r="D165" s="199"/>
      <c r="E165" s="199"/>
      <c r="F165" s="199"/>
      <c r="G165" s="199"/>
      <c r="H165" s="231"/>
    </row>
    <row r="166" spans="2:11" ht="15"/>
  </sheetData>
  <mergeCells count="51">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18:G118"/>
    <mergeCell ref="B131:G131"/>
    <mergeCell ref="C133:G133"/>
    <mergeCell ref="C134:G134"/>
    <mergeCell ref="B141:G141"/>
    <mergeCell ref="C143:G143"/>
    <mergeCell ref="B65:F65"/>
    <mergeCell ref="C159:G159"/>
    <mergeCell ref="C163:G163"/>
    <mergeCell ref="C149:G149"/>
    <mergeCell ref="C144:G144"/>
    <mergeCell ref="C145:G145"/>
    <mergeCell ref="C146:G146"/>
    <mergeCell ref="C147:G147"/>
    <mergeCell ref="C148:G148"/>
    <mergeCell ref="C135:G135"/>
    <mergeCell ref="C136:G136"/>
    <mergeCell ref="C137:G137"/>
    <mergeCell ref="C138:G138"/>
    <mergeCell ref="C139:G139"/>
    <mergeCell ref="C164:G164"/>
    <mergeCell ref="C165:G165"/>
    <mergeCell ref="B153:G153"/>
    <mergeCell ref="C155:G155"/>
    <mergeCell ref="C156:G156"/>
    <mergeCell ref="C157:G157"/>
    <mergeCell ref="C158:G158"/>
  </mergeCells>
  <dataValidations count="6">
    <dataValidation type="list" allowBlank="1" sqref="G23:G27 G30:G36 G39:G41 G44:G45" xr:uid="{00000000-0002-0000-0B00-000003000000}">
      <formula1>"Alta,Media,Baja,Sin mejora"</formula1>
      <formula2>0</formula2>
    </dataValidation>
    <dataValidation type="list" allowBlank="1" sqref="C88:C105"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29"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093F7F90-B9AF-47FE-9EC2-BACC77EA52A3}">
      <formula1>"Microsoft Teams Phone,Genesys Cloud,Avaya,3CX,Cisco Webex Contact Center,Amazon Connect,Twilio Flex,Five9,NICE CXone,Talkdesk"</formula1>
    </dataValidation>
    <dataValidation type="date" allowBlank="1" showInputMessage="1" showErrorMessage="1" sqref="C8:E8" xr:uid="{0B997FDC-DF80-4B27-8C22-F89F2394E4A8}">
      <formula1>46174</formula1>
      <formula2>46368</formula2>
    </dataValidation>
    <dataValidation allowBlank="1" sqref="C16:E18" xr:uid="{26241B1C-8487-4E9D-BAF6-7F6EFADB5522}"/>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9095D5BB-27AD-4548-A9D8-F04A977A0426}">
          <x14:formula1>
            <xm:f>Listas!$H$5:$H$9</xm:f>
          </x14:formula1>
          <x14:formula2>
            <xm:f>0</xm:f>
          </x14:formula2>
          <xm:sqref>C12</xm:sqref>
        </x14:dataValidation>
        <x14:dataValidation type="list" allowBlank="1" xr:uid="{00000000-0002-0000-0B00-000001000000}">
          <x14:formula1>
            <xm:f>Listas!$D$5:$D$10</xm:f>
          </x14:formula1>
          <x14:formula2>
            <xm:f>0</xm:f>
          </x14:formula2>
          <xm:sqref>C14:C15</xm:sqref>
        </x14:dataValidation>
        <x14:dataValidation type="list" allowBlank="1" xr:uid="{00000000-0002-0000-0B00-000002000000}">
          <x14:formula1>
            <xm:f>Listas!$B$5:$B$8</xm:f>
          </x14:formula1>
          <x14:formula2>
            <xm:f>0</xm:f>
          </x14:formula2>
          <xm:sqref>D23:D27 D30:D36 D39:D41 D44:D45</xm:sqref>
        </x14:dataValidation>
        <x14:dataValidation type="list" allowBlank="1" xr:uid="{00000000-0002-0000-0B00-000005000000}">
          <x14:formula1>
            <xm:f>Listas!$F$5:$F$7</xm:f>
          </x14:formula1>
          <x14:formula2>
            <xm:f>0</xm:f>
          </x14:formula2>
          <xm:sqref>F88:F105</xm:sqref>
        </x14:dataValidation>
        <x14:dataValidation type="list" allowBlank="1" xr:uid="{00000000-0002-0000-0B00-000006000000}">
          <x14:formula1>
            <xm:f>Listas!$L$5:$L$7</xm:f>
          </x14:formula1>
          <x14:formula2>
            <xm:f>0</xm:f>
          </x14:formula2>
          <xm:sqref>C147</xm:sqref>
        </x14:dataValidation>
        <x14:dataValidation type="list" allowBlank="1" showInputMessage="1" showErrorMessage="1" xr:uid="{FC24D68F-3033-4AA9-921C-2760E8DDB321}">
          <x14:formula1>
            <xm:f>Listas!$N$5:$N$10</xm:f>
          </x14:formula1>
          <xm:sqref>C5:E5</xm:sqref>
        </x14:dataValidation>
        <x14:dataValidation type="list" allowBlank="1" showInputMessage="1" showErrorMessage="1" xr:uid="{2974F986-F3F4-4AF9-BDA8-7AB50C0F2121}">
          <x14:formula1>
            <xm:f>Listas!$P$5:$P$8</xm:f>
          </x14:formula1>
          <xm:sqref>F120:F129</xm:sqref>
        </x14:dataValidation>
        <x14:dataValidation type="list" allowBlank="1" showInputMessage="1" showErrorMessage="1" xr:uid="{E5A18D16-EB64-4562-99B7-4B07F4CC085B}">
          <x14:formula1>
            <xm:f>Listas!$R$5:$R$7</xm:f>
          </x14:formula1>
          <xm:sqref>D120:D129</xm:sqref>
        </x14:dataValidation>
        <x14:dataValidation type="list" allowBlank="1" showInputMessage="1" showErrorMessage="1" promptTitle="Seleccione herramienta" prompt="Seleccione una opción de la lista o escriba otra herramienta si aplica." xr:uid="{FC18B8A0-D271-47C5-BEFC-F0DED2E5A394}">
          <x14:formula1>
            <xm:f>Listas!$J$18:$J$32</xm:f>
          </x14:formula1>
          <xm:sqref>C128</xm:sqref>
        </x14:dataValidation>
        <x14:dataValidation type="list" allowBlank="1" showInputMessage="1" showErrorMessage="1" promptTitle="Seleccione herramienta" prompt="Seleccione una opción de la lista o escriba otra herramienta si aplica." xr:uid="{E8DC4022-651E-4D85-BEFF-F688B2F2F22D}">
          <x14:formula1>
            <xm:f>Listas!$L$18:$L$32</xm:f>
          </x14:formula1>
          <xm:sqref>C127</xm:sqref>
        </x14:dataValidation>
        <x14:dataValidation type="list" allowBlank="1" showInputMessage="1" showErrorMessage="1" promptTitle="Seleccione herramienta" prompt="Seleccione una opción de la lista o escriba otra herramienta si aplica." xr:uid="{5CA7264A-7FC6-493F-BA44-D6A967A74E36}">
          <x14:formula1>
            <xm:f>Listas!$H$18:$H$32</xm:f>
          </x14:formula1>
          <xm:sqref>C126</xm:sqref>
        </x14:dataValidation>
        <x14:dataValidation type="list" allowBlank="1" showInputMessage="1" showErrorMessage="1" promptTitle="Seleccione herramienta" prompt="Seleccione una opción de la lista o escriba otra herramienta si aplica." xr:uid="{8B273677-EFE8-4315-8652-69F5ADDE8A3B}">
          <x14:formula1>
            <xm:f>Listas!$N$18:$N$32</xm:f>
          </x14:formula1>
          <xm:sqref>C124</xm:sqref>
        </x14:dataValidation>
        <x14:dataValidation type="list" allowBlank="1" showInputMessage="1" showErrorMessage="1" promptTitle="Seleccione herramienta" prompt="Seleccione una opción de la lista o escriba otra herramienta si aplica." xr:uid="{22BC3A74-1ED7-4F0F-BD76-583BDEC9EAFC}">
          <x14:formula1>
            <xm:f>Listas!$P$18:$P$32</xm:f>
          </x14:formula1>
          <xm:sqref>C123</xm:sqref>
        </x14:dataValidation>
        <x14:dataValidation type="list" allowBlank="1" showInputMessage="1" showErrorMessage="1" promptTitle="Seleccione herramienta" prompt="Seleccione una opción de la lista o escriba otra herramienta si aplica." xr:uid="{A6027BA5-0E36-4F83-83A3-51D38CD59381}">
          <x14:formula1>
            <xm:f>Listas!$F$18:$F$32</xm:f>
          </x14:formula1>
          <xm:sqref>C122</xm:sqref>
        </x14:dataValidation>
        <x14:dataValidation type="list" allowBlank="1" showInputMessage="1" showErrorMessage="1" promptTitle="Seleccione herramienta" prompt="Seleccione una opción de la lista o escriba otra herramienta si aplica." xr:uid="{583EEDD2-7FDD-4FFB-99A2-027066C257C4}">
          <x14:formula1>
            <xm:f>Listas!$D$18:$D$32</xm:f>
          </x14:formula1>
          <xm:sqref>C121</xm:sqref>
        </x14:dataValidation>
        <x14:dataValidation type="list" allowBlank="1" showInputMessage="1" showErrorMessage="1" promptTitle="Seleccione herramienta" prompt="Seleccione una opción de la lista o escriba otra herramienta si aplica." xr:uid="{3992252A-2E32-4E9E-A38A-64C1448EE18E}">
          <x14:formula1>
            <xm:f>Listas!$B$18:$B$32</xm:f>
          </x14:formula1>
          <xm:sqref>C120</xm:sqref>
        </x14:dataValidation>
        <x14:dataValidation type="list" allowBlank="1" showInputMessage="1" showErrorMessage="1" xr:uid="{887EDE24-1D9B-4892-A427-D4D4815A5703}">
          <x14:formula1>
            <xm:f>Listas!$J$42:$J$46</xm:f>
          </x14:formula1>
          <xm:sqref>C84:D84</xm:sqref>
        </x14:dataValidation>
        <x14:dataValidation type="list" allowBlank="1" showInputMessage="1" showErrorMessage="1" xr:uid="{56EA0291-41FB-4D93-BDE9-1387545BBD6B}">
          <x14:formula1>
            <xm:f>Listas!$H$42:$H$45</xm:f>
          </x14:formula1>
          <xm:sqref>C83:D83</xm:sqref>
        </x14:dataValidation>
        <x14:dataValidation type="list" allowBlank="1" showInputMessage="1" showErrorMessage="1" xr:uid="{67EF91B4-55C5-4D6D-9559-5C85749E32C0}">
          <x14:formula1>
            <xm:f>Listas!$F$42:$F$49</xm:f>
          </x14:formula1>
          <xm:sqref>C80:D80</xm:sqref>
        </x14:dataValidation>
        <x14:dataValidation type="list" allowBlank="1" showInputMessage="1" showErrorMessage="1" xr:uid="{948DBC85-8117-44F7-A8C1-A941FE3F887C}">
          <x14:formula1>
            <xm:f>Listas!$D$42:$D$46</xm:f>
          </x14:formula1>
          <xm:sqref>C79:D79</xm:sqref>
        </x14:dataValidation>
        <x14:dataValidation type="list" allowBlank="1" showInputMessage="1" showErrorMessage="1" xr:uid="{22E4D48A-A423-404C-AF72-CE86FC82FB2C}">
          <x14:formula1>
            <xm:f>Listas!$B$42:$B$45</xm:f>
          </x14:formula1>
          <xm:sqref>C78:D78</xm:sqref>
        </x14:dataValidation>
        <x14:dataValidation type="list" allowBlank="1" showInputMessage="1" showErrorMessage="1" xr:uid="{B5CBFE25-B771-4503-9D0F-E0D656C46EED}">
          <x14:formula1>
            <xm:f>Listas!$B$50:$B$55</xm:f>
          </x14:formula1>
          <xm:sqref>C115</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65"/>
  <sheetViews>
    <sheetView showGridLines="0" zoomScaleNormal="100" workbookViewId="0">
      <pane xSplit="2" ySplit="2" topLeftCell="C144" activePane="bottomRight" state="frozen"/>
      <selection pane="bottomRight" activeCell="I153" sqref="I153:K161"/>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19.42578125" style="1" customWidth="1"/>
    <col min="7" max="7" width="29" style="1" customWidth="1"/>
    <col min="8" max="8" width="8.5703125" style="1"/>
    <col min="9" max="9" width="16.42578125" style="1" customWidth="1"/>
    <col min="10" max="10" width="28.28515625" style="1" customWidth="1"/>
    <col min="11" max="11" width="36.7109375" style="1" customWidth="1"/>
    <col min="12" max="16384" width="8.5703125" style="1"/>
  </cols>
  <sheetData>
    <row r="1" spans="2:11" ht="7.5" customHeight="1"/>
    <row r="2" spans="2:11" ht="30" customHeight="1">
      <c r="B2" s="217" t="s">
        <v>718</v>
      </c>
      <c r="C2" s="217"/>
      <c r="D2" s="217"/>
      <c r="E2" s="217"/>
      <c r="F2" s="217"/>
      <c r="G2" s="217"/>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278</v>
      </c>
      <c r="D5" s="207"/>
      <c r="E5" s="207"/>
      <c r="I5" s="17" t="s">
        <v>63</v>
      </c>
      <c r="J5" s="18" t="s">
        <v>64</v>
      </c>
      <c r="K5" s="63" t="s">
        <v>65</v>
      </c>
    </row>
    <row r="6" spans="2:11" ht="19.5" customHeight="1">
      <c r="B6" s="37" t="s">
        <v>458</v>
      </c>
      <c r="C6" s="207" t="s">
        <v>719</v>
      </c>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20.25" customHeight="1">
      <c r="B18" s="37" t="s">
        <v>473</v>
      </c>
      <c r="C18" s="207"/>
      <c r="D18" s="207"/>
      <c r="E18" s="207"/>
    </row>
    <row r="19" spans="2:7" s="119" customFormat="1" ht="14.45" customHeight="1"/>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50.25">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66.7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3" spans="2:7" ht="15"/>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5" spans="2:6" ht="14.45" customHeight="1"/>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21.75" customHeight="1">
      <c r="B79" s="16" t="s">
        <v>418</v>
      </c>
      <c r="C79" s="36"/>
      <c r="D79" s="36"/>
      <c r="E79" s="47"/>
      <c r="F79" s="47"/>
    </row>
    <row r="80" spans="2:6" ht="21.75" customHeight="1">
      <c r="B80" s="14" t="s">
        <v>419</v>
      </c>
      <c r="C80" s="45"/>
      <c r="D80" s="45"/>
      <c r="E80" s="45"/>
      <c r="F80" s="45"/>
    </row>
    <row r="81" spans="2:7" ht="21.75" customHeight="1">
      <c r="B81" s="16" t="s">
        <v>559</v>
      </c>
      <c r="C81" s="47"/>
      <c r="D81" s="47"/>
      <c r="E81" s="47"/>
      <c r="F81" s="47"/>
    </row>
    <row r="82" spans="2:7" ht="21.75" customHeight="1">
      <c r="B82" s="14" t="s">
        <v>560</v>
      </c>
      <c r="C82" s="45"/>
      <c r="D82" s="45"/>
      <c r="E82" s="45"/>
      <c r="F82" s="45"/>
    </row>
    <row r="83" spans="2:7" ht="21.75" customHeight="1">
      <c r="B83" s="16" t="s">
        <v>420</v>
      </c>
      <c r="C83" s="47"/>
      <c r="D83" s="47"/>
      <c r="E83" s="47"/>
      <c r="F83" s="47"/>
    </row>
    <row r="84" spans="2:7" ht="21.75" customHeight="1">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25.5" customHeight="1">
      <c r="B95" s="50" t="s">
        <v>581</v>
      </c>
      <c r="C95" s="26"/>
      <c r="D95" s="74" t="s">
        <v>582</v>
      </c>
      <c r="E95" s="49"/>
      <c r="F95" s="36"/>
      <c r="G95" s="5"/>
    </row>
    <row r="96" spans="2:7" ht="66.75">
      <c r="B96" s="48" t="s">
        <v>583</v>
      </c>
      <c r="C96" s="26"/>
      <c r="D96" s="69" t="s">
        <v>584</v>
      </c>
      <c r="E96" s="49"/>
      <c r="F96" s="36"/>
      <c r="G96" s="5"/>
    </row>
    <row r="97" spans="2:7" ht="83.25">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c r="D105" s="74" t="s">
        <v>602</v>
      </c>
      <c r="E105" s="49"/>
      <c r="F105" s="36"/>
      <c r="G105" s="5"/>
    </row>
    <row r="106" spans="2:7" ht="15"/>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7" ht="21.75" customHeight="1">
      <c r="B113" s="13" t="s">
        <v>610</v>
      </c>
      <c r="C113" s="64"/>
    </row>
    <row r="114" spans="2:7" ht="21.75" customHeight="1">
      <c r="B114" s="15" t="s">
        <v>611</v>
      </c>
      <c r="C114" s="64"/>
    </row>
    <row r="115" spans="2:7" ht="28.5" customHeight="1">
      <c r="B115" s="131" t="s">
        <v>612</v>
      </c>
      <c r="C115" s="64"/>
    </row>
    <row r="116" spans="2:7" ht="21.75" customHeight="1">
      <c r="B116" s="132" t="s">
        <v>613</v>
      </c>
      <c r="C116" s="117"/>
      <c r="D116" s="117"/>
      <c r="G116" s="117"/>
    </row>
    <row r="117" spans="2:7" ht="15"/>
    <row r="118" spans="2:7" ht="24" customHeight="1">
      <c r="B118" s="104" t="s">
        <v>614</v>
      </c>
      <c r="C118" s="104"/>
      <c r="D118" s="104"/>
      <c r="E118" s="104"/>
      <c r="F118" s="104"/>
    </row>
    <row r="119" spans="2:7" ht="21.75" customHeight="1">
      <c r="B119" s="6" t="s">
        <v>615</v>
      </c>
      <c r="C119" s="6" t="s">
        <v>616</v>
      </c>
      <c r="D119" s="6" t="s">
        <v>617</v>
      </c>
      <c r="E119" s="6" t="s">
        <v>618</v>
      </c>
      <c r="F119" s="6" t="s">
        <v>267</v>
      </c>
    </row>
    <row r="120" spans="2:7" ht="21.75" customHeight="1">
      <c r="B120" s="44" t="s">
        <v>619</v>
      </c>
      <c r="C120" s="99"/>
      <c r="D120" s="45"/>
      <c r="E120" s="14"/>
      <c r="F120" s="45"/>
    </row>
    <row r="121" spans="2:7" ht="21.75" customHeight="1">
      <c r="B121" s="46" t="s">
        <v>620</v>
      </c>
      <c r="C121" s="99"/>
      <c r="D121" s="45"/>
      <c r="E121" s="16"/>
      <c r="F121" s="45"/>
    </row>
    <row r="122" spans="2:7" ht="21.75" customHeight="1">
      <c r="B122" s="44" t="s">
        <v>621</v>
      </c>
      <c r="C122" s="99"/>
      <c r="D122" s="45"/>
      <c r="E122" s="14"/>
      <c r="F122" s="45"/>
    </row>
    <row r="123" spans="2:7" ht="21.75" customHeight="1">
      <c r="B123" s="46" t="s">
        <v>622</v>
      </c>
      <c r="C123" s="99"/>
      <c r="D123" s="45"/>
      <c r="E123" s="16"/>
      <c r="F123" s="45"/>
    </row>
    <row r="124" spans="2:7" ht="36" customHeight="1">
      <c r="B124" s="14" t="s">
        <v>623</v>
      </c>
      <c r="C124" s="99"/>
      <c r="D124" s="45"/>
      <c r="E124" s="14"/>
      <c r="F124" s="45"/>
    </row>
    <row r="125" spans="2:7" ht="31.5" customHeight="1">
      <c r="B125" s="16" t="s">
        <v>624</v>
      </c>
      <c r="C125" s="99"/>
      <c r="D125" s="45"/>
      <c r="E125" s="16"/>
      <c r="F125" s="45"/>
    </row>
    <row r="126" spans="2:7" ht="21.75" customHeight="1">
      <c r="B126" s="44" t="s">
        <v>625</v>
      </c>
      <c r="C126" s="99"/>
      <c r="D126" s="45"/>
      <c r="E126" s="14"/>
      <c r="F126" s="45"/>
    </row>
    <row r="127" spans="2:7" ht="21.75" customHeight="1">
      <c r="B127" s="46" t="s">
        <v>626</v>
      </c>
      <c r="C127" s="99"/>
      <c r="D127" s="45"/>
      <c r="E127" s="16"/>
      <c r="F127" s="45"/>
    </row>
    <row r="128" spans="2:7"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2" spans="2:11" ht="15"/>
    <row r="153" spans="2:11" ht="23.25" customHeight="1">
      <c r="B153" s="200" t="s">
        <v>652</v>
      </c>
      <c r="C153" s="200"/>
      <c r="D153" s="200"/>
      <c r="E153" s="200"/>
      <c r="F153" s="200"/>
      <c r="G153" s="200"/>
      <c r="H153" s="231"/>
      <c r="I153" s="133" t="s">
        <v>653</v>
      </c>
      <c r="J153" s="133" t="s">
        <v>654</v>
      </c>
      <c r="K153" s="133" t="s">
        <v>655</v>
      </c>
    </row>
    <row r="154" spans="2:11" ht="30" customHeight="1">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ht="15">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8.5" customHeight="1">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31.5" customHeight="1">
      <c r="B160" s="94" t="s">
        <v>682</v>
      </c>
      <c r="C160" s="93"/>
      <c r="D160" s="92" t="s">
        <v>683</v>
      </c>
      <c r="E160" s="93"/>
      <c r="F160" s="92" t="s">
        <v>684</v>
      </c>
      <c r="G160" s="93"/>
      <c r="H160" s="231"/>
      <c r="I160" s="134" t="s">
        <v>685</v>
      </c>
      <c r="J160" s="123" t="s">
        <v>686</v>
      </c>
      <c r="K160" s="123" t="s">
        <v>687</v>
      </c>
    </row>
    <row r="161" spans="2:11" ht="32.25" customHeight="1">
      <c r="B161" s="92" t="s">
        <v>688</v>
      </c>
      <c r="C161" s="93"/>
      <c r="D161" s="92" t="s">
        <v>689</v>
      </c>
      <c r="E161" s="93"/>
      <c r="F161" s="92" t="s">
        <v>690</v>
      </c>
      <c r="G161" s="93"/>
      <c r="H161" s="231"/>
      <c r="I161" s="134" t="s">
        <v>691</v>
      </c>
      <c r="J161" s="123" t="s">
        <v>692</v>
      </c>
      <c r="K161" s="123" t="s">
        <v>693</v>
      </c>
    </row>
    <row r="162" spans="2:11" ht="18" customHeight="1">
      <c r="B162" s="94" t="s">
        <v>694</v>
      </c>
      <c r="C162" s="93"/>
      <c r="D162" s="92" t="s">
        <v>695</v>
      </c>
      <c r="E162" s="93"/>
      <c r="F162" s="92" t="s">
        <v>696</v>
      </c>
      <c r="G162" s="93"/>
      <c r="H162" s="231"/>
    </row>
    <row r="163" spans="2:11" ht="15">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45.75">
      <c r="B165" s="92" t="s">
        <v>699</v>
      </c>
      <c r="C165" s="199"/>
      <c r="D165" s="199"/>
      <c r="E165" s="199"/>
      <c r="F165" s="199"/>
      <c r="G165" s="199"/>
      <c r="H165" s="231"/>
    </row>
  </sheetData>
  <mergeCells count="50">
    <mergeCell ref="C150:G150"/>
    <mergeCell ref="C151:G151"/>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31:G131"/>
    <mergeCell ref="C133:G133"/>
    <mergeCell ref="C134:G134"/>
    <mergeCell ref="C135:G135"/>
    <mergeCell ref="C143:G143"/>
    <mergeCell ref="B65:F65"/>
    <mergeCell ref="C159:G159"/>
    <mergeCell ref="C163:G163"/>
    <mergeCell ref="C164:G164"/>
    <mergeCell ref="C149:G149"/>
    <mergeCell ref="C144:G144"/>
    <mergeCell ref="C145:G145"/>
    <mergeCell ref="C146:G146"/>
    <mergeCell ref="C147:G147"/>
    <mergeCell ref="C148:G148"/>
    <mergeCell ref="C136:G136"/>
    <mergeCell ref="C137:G137"/>
    <mergeCell ref="C138:G138"/>
    <mergeCell ref="C139:G139"/>
    <mergeCell ref="B141:G141"/>
    <mergeCell ref="C165:G165"/>
    <mergeCell ref="B153:G153"/>
    <mergeCell ref="C155:G155"/>
    <mergeCell ref="C156:G156"/>
    <mergeCell ref="C157:G157"/>
    <mergeCell ref="C158:G158"/>
  </mergeCells>
  <dataValidations count="6">
    <dataValidation type="list" allowBlank="1" sqref="G23:G27 G30:G36 G39:G41 G44:G45" xr:uid="{00000000-0002-0000-0C00-000003000000}">
      <formula1>"Alta,Media,Baja,Sin mejora"</formula1>
      <formula2>0</formula2>
    </dataValidation>
    <dataValidation type="list" allowBlank="1" sqref="C88:C105"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29"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6CC99B2-CA16-4290-9648-239978CC30C3}">
      <formula1>"Microsoft Teams Phone,Genesys Cloud,Avaya,3CX,Cisco Webex Contact Center,Amazon Connect,Twilio Flex,Five9,NICE CXone,Talkdesk"</formula1>
    </dataValidation>
    <dataValidation allowBlank="1" sqref="C16:E18" xr:uid="{3A910A92-5B78-4731-A45A-28B768AC4733}"/>
    <dataValidation type="date" allowBlank="1" showInputMessage="1" showErrorMessage="1" sqref="C8:E8" xr:uid="{1CAC0176-912F-4A51-85F1-CE3F9D04FECB}">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B7E0D48-6B75-4556-A29F-9139893263D1}">
          <x14:formula1>
            <xm:f>Listas!$H$5:$H$9</xm:f>
          </x14:formula1>
          <x14:formula2>
            <xm:f>0</xm:f>
          </x14:formula2>
          <xm:sqref>C12</xm:sqref>
        </x14:dataValidation>
        <x14:dataValidation type="list" allowBlank="1" xr:uid="{9B2F4724-79EE-406A-A908-C460EEE2A248}">
          <x14:formula1>
            <xm:f>Listas!$D$5:$D$10</xm:f>
          </x14:formula1>
          <x14:formula2>
            <xm:f>0</xm:f>
          </x14:formula2>
          <xm:sqref>C14:C15</xm:sqref>
        </x14:dataValidation>
        <x14:dataValidation type="list" allowBlank="1" xr:uid="{00000000-0002-0000-0C00-000002000000}">
          <x14:formula1>
            <xm:f>Listas!$B$5:$B$8</xm:f>
          </x14:formula1>
          <x14:formula2>
            <xm:f>0</xm:f>
          </x14:formula2>
          <xm:sqref>D23:D27 D30:D36 D39:D41 D44:D45</xm:sqref>
        </x14:dataValidation>
        <x14:dataValidation type="list" allowBlank="1" xr:uid="{00000000-0002-0000-0C00-000005000000}">
          <x14:formula1>
            <xm:f>Listas!$F$5:$F$7</xm:f>
          </x14:formula1>
          <x14:formula2>
            <xm:f>0</xm:f>
          </x14:formula2>
          <xm:sqref>F88:F105</xm:sqref>
        </x14:dataValidation>
        <x14:dataValidation type="list" allowBlank="1" xr:uid="{00000000-0002-0000-0C00-000006000000}">
          <x14:formula1>
            <xm:f>Listas!$L$5:$L$7</xm:f>
          </x14:formula1>
          <x14:formula2>
            <xm:f>0</xm:f>
          </x14:formula2>
          <xm:sqref>C147</xm:sqref>
        </x14:dataValidation>
        <x14:dataValidation type="list" allowBlank="1" showInputMessage="1" showErrorMessage="1" xr:uid="{8542F135-E439-414E-8E1A-959F66FD6A5B}">
          <x14:formula1>
            <xm:f>Listas!$N$5:$N$10</xm:f>
          </x14:formula1>
          <xm:sqref>C5:E5</xm:sqref>
        </x14:dataValidation>
        <x14:dataValidation type="list" allowBlank="1" showInputMessage="1" showErrorMessage="1" xr:uid="{7FB6F287-4A6A-4E52-AF00-4E5DAD752984}">
          <x14:formula1>
            <xm:f>Listas!$P$5:$P$8</xm:f>
          </x14:formula1>
          <xm:sqref>F120:F129</xm:sqref>
        </x14:dataValidation>
        <x14:dataValidation type="list" allowBlank="1" showInputMessage="1" showErrorMessage="1" xr:uid="{D339480D-15B6-45F1-9DD2-5A075DC88AFF}">
          <x14:formula1>
            <xm:f>Listas!$R$5:$R$7</xm:f>
          </x14:formula1>
          <xm:sqref>D120:D129</xm:sqref>
        </x14:dataValidation>
        <x14:dataValidation type="list" allowBlank="1" showInputMessage="1" showErrorMessage="1" promptTitle="Seleccione herramienta" prompt="Seleccione una opción de la lista o escriba otra herramienta si aplica." xr:uid="{611F0D52-4446-48C5-81F4-7CD617950C93}">
          <x14:formula1>
            <xm:f>Listas!$J$18:$J$32</xm:f>
          </x14:formula1>
          <xm:sqref>C128</xm:sqref>
        </x14:dataValidation>
        <x14:dataValidation type="list" allowBlank="1" showInputMessage="1" showErrorMessage="1" promptTitle="Seleccione herramienta" prompt="Seleccione una opción de la lista o escriba otra herramienta si aplica." xr:uid="{A692C2B1-F81C-43BB-A478-404520C19840}">
          <x14:formula1>
            <xm:f>Listas!$L$18:$L$32</xm:f>
          </x14:formula1>
          <xm:sqref>C127</xm:sqref>
        </x14:dataValidation>
        <x14:dataValidation type="list" allowBlank="1" showInputMessage="1" showErrorMessage="1" promptTitle="Seleccione herramienta" prompt="Seleccione una opción de la lista o escriba otra herramienta si aplica." xr:uid="{BDF45449-CE08-486F-B26A-B8206DDF3F8F}">
          <x14:formula1>
            <xm:f>Listas!$H$18:$H$32</xm:f>
          </x14:formula1>
          <xm:sqref>C126</xm:sqref>
        </x14:dataValidation>
        <x14:dataValidation type="list" allowBlank="1" showInputMessage="1" showErrorMessage="1" promptTitle="Seleccione herramienta" prompt="Seleccione una opción de la lista o escriba otra herramienta si aplica." xr:uid="{38BFF703-5C22-409D-A160-F74D5987BE1D}">
          <x14:formula1>
            <xm:f>Listas!$N$18:$N$32</xm:f>
          </x14:formula1>
          <xm:sqref>C124</xm:sqref>
        </x14:dataValidation>
        <x14:dataValidation type="list" allowBlank="1" showInputMessage="1" showErrorMessage="1" promptTitle="Seleccione herramienta" prompt="Seleccione una opción de la lista o escriba otra herramienta si aplica." xr:uid="{DC318C2D-A933-44C7-B9DA-00643676918B}">
          <x14:formula1>
            <xm:f>Listas!$P$18:$P$32</xm:f>
          </x14:formula1>
          <xm:sqref>C123</xm:sqref>
        </x14:dataValidation>
        <x14:dataValidation type="list" allowBlank="1" showInputMessage="1" showErrorMessage="1" promptTitle="Seleccione herramienta" prompt="Seleccione una opción de la lista o escriba otra herramienta si aplica." xr:uid="{B809CD6C-BA7D-4270-92D1-C390223991C8}">
          <x14:formula1>
            <xm:f>Listas!$F$18:$F$32</xm:f>
          </x14:formula1>
          <xm:sqref>C122</xm:sqref>
        </x14:dataValidation>
        <x14:dataValidation type="list" allowBlank="1" showInputMessage="1" showErrorMessage="1" promptTitle="Seleccione herramienta" prompt="Seleccione una opción de la lista o escriba otra herramienta si aplica." xr:uid="{965C8377-5D83-43F5-9F59-4E917C480855}">
          <x14:formula1>
            <xm:f>Listas!$D$18:$D$32</xm:f>
          </x14:formula1>
          <xm:sqref>C121</xm:sqref>
        </x14:dataValidation>
        <x14:dataValidation type="list" allowBlank="1" showInputMessage="1" showErrorMessage="1" promptTitle="Seleccione herramienta" prompt="Seleccione una opción de la lista o escriba otra herramienta si aplica." xr:uid="{B9703CF5-38B2-4762-AF9B-B4B6082D6FA8}">
          <x14:formula1>
            <xm:f>Listas!$B$18:$B$32</xm:f>
          </x14:formula1>
          <xm:sqref>C120</xm:sqref>
        </x14:dataValidation>
        <x14:dataValidation type="list" allowBlank="1" showInputMessage="1" showErrorMessage="1" xr:uid="{B8C4BEBB-F375-4BAE-A8F2-A280395D2B7E}">
          <x14:formula1>
            <xm:f>Listas!$J$42:$J$46</xm:f>
          </x14:formula1>
          <xm:sqref>C84:D84</xm:sqref>
        </x14:dataValidation>
        <x14:dataValidation type="list" allowBlank="1" showInputMessage="1" showErrorMessage="1" xr:uid="{D949652B-27D3-40AD-9FB0-A6FF89D09E98}">
          <x14:formula1>
            <xm:f>Listas!$H$42:$H$45</xm:f>
          </x14:formula1>
          <xm:sqref>C83:D83</xm:sqref>
        </x14:dataValidation>
        <x14:dataValidation type="list" allowBlank="1" showInputMessage="1" showErrorMessage="1" xr:uid="{EC6CD1A2-E36E-47E3-BAC4-9CCB0A9BC5FF}">
          <x14:formula1>
            <xm:f>Listas!$F$42:$F$49</xm:f>
          </x14:formula1>
          <xm:sqref>C80:D80</xm:sqref>
        </x14:dataValidation>
        <x14:dataValidation type="list" allowBlank="1" showInputMessage="1" showErrorMessage="1" xr:uid="{D6384C4E-EA5F-4724-A281-DC5427B48C4B}">
          <x14:formula1>
            <xm:f>Listas!$D$42:$D$46</xm:f>
          </x14:formula1>
          <xm:sqref>C79:D79</xm:sqref>
        </x14:dataValidation>
        <x14:dataValidation type="list" allowBlank="1" showInputMessage="1" showErrorMessage="1" xr:uid="{06ABB428-E2D4-49C8-9E31-047B482AB08B}">
          <x14:formula1>
            <xm:f>Listas!$B$42:$B$45</xm:f>
          </x14:formula1>
          <xm:sqref>C78:D78</xm:sqref>
        </x14:dataValidation>
        <x14:dataValidation type="list" allowBlank="1" showInputMessage="1" showErrorMessage="1" xr:uid="{B16DAF24-A490-41D5-9706-B6D514923914}">
          <x14:formula1>
            <xm:f>Listas!$B$50:$B$55</xm:f>
          </x14:formula1>
          <xm:sqref>C115</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1:K165"/>
  <sheetViews>
    <sheetView showGridLines="0" zoomScaleNormal="100" workbookViewId="0">
      <pane xSplit="2" ySplit="2" topLeftCell="C144" activePane="bottomRight" state="frozen"/>
      <selection pane="bottomRight" activeCell="I153" sqref="I153:K161"/>
      <selection pane="bottomLeft" activeCell="A3" sqref="A3"/>
      <selection pane="topRight" activeCell="C1" sqref="C1"/>
    </sheetView>
  </sheetViews>
  <sheetFormatPr defaultColWidth="8.5703125" defaultRowHeight="15"/>
  <cols>
    <col min="1" max="1" width="3" style="1" customWidth="1"/>
    <col min="2" max="2" width="40.28515625" style="1" customWidth="1"/>
    <col min="3" max="3" width="42.7109375" style="1" customWidth="1"/>
    <col min="4" max="4" width="34" style="1" customWidth="1"/>
    <col min="5" max="5" width="40" style="1" customWidth="1"/>
    <col min="6" max="6" width="19.140625" style="1" customWidth="1"/>
    <col min="7" max="7" width="26.7109375" style="1" customWidth="1"/>
    <col min="8" max="8" width="9.140625" style="1"/>
    <col min="9" max="9" width="15" style="1" customWidth="1"/>
    <col min="10" max="10" width="28.28515625" style="1" customWidth="1"/>
    <col min="11" max="11" width="36.7109375" style="1" customWidth="1"/>
    <col min="12" max="16384" width="8.5703125" style="1"/>
  </cols>
  <sheetData>
    <row r="1" spans="2:11" ht="7.5" customHeight="1"/>
    <row r="2" spans="2:11" ht="30" customHeight="1">
      <c r="B2" s="217" t="s">
        <v>720</v>
      </c>
      <c r="C2" s="217"/>
      <c r="D2" s="217"/>
      <c r="E2" s="217"/>
      <c r="F2" s="217"/>
      <c r="G2" s="217"/>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124</v>
      </c>
      <c r="D5" s="207"/>
      <c r="E5" s="207"/>
      <c r="I5" s="17" t="s">
        <v>63</v>
      </c>
      <c r="J5" s="18" t="s">
        <v>64</v>
      </c>
      <c r="K5" s="63" t="s">
        <v>65</v>
      </c>
    </row>
    <row r="6" spans="2:11" ht="19.5" customHeight="1">
      <c r="B6" s="37" t="s">
        <v>458</v>
      </c>
      <c r="C6" s="207"/>
      <c r="D6" s="207"/>
      <c r="E6" s="207"/>
      <c r="I6" s="19" t="s">
        <v>66</v>
      </c>
      <c r="J6" s="18" t="s">
        <v>67</v>
      </c>
      <c r="K6" s="63" t="s">
        <v>68</v>
      </c>
    </row>
    <row r="7" spans="2:11" ht="19.5" customHeight="1">
      <c r="B7" s="37" t="s">
        <v>460</v>
      </c>
      <c r="C7" s="207" t="s">
        <v>721</v>
      </c>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19.5" customHeight="1">
      <c r="B18" s="37" t="s">
        <v>473</v>
      </c>
      <c r="C18" s="207"/>
      <c r="D18" s="207"/>
      <c r="E18" s="207"/>
    </row>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50.25">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66.7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33">
      <c r="B79" s="16" t="s">
        <v>418</v>
      </c>
      <c r="C79" s="36"/>
      <c r="D79" s="36"/>
      <c r="E79" s="47"/>
      <c r="F79" s="47"/>
    </row>
    <row r="80" spans="2:6" ht="21.75" customHeight="1">
      <c r="B80" s="14" t="s">
        <v>419</v>
      </c>
      <c r="C80" s="45"/>
      <c r="D80" s="45"/>
      <c r="E80" s="45"/>
      <c r="F80" s="45"/>
    </row>
    <row r="81" spans="2:7" ht="33">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33">
      <c r="B95" s="50" t="s">
        <v>581</v>
      </c>
      <c r="C95" s="26"/>
      <c r="D95" s="74" t="s">
        <v>582</v>
      </c>
      <c r="E95" s="49"/>
      <c r="F95" s="36"/>
      <c r="G95" s="5"/>
    </row>
    <row r="96" spans="2:7" ht="66.75">
      <c r="B96" s="48" t="s">
        <v>583</v>
      </c>
      <c r="C96" s="26"/>
      <c r="D96" s="69" t="s">
        <v>584</v>
      </c>
      <c r="E96" s="49"/>
      <c r="F96" s="36"/>
      <c r="G96" s="5"/>
    </row>
    <row r="97" spans="2:7" ht="25.5" customHeight="1">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c r="D105" s="74" t="s">
        <v>602</v>
      </c>
      <c r="E105" s="49"/>
      <c r="F105" s="36"/>
      <c r="G105" s="5"/>
    </row>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6" ht="21.75" customHeight="1">
      <c r="B113" s="13" t="s">
        <v>610</v>
      </c>
      <c r="C113" s="64"/>
    </row>
    <row r="114" spans="2:6" ht="21.75" customHeight="1">
      <c r="B114" s="15" t="s">
        <v>611</v>
      </c>
      <c r="C114" s="64"/>
    </row>
    <row r="115" spans="2:6" ht="28.5" customHeight="1">
      <c r="B115" s="131" t="s">
        <v>612</v>
      </c>
      <c r="C115" s="64"/>
    </row>
    <row r="116" spans="2:6" ht="21.75" customHeight="1">
      <c r="B116" s="132" t="s">
        <v>613</v>
      </c>
      <c r="C116" s="117"/>
      <c r="D116" s="117"/>
    </row>
    <row r="118" spans="2:6" ht="24" customHeight="1">
      <c r="B118" s="104" t="s">
        <v>614</v>
      </c>
      <c r="C118" s="104"/>
      <c r="D118" s="104"/>
      <c r="E118" s="104"/>
      <c r="F118" s="104"/>
    </row>
    <row r="119" spans="2:6" ht="21.75" customHeight="1">
      <c r="B119" s="6" t="s">
        <v>615</v>
      </c>
      <c r="C119" s="6" t="s">
        <v>616</v>
      </c>
      <c r="D119" s="6" t="s">
        <v>617</v>
      </c>
      <c r="E119" s="6" t="s">
        <v>618</v>
      </c>
      <c r="F119" s="6" t="s">
        <v>267</v>
      </c>
    </row>
    <row r="120" spans="2:6" ht="21.75" customHeight="1">
      <c r="B120" s="44" t="s">
        <v>619</v>
      </c>
      <c r="C120" s="99"/>
      <c r="D120" s="45"/>
      <c r="E120" s="14"/>
      <c r="F120" s="45"/>
    </row>
    <row r="121" spans="2:6" ht="21.75" customHeight="1">
      <c r="B121" s="46" t="s">
        <v>620</v>
      </c>
      <c r="C121" s="99"/>
      <c r="D121" s="45"/>
      <c r="E121" s="16"/>
      <c r="F121" s="45"/>
    </row>
    <row r="122" spans="2:6" ht="21.75" customHeight="1">
      <c r="B122" s="44" t="s">
        <v>621</v>
      </c>
      <c r="C122" s="99"/>
      <c r="D122" s="45"/>
      <c r="E122" s="14"/>
      <c r="F122" s="45"/>
    </row>
    <row r="123" spans="2:6" ht="21.75" customHeight="1">
      <c r="B123" s="46" t="s">
        <v>622</v>
      </c>
      <c r="C123" s="99"/>
      <c r="D123" s="45"/>
      <c r="E123" s="16"/>
      <c r="F123" s="45"/>
    </row>
    <row r="124" spans="2:6" ht="32.25" customHeight="1">
      <c r="B124" s="14" t="s">
        <v>623</v>
      </c>
      <c r="C124" s="99"/>
      <c r="D124" s="45"/>
      <c r="E124" s="14"/>
      <c r="F124" s="45"/>
    </row>
    <row r="125" spans="2:6" ht="36.75" customHeight="1">
      <c r="B125" s="16" t="s">
        <v>624</v>
      </c>
      <c r="C125" s="99"/>
      <c r="D125" s="45"/>
      <c r="E125" s="16"/>
      <c r="F125" s="45"/>
    </row>
    <row r="126" spans="2:6" ht="21.75" customHeight="1">
      <c r="B126" s="44" t="s">
        <v>625</v>
      </c>
      <c r="C126" s="99"/>
      <c r="D126" s="45"/>
      <c r="E126" s="14"/>
      <c r="F126" s="45"/>
    </row>
    <row r="127" spans="2:6" ht="21.75" customHeight="1">
      <c r="B127" s="46" t="s">
        <v>626</v>
      </c>
      <c r="C127" s="99"/>
      <c r="D127" s="45"/>
      <c r="E127" s="16"/>
      <c r="F127" s="45"/>
    </row>
    <row r="128" spans="2:6"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3" spans="2:11" ht="24.75" customHeight="1">
      <c r="B153" s="200" t="s">
        <v>652</v>
      </c>
      <c r="C153" s="200"/>
      <c r="D153" s="200"/>
      <c r="E153" s="200"/>
      <c r="F153" s="200"/>
      <c r="G153" s="200"/>
      <c r="H153" s="231"/>
      <c r="I153" s="133" t="s">
        <v>653</v>
      </c>
      <c r="J153" s="133" t="s">
        <v>654</v>
      </c>
      <c r="K153" s="133" t="s">
        <v>655</v>
      </c>
    </row>
    <row r="154" spans="2:11" ht="30.75">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9.25" customHeight="1">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30.75">
      <c r="B160" s="94" t="s">
        <v>682</v>
      </c>
      <c r="C160" s="93"/>
      <c r="D160" s="92" t="s">
        <v>683</v>
      </c>
      <c r="E160" s="93"/>
      <c r="F160" s="92" t="s">
        <v>684</v>
      </c>
      <c r="G160" s="93"/>
      <c r="H160" s="231"/>
      <c r="I160" s="134" t="s">
        <v>685</v>
      </c>
      <c r="J160" s="123" t="s">
        <v>686</v>
      </c>
      <c r="K160" s="123" t="s">
        <v>687</v>
      </c>
    </row>
    <row r="161" spans="2:11" ht="36" customHeight="1">
      <c r="B161" s="92" t="s">
        <v>688</v>
      </c>
      <c r="C161" s="93"/>
      <c r="D161" s="92" t="s">
        <v>689</v>
      </c>
      <c r="E161" s="93"/>
      <c r="F161" s="92" t="s">
        <v>690</v>
      </c>
      <c r="G161" s="93"/>
      <c r="H161" s="231"/>
      <c r="I161" s="134" t="s">
        <v>691</v>
      </c>
      <c r="J161" s="123" t="s">
        <v>692</v>
      </c>
      <c r="K161" s="123" t="s">
        <v>693</v>
      </c>
    </row>
    <row r="162" spans="2:11">
      <c r="B162" s="94" t="s">
        <v>694</v>
      </c>
      <c r="C162" s="93"/>
      <c r="D162" s="92" t="s">
        <v>695</v>
      </c>
      <c r="E162" s="93"/>
      <c r="F162" s="92" t="s">
        <v>696</v>
      </c>
      <c r="G162" s="93"/>
      <c r="H162" s="231"/>
    </row>
    <row r="163" spans="2:11">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45.75">
      <c r="B165" s="92" t="s">
        <v>699</v>
      </c>
      <c r="C165" s="199"/>
      <c r="D165" s="199"/>
      <c r="E165" s="199"/>
      <c r="F165" s="199"/>
      <c r="G165" s="199"/>
      <c r="H165" s="231"/>
    </row>
  </sheetData>
  <mergeCells count="50">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B22:G22"/>
    <mergeCell ref="B29:G29"/>
    <mergeCell ref="B38:G38"/>
    <mergeCell ref="B43:G43"/>
    <mergeCell ref="B47:C47"/>
    <mergeCell ref="B49:G49"/>
    <mergeCell ref="B86:G86"/>
    <mergeCell ref="B65:F65"/>
    <mergeCell ref="C137:G137"/>
    <mergeCell ref="B131:G131"/>
    <mergeCell ref="C133:G133"/>
    <mergeCell ref="C134:G134"/>
    <mergeCell ref="C135:G135"/>
    <mergeCell ref="C136:G136"/>
    <mergeCell ref="C155:G155"/>
    <mergeCell ref="C138:G138"/>
    <mergeCell ref="C139:G139"/>
    <mergeCell ref="B141:G141"/>
    <mergeCell ref="C143:G143"/>
    <mergeCell ref="C144:G144"/>
    <mergeCell ref="C145:G145"/>
    <mergeCell ref="C146:G146"/>
    <mergeCell ref="C147:G147"/>
    <mergeCell ref="C148:G148"/>
    <mergeCell ref="C151:G151"/>
    <mergeCell ref="B153:G153"/>
    <mergeCell ref="C149:G149"/>
    <mergeCell ref="C150:G150"/>
    <mergeCell ref="C165:G165"/>
    <mergeCell ref="C156:G156"/>
    <mergeCell ref="C157:G157"/>
    <mergeCell ref="C158:G158"/>
    <mergeCell ref="C159:G159"/>
    <mergeCell ref="C163:G163"/>
    <mergeCell ref="C164:G164"/>
  </mergeCells>
  <dataValidations count="6">
    <dataValidation type="list" allowBlank="1" sqref="C88:C105" xr:uid="{0E2C1FF3-4B4E-438D-86C5-A870943BDC49}">
      <formula1>"Sí,No,Parcial"</formula1>
      <formula2>0</formula2>
    </dataValidation>
    <dataValidation type="list" allowBlank="1" sqref="G23:G27 G30:G36 G39:G41 G44:G4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29"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5681BD92-3A91-4474-967C-463497E3B3FB}">
      <formula1>"Microsoft Teams Phone,Genesys Cloud,Avaya,3CX,Cisco Webex Contact Center,Amazon Connect,Twilio Flex,Five9,NICE CXone,Talkdesk"</formula1>
    </dataValidation>
    <dataValidation type="date" allowBlank="1" showInputMessage="1" showErrorMessage="1" sqref="C8:E8" xr:uid="{41678507-2AF6-4AF3-9177-08C2027FE8DB}">
      <formula1>46174</formula1>
      <formula2>46368</formula2>
    </dataValidation>
    <dataValidation allowBlank="1" sqref="C16:E18" xr:uid="{06374386-E871-462B-9964-8C7C97FE0705}"/>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showInputMessage="1" showErrorMessage="1" xr:uid="{A93F860B-B79F-4A87-A45D-7D294F7AF853}">
          <x14:formula1>
            <xm:f>Listas!$N$5:$N$10</xm:f>
          </x14:formula1>
          <xm:sqref>C5:E5</xm:sqref>
        </x14:dataValidation>
        <x14:dataValidation type="list" allowBlank="1" xr:uid="{3D7929E2-FCC6-44E0-AF70-63BC873607D1}">
          <x14:formula1>
            <xm:f>Listas!$L$5:$L$7</xm:f>
          </x14:formula1>
          <x14:formula2>
            <xm:f>0</xm:f>
          </x14:formula2>
          <xm:sqref>C147</xm:sqref>
        </x14:dataValidation>
        <x14:dataValidation type="list" allowBlank="1" xr:uid="{94B432D4-A010-48BF-8AF2-86A73F303E9C}">
          <x14:formula1>
            <xm:f>Listas!$F$5:$F$7</xm:f>
          </x14:formula1>
          <x14:formula2>
            <xm:f>0</xm:f>
          </x14:formula2>
          <xm:sqref>F88:F105</xm:sqref>
        </x14:dataValidation>
        <x14:dataValidation type="list" allowBlank="1" xr:uid="{6E7ABE4C-A653-4AAC-9F81-790E80A95F9D}">
          <x14:formula1>
            <xm:f>Listas!$B$5:$B$8</xm:f>
          </x14:formula1>
          <x14:formula2>
            <xm:f>0</xm:f>
          </x14:formula2>
          <xm:sqref>D23:D27 D30:D36 D39:D41 D44:D45</xm:sqref>
        </x14:dataValidation>
        <x14:dataValidation type="list" allowBlank="1" xr:uid="{A62CF650-730E-4E54-BB87-CB8D7A776FFA}">
          <x14:formula1>
            <xm:f>Listas!$D$5:$D$10</xm:f>
          </x14:formula1>
          <x14:formula2>
            <xm:f>0</xm:f>
          </x14:formula2>
          <xm:sqref>C14:C15</xm:sqref>
        </x14:dataValidation>
        <x14:dataValidation type="list" allowBlank="1" xr:uid="{8DD07C67-F6A3-419D-BBED-D8E8888BF9B0}">
          <x14:formula1>
            <xm:f>Listas!$H$5:$H$9</xm:f>
          </x14:formula1>
          <x14:formula2>
            <xm:f>0</xm:f>
          </x14:formula2>
          <xm:sqref>C12</xm:sqref>
        </x14:dataValidation>
        <x14:dataValidation type="list" allowBlank="1" showInputMessage="1" showErrorMessage="1" xr:uid="{CE1D8B38-DFC2-47AD-ABD5-E6B332DB57A7}">
          <x14:formula1>
            <xm:f>Listas!$P$5:$P$8</xm:f>
          </x14:formula1>
          <xm:sqref>F120:F129</xm:sqref>
        </x14:dataValidation>
        <x14:dataValidation type="list" allowBlank="1" showInputMessage="1" showErrorMessage="1" xr:uid="{148B68CB-9348-44F7-91B7-E13280648DEF}">
          <x14:formula1>
            <xm:f>Listas!$R$5:$R$7</xm:f>
          </x14:formula1>
          <xm:sqref>D120:D129</xm:sqref>
        </x14:dataValidation>
        <x14:dataValidation type="list" allowBlank="1" showInputMessage="1" showErrorMessage="1" promptTitle="Seleccione herramienta" prompt="Seleccione una opción de la lista o escriba otra herramienta si aplica." xr:uid="{47698440-59E0-4931-93A3-44D523E13D8B}">
          <x14:formula1>
            <xm:f>Listas!$J$18:$J$32</xm:f>
          </x14:formula1>
          <xm:sqref>C128</xm:sqref>
        </x14:dataValidation>
        <x14:dataValidation type="list" allowBlank="1" showInputMessage="1" showErrorMessage="1" promptTitle="Seleccione herramienta" prompt="Seleccione una opción de la lista o escriba otra herramienta si aplica." xr:uid="{150947AE-F176-4976-B759-1087E30DB084}">
          <x14:formula1>
            <xm:f>Listas!$L$18:$L$32</xm:f>
          </x14:formula1>
          <xm:sqref>C127</xm:sqref>
        </x14:dataValidation>
        <x14:dataValidation type="list" allowBlank="1" showInputMessage="1" showErrorMessage="1" promptTitle="Seleccione herramienta" prompt="Seleccione una opción de la lista o escriba otra herramienta si aplica." xr:uid="{65617870-D199-4497-80CD-7434B61A298C}">
          <x14:formula1>
            <xm:f>Listas!$H$18:$H$32</xm:f>
          </x14:formula1>
          <xm:sqref>C126</xm:sqref>
        </x14:dataValidation>
        <x14:dataValidation type="list" allowBlank="1" showInputMessage="1" showErrorMessage="1" promptTitle="Seleccione herramienta" prompt="Seleccione una opción de la lista o escriba otra herramienta si aplica." xr:uid="{6062ADA2-7C88-4525-AA33-FA040A318CD6}">
          <x14:formula1>
            <xm:f>Listas!$N$18:$N$32</xm:f>
          </x14:formula1>
          <xm:sqref>C124</xm:sqref>
        </x14:dataValidation>
        <x14:dataValidation type="list" allowBlank="1" showInputMessage="1" showErrorMessage="1" promptTitle="Seleccione herramienta" prompt="Seleccione una opción de la lista o escriba otra herramienta si aplica." xr:uid="{283DE0C5-94E3-437F-82E3-45784518D4C1}">
          <x14:formula1>
            <xm:f>Listas!$P$18:$P$32</xm:f>
          </x14:formula1>
          <xm:sqref>C123</xm:sqref>
        </x14:dataValidation>
        <x14:dataValidation type="list" allowBlank="1" showInputMessage="1" showErrorMessage="1" promptTitle="Seleccione herramienta" prompt="Seleccione una opción de la lista o escriba otra herramienta si aplica." xr:uid="{3A9737F1-40DF-4105-9814-112470B808BE}">
          <x14:formula1>
            <xm:f>Listas!$F$18:$F$32</xm:f>
          </x14:formula1>
          <xm:sqref>C122</xm:sqref>
        </x14:dataValidation>
        <x14:dataValidation type="list" allowBlank="1" showInputMessage="1" showErrorMessage="1" promptTitle="Seleccione herramienta" prompt="Seleccione una opción de la lista o escriba otra herramienta si aplica." xr:uid="{A665D250-11B6-48FA-B6A3-58CDACEB3EF4}">
          <x14:formula1>
            <xm:f>Listas!$D$18:$D$32</xm:f>
          </x14:formula1>
          <xm:sqref>C121</xm:sqref>
        </x14:dataValidation>
        <x14:dataValidation type="list" allowBlank="1" showInputMessage="1" showErrorMessage="1" promptTitle="Seleccione herramienta" prompt="Seleccione una opción de la lista o escriba otra herramienta si aplica." xr:uid="{A00FBC46-7B87-4C91-A382-FA052BCC1451}">
          <x14:formula1>
            <xm:f>Listas!$B$18:$B$32</xm:f>
          </x14:formula1>
          <xm:sqref>C120</xm:sqref>
        </x14:dataValidation>
        <x14:dataValidation type="list" allowBlank="1" showInputMessage="1" showErrorMessage="1" xr:uid="{6A22CC4E-5D56-4368-8555-2D16176DAF71}">
          <x14:formula1>
            <xm:f>Listas!$J$42:$J$46</xm:f>
          </x14:formula1>
          <xm:sqref>C84:D84</xm:sqref>
        </x14:dataValidation>
        <x14:dataValidation type="list" allowBlank="1" showInputMessage="1" showErrorMessage="1" xr:uid="{5AA80BED-DBD4-4AB1-BA02-3F976F28468A}">
          <x14:formula1>
            <xm:f>Listas!$H$42:$H$45</xm:f>
          </x14:formula1>
          <xm:sqref>C83:D83</xm:sqref>
        </x14:dataValidation>
        <x14:dataValidation type="list" allowBlank="1" showInputMessage="1" showErrorMessage="1" xr:uid="{17B02590-B4EE-4A69-9ACB-8065C90CFE52}">
          <x14:formula1>
            <xm:f>Listas!$F$42:$F$49</xm:f>
          </x14:formula1>
          <xm:sqref>C80:D80</xm:sqref>
        </x14:dataValidation>
        <x14:dataValidation type="list" allowBlank="1" showInputMessage="1" showErrorMessage="1" xr:uid="{E74E2C79-6372-4925-B36F-C2552764D840}">
          <x14:formula1>
            <xm:f>Listas!$D$42:$D$46</xm:f>
          </x14:formula1>
          <xm:sqref>C79:D79</xm:sqref>
        </x14:dataValidation>
        <x14:dataValidation type="list" allowBlank="1" showInputMessage="1" showErrorMessage="1" xr:uid="{8AD86512-E491-4D48-9603-569690167BD3}">
          <x14:formula1>
            <xm:f>Listas!$B$42:$B$45</xm:f>
          </x14:formula1>
          <xm:sqref>C78:D78</xm:sqref>
        </x14:dataValidation>
        <x14:dataValidation type="list" allowBlank="1" showInputMessage="1" showErrorMessage="1" xr:uid="{C9AEB3DB-5644-4926-8AC9-B26BC8953824}">
          <x14:formula1>
            <xm:f>Listas!$B$50:$B$55</xm:f>
          </x14:formula1>
          <xm:sqref>C115</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65"/>
  <sheetViews>
    <sheetView showGridLines="0" zoomScaleNormal="100" workbookViewId="0">
      <pane xSplit="2" ySplit="2" topLeftCell="C142" activePane="bottomRight" state="frozen"/>
      <selection pane="bottomRight" activeCell="I153" sqref="I153:K161"/>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0" style="1" customWidth="1"/>
    <col min="6" max="6" width="21.140625" style="1" customWidth="1"/>
    <col min="7" max="7" width="27" style="1" customWidth="1"/>
    <col min="8" max="8" width="9.140625" style="1"/>
    <col min="9" max="9" width="14.85546875" style="1" customWidth="1"/>
    <col min="10" max="10" width="28.28515625" style="1" customWidth="1"/>
    <col min="11" max="11" width="36.7109375" style="1" customWidth="1"/>
    <col min="12" max="16384" width="8.5703125" style="1"/>
  </cols>
  <sheetData>
    <row r="1" spans="2:11" ht="7.5" customHeight="1"/>
    <row r="2" spans="2:11" ht="30" customHeight="1">
      <c r="B2" s="217" t="s">
        <v>722</v>
      </c>
      <c r="C2" s="217"/>
      <c r="D2" s="217"/>
      <c r="E2" s="217"/>
      <c r="F2" s="217"/>
      <c r="G2" s="217"/>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125</v>
      </c>
      <c r="D5" s="207"/>
      <c r="E5" s="207"/>
      <c r="I5" s="17" t="s">
        <v>63</v>
      </c>
      <c r="J5" s="18" t="s">
        <v>64</v>
      </c>
      <c r="K5" s="63" t="s">
        <v>65</v>
      </c>
    </row>
    <row r="6" spans="2:11" ht="19.5" customHeight="1">
      <c r="B6" s="37" t="s">
        <v>458</v>
      </c>
      <c r="C6" s="207"/>
      <c r="D6" s="207"/>
      <c r="E6" s="207"/>
      <c r="I6" s="19" t="s">
        <v>66</v>
      </c>
      <c r="J6" s="18" t="s">
        <v>67</v>
      </c>
      <c r="K6" s="63" t="s">
        <v>68</v>
      </c>
    </row>
    <row r="7" spans="2:11" ht="19.5" customHeight="1">
      <c r="B7" s="37" t="s">
        <v>460</v>
      </c>
      <c r="C7" s="207" t="s">
        <v>723</v>
      </c>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19.5" customHeight="1">
      <c r="B18" s="37" t="s">
        <v>473</v>
      </c>
      <c r="C18" s="207"/>
      <c r="D18" s="207"/>
      <c r="E18" s="207"/>
    </row>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50.25">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66.7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21.75" customHeight="1">
      <c r="B79" s="16" t="s">
        <v>418</v>
      </c>
      <c r="C79" s="36"/>
      <c r="D79" s="36"/>
      <c r="E79" s="47"/>
      <c r="F79" s="47"/>
    </row>
    <row r="80" spans="2:6" ht="21.75" customHeight="1">
      <c r="B80" s="14" t="s">
        <v>419</v>
      </c>
      <c r="C80" s="45"/>
      <c r="D80" s="45"/>
      <c r="E80" s="45"/>
      <c r="F80" s="45"/>
    </row>
    <row r="81" spans="2:7" ht="21.75" customHeight="1">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03"/>
      <c r="D86" s="203"/>
      <c r="E86" s="203"/>
      <c r="F86" s="203"/>
      <c r="G86" s="203"/>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25.5" customHeight="1">
      <c r="B95" s="50" t="s">
        <v>581</v>
      </c>
      <c r="C95" s="26"/>
      <c r="D95" s="74" t="s">
        <v>582</v>
      </c>
      <c r="E95" s="49"/>
      <c r="F95" s="36"/>
      <c r="G95" s="5"/>
    </row>
    <row r="96" spans="2:7" ht="66.75">
      <c r="B96" s="48" t="s">
        <v>583</v>
      </c>
      <c r="C96" s="26"/>
      <c r="D96" s="69" t="s">
        <v>584</v>
      </c>
      <c r="E96" s="49"/>
      <c r="F96" s="36"/>
      <c r="G96" s="5"/>
    </row>
    <row r="97" spans="2:7" ht="83.25">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c r="D105" s="74" t="s">
        <v>602</v>
      </c>
      <c r="E105" s="49"/>
      <c r="F105" s="36"/>
      <c r="G105" s="5"/>
    </row>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6" ht="21.75" customHeight="1">
      <c r="B113" s="13" t="s">
        <v>610</v>
      </c>
      <c r="C113" s="64"/>
    </row>
    <row r="114" spans="2:6" ht="21.75" customHeight="1">
      <c r="B114" s="15" t="s">
        <v>611</v>
      </c>
      <c r="C114" s="64"/>
    </row>
    <row r="115" spans="2:6" ht="28.5" customHeight="1">
      <c r="B115" s="131" t="s">
        <v>612</v>
      </c>
      <c r="C115" s="64"/>
    </row>
    <row r="116" spans="2:6" ht="21.75" customHeight="1">
      <c r="B116" s="132" t="s">
        <v>613</v>
      </c>
      <c r="C116" s="117"/>
      <c r="D116" s="117"/>
    </row>
    <row r="118" spans="2:6" ht="24" customHeight="1">
      <c r="B118" s="104" t="s">
        <v>614</v>
      </c>
      <c r="C118" s="104"/>
      <c r="D118" s="104"/>
      <c r="E118" s="104"/>
      <c r="F118" s="104"/>
    </row>
    <row r="119" spans="2:6" ht="21.75" customHeight="1">
      <c r="B119" s="6" t="s">
        <v>615</v>
      </c>
      <c r="C119" s="6" t="s">
        <v>616</v>
      </c>
      <c r="D119" s="6" t="s">
        <v>617</v>
      </c>
      <c r="E119" s="6" t="s">
        <v>618</v>
      </c>
      <c r="F119" s="6" t="s">
        <v>267</v>
      </c>
    </row>
    <row r="120" spans="2:6" ht="21.75" customHeight="1">
      <c r="B120" s="44" t="s">
        <v>619</v>
      </c>
      <c r="C120" s="99"/>
      <c r="D120" s="45"/>
      <c r="E120" s="14"/>
      <c r="F120" s="45"/>
    </row>
    <row r="121" spans="2:6" ht="21.75" customHeight="1">
      <c r="B121" s="46" t="s">
        <v>620</v>
      </c>
      <c r="C121" s="99"/>
      <c r="D121" s="45"/>
      <c r="E121" s="16"/>
      <c r="F121" s="45"/>
    </row>
    <row r="122" spans="2:6" ht="21.75" customHeight="1">
      <c r="B122" s="44" t="s">
        <v>621</v>
      </c>
      <c r="C122" s="99"/>
      <c r="D122" s="45"/>
      <c r="E122" s="14"/>
      <c r="F122" s="45"/>
    </row>
    <row r="123" spans="2:6" ht="21.75" customHeight="1">
      <c r="B123" s="46" t="s">
        <v>622</v>
      </c>
      <c r="C123" s="99"/>
      <c r="D123" s="45"/>
      <c r="E123" s="16"/>
      <c r="F123" s="45"/>
    </row>
    <row r="124" spans="2:6" ht="43.5" customHeight="1">
      <c r="B124" s="14" t="s">
        <v>623</v>
      </c>
      <c r="C124" s="99"/>
      <c r="D124" s="45"/>
      <c r="E124" s="14"/>
      <c r="F124" s="45"/>
    </row>
    <row r="125" spans="2:6" ht="36.75" customHeight="1">
      <c r="B125" s="16" t="s">
        <v>624</v>
      </c>
      <c r="C125" s="99"/>
      <c r="D125" s="45"/>
      <c r="E125" s="16"/>
      <c r="F125" s="45"/>
    </row>
    <row r="126" spans="2:6" ht="21.75" customHeight="1">
      <c r="B126" s="44" t="s">
        <v>625</v>
      </c>
      <c r="C126" s="99"/>
      <c r="D126" s="45"/>
      <c r="E126" s="14"/>
      <c r="F126" s="45"/>
    </row>
    <row r="127" spans="2:6" ht="21.75" customHeight="1">
      <c r="B127" s="46" t="s">
        <v>626</v>
      </c>
      <c r="C127" s="99"/>
      <c r="D127" s="45"/>
      <c r="E127" s="16"/>
      <c r="F127" s="45"/>
    </row>
    <row r="128" spans="2:6"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03"/>
      <c r="D131" s="203"/>
      <c r="E131" s="203"/>
      <c r="F131" s="203"/>
      <c r="G131" s="203"/>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3" spans="2:11" ht="24.75" customHeight="1">
      <c r="B153" s="200" t="s">
        <v>652</v>
      </c>
      <c r="C153" s="200"/>
      <c r="D153" s="200"/>
      <c r="E153" s="200"/>
      <c r="F153" s="200"/>
      <c r="G153" s="200"/>
      <c r="H153" s="231"/>
      <c r="I153" s="133" t="s">
        <v>653</v>
      </c>
      <c r="J153" s="133" t="s">
        <v>654</v>
      </c>
      <c r="K153" s="133" t="s">
        <v>655</v>
      </c>
    </row>
    <row r="154" spans="2:11" ht="30.75">
      <c r="B154" s="92" t="s">
        <v>266</v>
      </c>
      <c r="C154" s="93"/>
      <c r="D154" s="92" t="s">
        <v>656</v>
      </c>
      <c r="E154" s="93"/>
      <c r="F154" s="92" t="s">
        <v>657</v>
      </c>
      <c r="G154" s="93"/>
      <c r="H154" s="231"/>
      <c r="I154" s="134" t="s">
        <v>658</v>
      </c>
      <c r="J154" s="123" t="s">
        <v>659</v>
      </c>
      <c r="K154" s="123" t="s">
        <v>660</v>
      </c>
    </row>
    <row r="155" spans="2:11" ht="27">
      <c r="B155" s="94" t="s">
        <v>661</v>
      </c>
      <c r="C155" s="199"/>
      <c r="D155" s="199"/>
      <c r="E155" s="199"/>
      <c r="F155" s="199"/>
      <c r="G155" s="199"/>
      <c r="H155" s="231"/>
      <c r="I155" s="134" t="s">
        <v>662</v>
      </c>
      <c r="J155" s="123" t="s">
        <v>663</v>
      </c>
      <c r="K155" s="123" t="s">
        <v>664</v>
      </c>
    </row>
    <row r="156" spans="2:11">
      <c r="B156" s="92" t="s">
        <v>665</v>
      </c>
      <c r="C156" s="199"/>
      <c r="D156" s="199"/>
      <c r="E156" s="199"/>
      <c r="F156" s="199"/>
      <c r="G156" s="199"/>
      <c r="H156" s="231"/>
      <c r="I156" s="134" t="s">
        <v>666</v>
      </c>
      <c r="J156" s="123" t="s">
        <v>667</v>
      </c>
      <c r="K156" s="123" t="s">
        <v>668</v>
      </c>
    </row>
    <row r="157" spans="2:11" ht="27">
      <c r="B157" s="94" t="s">
        <v>669</v>
      </c>
      <c r="C157" s="199"/>
      <c r="D157" s="199"/>
      <c r="E157" s="199"/>
      <c r="F157" s="199"/>
      <c r="G157" s="199"/>
      <c r="H157" s="231"/>
      <c r="I157" s="134" t="s">
        <v>670</v>
      </c>
      <c r="J157" s="123" t="s">
        <v>671</v>
      </c>
      <c r="K157" s="123" t="s">
        <v>672</v>
      </c>
    </row>
    <row r="158" spans="2:11" ht="25.5" customHeight="1">
      <c r="B158" s="92" t="s">
        <v>673</v>
      </c>
      <c r="C158" s="201" t="s">
        <v>674</v>
      </c>
      <c r="D158" s="202"/>
      <c r="E158" s="202"/>
      <c r="F158" s="202"/>
      <c r="G158" s="202"/>
      <c r="H158" s="231"/>
      <c r="I158" s="134" t="s">
        <v>675</v>
      </c>
      <c r="J158" s="123" t="s">
        <v>676</v>
      </c>
      <c r="K158" s="123" t="s">
        <v>677</v>
      </c>
    </row>
    <row r="159" spans="2:11" ht="27">
      <c r="B159" s="92" t="s">
        <v>678</v>
      </c>
      <c r="C159" s="199"/>
      <c r="D159" s="199"/>
      <c r="E159" s="199"/>
      <c r="F159" s="199"/>
      <c r="G159" s="199"/>
      <c r="H159" s="231"/>
      <c r="I159" s="134" t="s">
        <v>679</v>
      </c>
      <c r="J159" s="123" t="s">
        <v>680</v>
      </c>
      <c r="K159" s="123" t="s">
        <v>681</v>
      </c>
    </row>
    <row r="160" spans="2:11" ht="30.75">
      <c r="B160" s="94" t="s">
        <v>682</v>
      </c>
      <c r="C160" s="93"/>
      <c r="D160" s="92" t="s">
        <v>683</v>
      </c>
      <c r="E160" s="93"/>
      <c r="F160" s="92" t="s">
        <v>684</v>
      </c>
      <c r="G160" s="93"/>
      <c r="H160" s="231"/>
      <c r="I160" s="134" t="s">
        <v>685</v>
      </c>
      <c r="J160" s="123" t="s">
        <v>686</v>
      </c>
      <c r="K160" s="123" t="s">
        <v>687</v>
      </c>
    </row>
    <row r="161" spans="2:11" ht="30.75">
      <c r="B161" s="92" t="s">
        <v>688</v>
      </c>
      <c r="C161" s="93"/>
      <c r="D161" s="92" t="s">
        <v>689</v>
      </c>
      <c r="E161" s="93"/>
      <c r="F161" s="92" t="s">
        <v>690</v>
      </c>
      <c r="G161" s="93"/>
      <c r="H161" s="231"/>
      <c r="I161" s="134" t="s">
        <v>691</v>
      </c>
      <c r="J161" s="123" t="s">
        <v>692</v>
      </c>
      <c r="K161" s="123" t="s">
        <v>693</v>
      </c>
    </row>
    <row r="162" spans="2:11">
      <c r="B162" s="94" t="s">
        <v>694</v>
      </c>
      <c r="C162" s="93"/>
      <c r="D162" s="92" t="s">
        <v>695</v>
      </c>
      <c r="E162" s="93"/>
      <c r="F162" s="92" t="s">
        <v>696</v>
      </c>
      <c r="G162" s="93"/>
      <c r="H162" s="231"/>
    </row>
    <row r="163" spans="2:11">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30.75">
      <c r="B165" s="92" t="s">
        <v>699</v>
      </c>
      <c r="C165" s="199"/>
      <c r="D165" s="199"/>
      <c r="E165" s="199"/>
      <c r="F165" s="199"/>
      <c r="G165" s="199"/>
      <c r="H165" s="231"/>
    </row>
  </sheetData>
  <mergeCells count="50">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B22:G22"/>
    <mergeCell ref="B29:G29"/>
    <mergeCell ref="B38:G38"/>
    <mergeCell ref="B43:G43"/>
    <mergeCell ref="B47:C47"/>
    <mergeCell ref="B49:G49"/>
    <mergeCell ref="B86:G86"/>
    <mergeCell ref="B65:F65"/>
    <mergeCell ref="C137:G137"/>
    <mergeCell ref="B131:G131"/>
    <mergeCell ref="C133:G133"/>
    <mergeCell ref="C134:G134"/>
    <mergeCell ref="C135:G135"/>
    <mergeCell ref="C136:G136"/>
    <mergeCell ref="C155:G155"/>
    <mergeCell ref="C138:G138"/>
    <mergeCell ref="C139:G139"/>
    <mergeCell ref="B141:G141"/>
    <mergeCell ref="C143:G143"/>
    <mergeCell ref="C144:G144"/>
    <mergeCell ref="C145:G145"/>
    <mergeCell ref="C146:G146"/>
    <mergeCell ref="C147:G147"/>
    <mergeCell ref="C148:G148"/>
    <mergeCell ref="C149:G149"/>
    <mergeCell ref="B153:G153"/>
    <mergeCell ref="C150:G150"/>
    <mergeCell ref="C151:G151"/>
    <mergeCell ref="C165:G165"/>
    <mergeCell ref="C156:G156"/>
    <mergeCell ref="C157:G157"/>
    <mergeCell ref="C158:G158"/>
    <mergeCell ref="C159:G159"/>
    <mergeCell ref="C163:G163"/>
    <mergeCell ref="C164:G164"/>
  </mergeCells>
  <dataValidations count="6">
    <dataValidation type="list" allowBlank="1" sqref="G23:G27 G30:G36 G39:G41 G44:G45" xr:uid="{6510FBFE-2989-4C44-9CBB-4666191F5E2C}">
      <formula1>"Alta,Media,Baja,Sin mejora"</formula1>
      <formula2>0</formula2>
    </dataValidation>
    <dataValidation type="list" allowBlank="1" sqref="C88:C105"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29"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BAC32D66-5D2F-47AA-8519-338D5423E6C1}">
      <formula1>"Microsoft Teams Phone,Genesys Cloud,Avaya,3CX,Cisco Webex Contact Center,Amazon Connect,Twilio Flex,Five9,NICE CXone,Talkdesk"</formula1>
    </dataValidation>
    <dataValidation allowBlank="1" sqref="C16:E18" xr:uid="{57FEF55D-5D9C-4660-9B03-0F721803109F}"/>
    <dataValidation type="date" allowBlank="1" showInputMessage="1" showErrorMessage="1" sqref="C8:E8" xr:uid="{A35B81B1-3758-4440-AECA-8623D9E7A5C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A42B6696-B8C4-40BF-838A-3B14038A6C1C}">
          <x14:formula1>
            <xm:f>Listas!$H$5:$H$9</xm:f>
          </x14:formula1>
          <x14:formula2>
            <xm:f>0</xm:f>
          </x14:formula2>
          <xm:sqref>C12</xm:sqref>
        </x14:dataValidation>
        <x14:dataValidation type="list" allowBlank="1" xr:uid="{8532332D-74FA-4A4E-9C42-0004450A9AA5}">
          <x14:formula1>
            <xm:f>Listas!$D$5:$D$10</xm:f>
          </x14:formula1>
          <x14:formula2>
            <xm:f>0</xm:f>
          </x14:formula2>
          <xm:sqref>C14:C15</xm:sqref>
        </x14:dataValidation>
        <x14:dataValidation type="list" allowBlank="1" xr:uid="{ACFFE884-67EE-4ABC-B101-FFA2F57C26A2}">
          <x14:formula1>
            <xm:f>Listas!$B$5:$B$8</xm:f>
          </x14:formula1>
          <x14:formula2>
            <xm:f>0</xm:f>
          </x14:formula2>
          <xm:sqref>D23:D27 D30:D36 D39:D41 D44:D45</xm:sqref>
        </x14:dataValidation>
        <x14:dataValidation type="list" allowBlank="1" xr:uid="{47A9D2E9-A4CC-4968-8504-016325E13E0C}">
          <x14:formula1>
            <xm:f>Listas!$F$5:$F$7</xm:f>
          </x14:formula1>
          <x14:formula2>
            <xm:f>0</xm:f>
          </x14:formula2>
          <xm:sqref>F88:F105</xm:sqref>
        </x14:dataValidation>
        <x14:dataValidation type="list" allowBlank="1" xr:uid="{4FCC51DB-666E-4500-8230-1376A5C9A9D5}">
          <x14:formula1>
            <xm:f>Listas!$L$5:$L$7</xm:f>
          </x14:formula1>
          <x14:formula2>
            <xm:f>0</xm:f>
          </x14:formula2>
          <xm:sqref>C147</xm:sqref>
        </x14:dataValidation>
        <x14:dataValidation type="list" allowBlank="1" showInputMessage="1" showErrorMessage="1" xr:uid="{8B5FAB93-27F1-40C4-B679-F69B7FD0B6F0}">
          <x14:formula1>
            <xm:f>Listas!$N$5:$N$10</xm:f>
          </x14:formula1>
          <xm:sqref>C5:E5</xm:sqref>
        </x14:dataValidation>
        <x14:dataValidation type="list" allowBlank="1" showInputMessage="1" showErrorMessage="1" xr:uid="{280827EE-30AC-43C8-B0AF-79D9583D82D3}">
          <x14:formula1>
            <xm:f>Listas!$P$5:$P$8</xm:f>
          </x14:formula1>
          <xm:sqref>F120:F129</xm:sqref>
        </x14:dataValidation>
        <x14:dataValidation type="list" allowBlank="1" showInputMessage="1" showErrorMessage="1" xr:uid="{5A6C95C2-4178-4689-81C0-CFFD24A8F081}">
          <x14:formula1>
            <xm:f>Listas!$R$5:$R$7</xm:f>
          </x14:formula1>
          <xm:sqref>D120:D129</xm:sqref>
        </x14:dataValidation>
        <x14:dataValidation type="list" allowBlank="1" showInputMessage="1" showErrorMessage="1" promptTitle="Seleccione herramienta" prompt="Seleccione una opción de la lista o escriba otra herramienta si aplica." xr:uid="{174E62F7-CEC4-4EBD-BE5A-A8BE0413DAD4}">
          <x14:formula1>
            <xm:f>Listas!$J$18:$J$32</xm:f>
          </x14:formula1>
          <xm:sqref>C128</xm:sqref>
        </x14:dataValidation>
        <x14:dataValidation type="list" allowBlank="1" showInputMessage="1" showErrorMessage="1" promptTitle="Seleccione herramienta" prompt="Seleccione una opción de la lista o escriba otra herramienta si aplica." xr:uid="{7BF147DF-B6A2-4000-BD15-E4162AD9D30D}">
          <x14:formula1>
            <xm:f>Listas!$L$18:$L$32</xm:f>
          </x14:formula1>
          <xm:sqref>C127</xm:sqref>
        </x14:dataValidation>
        <x14:dataValidation type="list" allowBlank="1" showInputMessage="1" showErrorMessage="1" promptTitle="Seleccione herramienta" prompt="Seleccione una opción de la lista o escriba otra herramienta si aplica." xr:uid="{821E3602-27CD-4DDD-AA72-6E79DCFE5FDA}">
          <x14:formula1>
            <xm:f>Listas!$H$18:$H$32</xm:f>
          </x14:formula1>
          <xm:sqref>C126</xm:sqref>
        </x14:dataValidation>
        <x14:dataValidation type="list" allowBlank="1" showInputMessage="1" showErrorMessage="1" promptTitle="Seleccione herramienta" prompt="Seleccione una opción de la lista o escriba otra herramienta si aplica." xr:uid="{FA7FB44D-F8F7-4C7C-B6EC-AD8530C05E9E}">
          <x14:formula1>
            <xm:f>Listas!$N$18:$N$32</xm:f>
          </x14:formula1>
          <xm:sqref>C124</xm:sqref>
        </x14:dataValidation>
        <x14:dataValidation type="list" allowBlank="1" showInputMessage="1" showErrorMessage="1" promptTitle="Seleccione herramienta" prompt="Seleccione una opción de la lista o escriba otra herramienta si aplica." xr:uid="{75CBB848-EFFC-4692-8B62-E7260FB72AC0}">
          <x14:formula1>
            <xm:f>Listas!$P$18:$P$32</xm:f>
          </x14:formula1>
          <xm:sqref>C123</xm:sqref>
        </x14:dataValidation>
        <x14:dataValidation type="list" allowBlank="1" showInputMessage="1" showErrorMessage="1" promptTitle="Seleccione herramienta" prompt="Seleccione una opción de la lista o escriba otra herramienta si aplica." xr:uid="{C15811CC-AB4B-4AE0-A270-9D043A3B865F}">
          <x14:formula1>
            <xm:f>Listas!$F$18:$F$32</xm:f>
          </x14:formula1>
          <xm:sqref>C122</xm:sqref>
        </x14:dataValidation>
        <x14:dataValidation type="list" allowBlank="1" showInputMessage="1" showErrorMessage="1" promptTitle="Seleccione herramienta" prompt="Seleccione una opción de la lista o escriba otra herramienta si aplica." xr:uid="{DE9580C1-560D-4D5D-9083-4E8B6F9799E3}">
          <x14:formula1>
            <xm:f>Listas!$D$18:$D$32</xm:f>
          </x14:formula1>
          <xm:sqref>C121</xm:sqref>
        </x14:dataValidation>
        <x14:dataValidation type="list" allowBlank="1" showInputMessage="1" showErrorMessage="1" promptTitle="Seleccione herramienta" prompt="Seleccione una opción de la lista o escriba otra herramienta si aplica." xr:uid="{202A2D16-715F-4174-BF16-FACB25C95375}">
          <x14:formula1>
            <xm:f>Listas!$B$18:$B$32</xm:f>
          </x14:formula1>
          <xm:sqref>C120</xm:sqref>
        </x14:dataValidation>
        <x14:dataValidation type="list" allowBlank="1" showInputMessage="1" showErrorMessage="1" xr:uid="{3AC077EC-E09B-4724-A870-97916942AF7D}">
          <x14:formula1>
            <xm:f>Listas!$J$42:$J$46</xm:f>
          </x14:formula1>
          <xm:sqref>C84:D84</xm:sqref>
        </x14:dataValidation>
        <x14:dataValidation type="list" allowBlank="1" showInputMessage="1" showErrorMessage="1" xr:uid="{B201D41C-740F-4BDB-AF5F-07F8DF774247}">
          <x14:formula1>
            <xm:f>Listas!$H$42:$H$45</xm:f>
          </x14:formula1>
          <xm:sqref>C83:D83</xm:sqref>
        </x14:dataValidation>
        <x14:dataValidation type="list" allowBlank="1" showInputMessage="1" showErrorMessage="1" xr:uid="{3166DFC1-810C-4E68-B49F-9D77E1AF0036}">
          <x14:formula1>
            <xm:f>Listas!$F$42:$F$49</xm:f>
          </x14:formula1>
          <xm:sqref>C80:D80</xm:sqref>
        </x14:dataValidation>
        <x14:dataValidation type="list" allowBlank="1" showInputMessage="1" showErrorMessage="1" xr:uid="{D79946F5-1EDC-40D8-B53D-4E4A62B24BF3}">
          <x14:formula1>
            <xm:f>Listas!$D$42:$D$46</xm:f>
          </x14:formula1>
          <xm:sqref>C79:D79</xm:sqref>
        </x14:dataValidation>
        <x14:dataValidation type="list" allowBlank="1" showInputMessage="1" showErrorMessage="1" xr:uid="{D2D9E1CA-C921-487D-B900-3272A9F18D4C}">
          <x14:formula1>
            <xm:f>Listas!$B$42:$B$45</xm:f>
          </x14:formula1>
          <xm:sqref>C78:D78</xm:sqref>
        </x14:dataValidation>
        <x14:dataValidation type="list" allowBlank="1" showInputMessage="1" showErrorMessage="1" xr:uid="{8A004191-A9D3-41EE-B78E-A2D843371746}">
          <x14:formula1>
            <xm:f>Listas!$B$50:$B$55</xm:f>
          </x14:formula1>
          <xm:sqref>C115</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65"/>
  <sheetViews>
    <sheetView showGridLines="0" zoomScaleNormal="100" workbookViewId="0">
      <pane xSplit="2" ySplit="2" topLeftCell="C143" activePane="bottomRight" state="frozen"/>
      <selection pane="bottomRight" activeCell="C159" sqref="C159:G159"/>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0" style="1" customWidth="1"/>
    <col min="7" max="7" width="25.7109375" style="1" customWidth="1"/>
    <col min="8" max="8" width="9.140625" style="1"/>
    <col min="9" max="9" width="13.7109375" style="1" customWidth="1"/>
    <col min="10" max="10" width="28.28515625" style="1" customWidth="1"/>
    <col min="11" max="11" width="36.7109375" style="1" customWidth="1"/>
    <col min="12" max="16384" width="8.5703125" style="1"/>
  </cols>
  <sheetData>
    <row r="1" spans="2:11" ht="7.5" customHeight="1"/>
    <row r="2" spans="2:11" ht="30" customHeight="1">
      <c r="B2" s="217" t="s">
        <v>724</v>
      </c>
      <c r="C2" s="217"/>
      <c r="D2" s="217"/>
      <c r="E2" s="217"/>
      <c r="F2" s="217"/>
      <c r="G2" s="217"/>
    </row>
    <row r="3" spans="2:11" ht="15.75">
      <c r="I3" s="62" t="s">
        <v>60</v>
      </c>
      <c r="J3" s="62"/>
      <c r="K3" s="62"/>
    </row>
    <row r="4" spans="2:11" ht="24" customHeight="1">
      <c r="B4" s="203" t="s">
        <v>456</v>
      </c>
      <c r="C4" s="203"/>
      <c r="D4" s="203"/>
      <c r="E4" s="203"/>
      <c r="F4" s="203"/>
      <c r="G4" s="203"/>
      <c r="I4" s="6" t="s">
        <v>61</v>
      </c>
      <c r="J4" s="6" t="s">
        <v>62</v>
      </c>
      <c r="K4" s="6" t="s">
        <v>22</v>
      </c>
    </row>
    <row r="5" spans="2:11" ht="19.5" customHeight="1">
      <c r="B5" s="37" t="s">
        <v>457</v>
      </c>
      <c r="C5" s="207" t="s">
        <v>126</v>
      </c>
      <c r="D5" s="207"/>
      <c r="E5" s="207"/>
      <c r="I5" s="17" t="s">
        <v>63</v>
      </c>
      <c r="J5" s="18" t="s">
        <v>64</v>
      </c>
      <c r="K5" s="63" t="s">
        <v>65</v>
      </c>
    </row>
    <row r="6" spans="2:11" ht="19.5" customHeight="1">
      <c r="B6" s="37" t="s">
        <v>458</v>
      </c>
      <c r="C6" s="207"/>
      <c r="D6" s="207"/>
      <c r="E6" s="207"/>
      <c r="I6" s="19" t="s">
        <v>66</v>
      </c>
      <c r="J6" s="18" t="s">
        <v>67</v>
      </c>
      <c r="K6" s="63" t="s">
        <v>68</v>
      </c>
    </row>
    <row r="7" spans="2:11" ht="19.5" customHeight="1">
      <c r="B7" s="37" t="s">
        <v>460</v>
      </c>
      <c r="C7" s="207"/>
      <c r="D7" s="207"/>
      <c r="E7" s="207"/>
      <c r="I7" s="20" t="s">
        <v>69</v>
      </c>
      <c r="J7" s="18" t="s">
        <v>70</v>
      </c>
      <c r="K7" s="63" t="s">
        <v>71</v>
      </c>
    </row>
    <row r="8" spans="2:11" ht="19.5" customHeight="1">
      <c r="B8" s="37" t="s">
        <v>461</v>
      </c>
      <c r="C8" s="213">
        <v>46210</v>
      </c>
      <c r="D8" s="214"/>
      <c r="E8" s="214"/>
      <c r="I8" s="21" t="s">
        <v>72</v>
      </c>
      <c r="J8" s="18" t="s">
        <v>73</v>
      </c>
      <c r="K8" s="63" t="s">
        <v>74</v>
      </c>
    </row>
    <row r="9" spans="2:11" ht="19.5" customHeight="1">
      <c r="B9" s="37" t="s">
        <v>462</v>
      </c>
      <c r="C9" s="207" t="s">
        <v>463</v>
      </c>
      <c r="D9" s="207"/>
      <c r="E9" s="207"/>
      <c r="I9" s="22" t="s">
        <v>75</v>
      </c>
      <c r="J9" s="18" t="s">
        <v>76</v>
      </c>
      <c r="K9" s="63" t="s">
        <v>77</v>
      </c>
    </row>
    <row r="10" spans="2:11" ht="19.5" customHeight="1">
      <c r="B10" s="37" t="s">
        <v>464</v>
      </c>
      <c r="C10" s="207"/>
      <c r="D10" s="207"/>
      <c r="E10" s="207"/>
    </row>
    <row r="11" spans="2:11" ht="19.5" customHeight="1">
      <c r="B11" s="37" t="s">
        <v>465</v>
      </c>
      <c r="C11" s="215"/>
      <c r="D11" s="216"/>
      <c r="E11" s="216"/>
    </row>
    <row r="12" spans="2:11" ht="19.5" customHeight="1">
      <c r="B12" s="37" t="s">
        <v>466</v>
      </c>
      <c r="C12" s="207"/>
      <c r="D12" s="207"/>
      <c r="E12" s="207"/>
    </row>
    <row r="13" spans="2:11" ht="19.5" customHeight="1">
      <c r="B13" s="37" t="s">
        <v>467</v>
      </c>
      <c r="C13" s="207"/>
      <c r="D13" s="207"/>
      <c r="E13" s="207"/>
    </row>
    <row r="14" spans="2:11" ht="19.5" customHeight="1">
      <c r="B14" s="37" t="s">
        <v>468</v>
      </c>
      <c r="C14" s="38" t="s">
        <v>66</v>
      </c>
      <c r="D14" s="39" t="s">
        <v>469</v>
      </c>
    </row>
    <row r="15" spans="2:11" ht="19.5" customHeight="1">
      <c r="B15" s="37" t="s">
        <v>470</v>
      </c>
      <c r="C15" s="38" t="s">
        <v>66</v>
      </c>
      <c r="D15" s="39" t="s">
        <v>469</v>
      </c>
    </row>
    <row r="16" spans="2:11" ht="19.5" customHeight="1">
      <c r="B16" s="37" t="s">
        <v>471</v>
      </c>
      <c r="C16" s="207"/>
      <c r="D16" s="207"/>
      <c r="E16" s="207"/>
    </row>
    <row r="17" spans="2:7" ht="19.5" customHeight="1">
      <c r="B17" s="37" t="s">
        <v>472</v>
      </c>
      <c r="C17" s="207"/>
      <c r="D17" s="207"/>
      <c r="E17" s="207"/>
    </row>
    <row r="18" spans="2:7" ht="19.5" customHeight="1">
      <c r="B18" s="37" t="s">
        <v>473</v>
      </c>
      <c r="C18" s="207"/>
      <c r="D18" s="207"/>
      <c r="E18" s="207"/>
    </row>
    <row r="20" spans="2:7" ht="24" customHeight="1">
      <c r="B20" s="203" t="s">
        <v>475</v>
      </c>
      <c r="C20" s="203"/>
      <c r="D20" s="203"/>
      <c r="E20" s="203"/>
      <c r="F20" s="203"/>
      <c r="G20" s="203"/>
    </row>
    <row r="21" spans="2:7" ht="27.75" customHeight="1">
      <c r="B21" s="6" t="s">
        <v>19</v>
      </c>
      <c r="C21" s="6" t="s">
        <v>476</v>
      </c>
      <c r="D21" s="6" t="s">
        <v>477</v>
      </c>
      <c r="E21" s="6" t="s">
        <v>478</v>
      </c>
      <c r="F21" s="6" t="s">
        <v>479</v>
      </c>
      <c r="G21" s="6" t="s">
        <v>480</v>
      </c>
    </row>
    <row r="22" spans="2:7" ht="21.75" customHeight="1">
      <c r="B22" s="204" t="s">
        <v>481</v>
      </c>
      <c r="C22" s="204"/>
      <c r="D22" s="204"/>
      <c r="E22" s="204"/>
      <c r="F22" s="204"/>
      <c r="G22" s="204"/>
    </row>
    <row r="23" spans="2:7" ht="27.75" customHeight="1">
      <c r="B23" s="40" t="s">
        <v>482</v>
      </c>
      <c r="C23" s="65" t="s">
        <v>483</v>
      </c>
      <c r="D23" s="26"/>
      <c r="E23" s="5"/>
      <c r="F23" s="36"/>
      <c r="G23" s="36"/>
    </row>
    <row r="24" spans="2:7" ht="27.75" customHeight="1">
      <c r="B24" s="41" t="s">
        <v>484</v>
      </c>
      <c r="C24" s="66" t="s">
        <v>485</v>
      </c>
      <c r="D24" s="26"/>
      <c r="E24" s="5"/>
      <c r="F24" s="36"/>
      <c r="G24" s="36"/>
    </row>
    <row r="25" spans="2:7" ht="27.75" customHeight="1">
      <c r="B25" s="40" t="s">
        <v>486</v>
      </c>
      <c r="C25" s="65" t="s">
        <v>487</v>
      </c>
      <c r="D25" s="26"/>
      <c r="E25" s="5"/>
      <c r="F25" s="36"/>
      <c r="G25" s="36"/>
    </row>
    <row r="26" spans="2:7" ht="27.75" customHeight="1">
      <c r="B26" s="41" t="s">
        <v>488</v>
      </c>
      <c r="C26" s="66" t="s">
        <v>489</v>
      </c>
      <c r="D26" s="26"/>
      <c r="E26" s="5"/>
      <c r="F26" s="36"/>
      <c r="G26" s="36"/>
    </row>
    <row r="27" spans="2:7" ht="27.75" customHeight="1">
      <c r="B27" s="40" t="s">
        <v>490</v>
      </c>
      <c r="C27" s="65" t="s">
        <v>491</v>
      </c>
      <c r="D27" s="26"/>
      <c r="E27" s="5"/>
      <c r="F27" s="36"/>
      <c r="G27" s="36"/>
    </row>
    <row r="29" spans="2:7" ht="21.75" customHeight="1">
      <c r="B29" s="204" t="s">
        <v>492</v>
      </c>
      <c r="C29" s="204"/>
      <c r="D29" s="204"/>
      <c r="E29" s="204"/>
      <c r="F29" s="204"/>
      <c r="G29" s="204"/>
    </row>
    <row r="30" spans="2:7" ht="27.75" customHeight="1">
      <c r="B30" s="41" t="s">
        <v>493</v>
      </c>
      <c r="C30" s="66" t="s">
        <v>494</v>
      </c>
      <c r="D30" s="26"/>
      <c r="E30" s="5"/>
      <c r="F30" s="36"/>
      <c r="G30" s="36"/>
    </row>
    <row r="31" spans="2:7" ht="27.75" customHeight="1">
      <c r="B31" s="40" t="s">
        <v>495</v>
      </c>
      <c r="C31" s="65" t="s">
        <v>496</v>
      </c>
      <c r="D31" s="26"/>
      <c r="E31" s="5"/>
      <c r="F31" s="36"/>
      <c r="G31" s="36"/>
    </row>
    <row r="32" spans="2:7" ht="27.75" customHeight="1">
      <c r="B32" s="41" t="s">
        <v>497</v>
      </c>
      <c r="C32" s="66" t="s">
        <v>498</v>
      </c>
      <c r="D32" s="26"/>
      <c r="E32" s="5"/>
      <c r="F32" s="36"/>
      <c r="G32" s="36"/>
    </row>
    <row r="33" spans="2:7" ht="50.25">
      <c r="B33" s="40" t="s">
        <v>499</v>
      </c>
      <c r="C33" s="65" t="s">
        <v>500</v>
      </c>
      <c r="D33" s="26"/>
      <c r="E33" s="5"/>
      <c r="F33" s="36"/>
      <c r="G33" s="36"/>
    </row>
    <row r="34" spans="2:7" ht="50.25">
      <c r="B34" s="41" t="s">
        <v>501</v>
      </c>
      <c r="C34" s="66" t="s">
        <v>502</v>
      </c>
      <c r="D34" s="26"/>
      <c r="E34" s="5"/>
      <c r="F34" s="36"/>
      <c r="G34" s="36"/>
    </row>
    <row r="35" spans="2:7" ht="27.75" customHeight="1">
      <c r="B35" s="40" t="s">
        <v>503</v>
      </c>
      <c r="C35" s="65" t="s">
        <v>504</v>
      </c>
      <c r="D35" s="26"/>
      <c r="E35" s="5"/>
      <c r="F35" s="36"/>
      <c r="G35" s="36"/>
    </row>
    <row r="36" spans="2:7" ht="27.75" customHeight="1">
      <c r="B36" s="41" t="s">
        <v>505</v>
      </c>
      <c r="C36" s="66" t="s">
        <v>506</v>
      </c>
      <c r="D36" s="26"/>
      <c r="E36" s="5"/>
      <c r="F36" s="36"/>
      <c r="G36" s="36"/>
    </row>
    <row r="38" spans="2:7" ht="21.75" customHeight="1">
      <c r="B38" s="204" t="s">
        <v>507</v>
      </c>
      <c r="C38" s="204"/>
      <c r="D38" s="204"/>
      <c r="E38" s="204"/>
      <c r="F38" s="204"/>
      <c r="G38" s="204"/>
    </row>
    <row r="39" spans="2:7" ht="27.75" customHeight="1">
      <c r="B39" s="40" t="s">
        <v>508</v>
      </c>
      <c r="C39" s="65" t="s">
        <v>509</v>
      </c>
      <c r="D39" s="26"/>
      <c r="E39" s="5"/>
      <c r="F39" s="36"/>
      <c r="G39" s="36"/>
    </row>
    <row r="40" spans="2:7" ht="66.75">
      <c r="B40" s="41" t="s">
        <v>510</v>
      </c>
      <c r="C40" s="66" t="s">
        <v>511</v>
      </c>
      <c r="D40" s="26"/>
      <c r="E40" s="5"/>
      <c r="F40" s="36"/>
      <c r="G40" s="36"/>
    </row>
    <row r="41" spans="2:7" ht="27.75" customHeight="1">
      <c r="B41" s="40" t="s">
        <v>512</v>
      </c>
      <c r="C41" s="65" t="s">
        <v>513</v>
      </c>
      <c r="D41" s="26"/>
      <c r="E41" s="5"/>
      <c r="F41" s="36"/>
      <c r="G41" s="36"/>
    </row>
    <row r="43" spans="2:7" ht="21.75" customHeight="1">
      <c r="B43" s="204" t="s">
        <v>514</v>
      </c>
      <c r="C43" s="204"/>
      <c r="D43" s="204"/>
      <c r="E43" s="204"/>
      <c r="F43" s="204"/>
      <c r="G43" s="204"/>
    </row>
    <row r="44" spans="2:7" ht="27.75" customHeight="1">
      <c r="B44" s="41" t="s">
        <v>515</v>
      </c>
      <c r="C44" s="66" t="s">
        <v>516</v>
      </c>
      <c r="D44" s="26"/>
      <c r="E44" s="5"/>
      <c r="F44" s="36"/>
      <c r="G44" s="36"/>
    </row>
    <row r="45" spans="2:7" ht="27.75" customHeight="1">
      <c r="B45" s="40" t="s">
        <v>517</v>
      </c>
      <c r="C45" s="65" t="s">
        <v>518</v>
      </c>
      <c r="D45" s="26"/>
      <c r="E45" s="5"/>
      <c r="F45" s="36"/>
      <c r="G45" s="36"/>
    </row>
    <row r="47" spans="2:7" ht="27.75" customHeight="1">
      <c r="B47" s="205" t="s">
        <v>519</v>
      </c>
      <c r="C47" s="205"/>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203" t="s">
        <v>520</v>
      </c>
      <c r="C49" s="203"/>
      <c r="D49" s="203"/>
      <c r="E49" s="203"/>
      <c r="F49" s="203"/>
      <c r="G49" s="203"/>
    </row>
    <row r="50" spans="2:7" ht="21.75" customHeight="1">
      <c r="B50" s="6" t="s">
        <v>521</v>
      </c>
      <c r="C50" s="6" t="s">
        <v>522</v>
      </c>
      <c r="D50" s="6" t="s">
        <v>523</v>
      </c>
      <c r="E50" s="6" t="s">
        <v>524</v>
      </c>
      <c r="F50" s="6" t="s">
        <v>525</v>
      </c>
      <c r="G50" s="6" t="s">
        <v>526</v>
      </c>
    </row>
    <row r="51" spans="2:7" ht="21.75" customHeight="1">
      <c r="B51" s="44" t="s">
        <v>527</v>
      </c>
      <c r="C51" s="71"/>
      <c r="D51" s="45"/>
      <c r="E51" s="45"/>
      <c r="F51" s="45"/>
      <c r="G51" s="130" t="s">
        <v>528</v>
      </c>
    </row>
    <row r="52" spans="2:7" ht="21.75" customHeight="1">
      <c r="B52" s="46" t="s">
        <v>529</v>
      </c>
      <c r="C52" s="72"/>
      <c r="D52" s="47"/>
      <c r="E52" s="47"/>
      <c r="F52" s="47"/>
      <c r="G52" s="130" t="s">
        <v>528</v>
      </c>
    </row>
    <row r="53" spans="2:7" ht="21.75" customHeight="1">
      <c r="B53" s="44" t="s">
        <v>530</v>
      </c>
      <c r="C53" s="71"/>
      <c r="D53" s="45"/>
      <c r="E53" s="45"/>
      <c r="F53" s="45"/>
      <c r="G53" s="130" t="s">
        <v>528</v>
      </c>
    </row>
    <row r="54" spans="2:7" ht="21.75" customHeight="1">
      <c r="B54" s="46" t="s">
        <v>531</v>
      </c>
      <c r="C54" s="72"/>
      <c r="D54" s="47"/>
      <c r="E54" s="47"/>
      <c r="F54" s="47"/>
      <c r="G54" s="130" t="s">
        <v>528</v>
      </c>
    </row>
    <row r="55" spans="2:7" ht="21.75" customHeight="1">
      <c r="B55" s="44" t="s">
        <v>532</v>
      </c>
      <c r="C55" s="73">
        <v>0.68</v>
      </c>
      <c r="D55" s="45"/>
      <c r="E55" s="45"/>
      <c r="F55" s="45"/>
      <c r="G55" s="130" t="s">
        <v>528</v>
      </c>
    </row>
    <row r="56" spans="2:7" ht="21.75" customHeight="1">
      <c r="B56" s="46" t="s">
        <v>533</v>
      </c>
      <c r="C56" s="72" t="s">
        <v>534</v>
      </c>
      <c r="D56" s="47"/>
      <c r="E56" s="47"/>
      <c r="F56" s="47"/>
      <c r="G56" s="130" t="s">
        <v>528</v>
      </c>
    </row>
    <row r="57" spans="2:7" ht="21.75" customHeight="1">
      <c r="B57" s="44" t="s">
        <v>255</v>
      </c>
      <c r="C57" s="73">
        <v>0.89</v>
      </c>
      <c r="D57" s="45"/>
      <c r="E57" s="45"/>
      <c r="F57" s="45"/>
      <c r="G57" s="130" t="s">
        <v>528</v>
      </c>
    </row>
    <row r="58" spans="2:7" ht="21.75" customHeight="1">
      <c r="B58" s="46" t="s">
        <v>535</v>
      </c>
      <c r="C58" s="72" t="s">
        <v>536</v>
      </c>
      <c r="D58" s="47"/>
      <c r="E58" s="47"/>
      <c r="F58" s="47"/>
      <c r="G58" s="130" t="s">
        <v>528</v>
      </c>
    </row>
    <row r="59" spans="2:7" ht="21.75" customHeight="1">
      <c r="B59" s="44" t="s">
        <v>537</v>
      </c>
      <c r="C59" s="71"/>
      <c r="D59" s="45"/>
      <c r="E59" s="45"/>
      <c r="F59" s="45"/>
      <c r="G59" s="130" t="s">
        <v>528</v>
      </c>
    </row>
    <row r="60" spans="2:7" ht="21.75" customHeight="1">
      <c r="B60" s="46" t="s">
        <v>538</v>
      </c>
      <c r="C60" s="72"/>
      <c r="D60" s="47"/>
      <c r="E60" s="47"/>
      <c r="F60" s="47"/>
      <c r="G60" s="130" t="s">
        <v>528</v>
      </c>
    </row>
    <row r="61" spans="2:7" ht="21.75" customHeight="1">
      <c r="B61" s="44" t="s">
        <v>539</v>
      </c>
      <c r="C61" s="71">
        <v>12</v>
      </c>
      <c r="D61" s="45"/>
      <c r="E61" s="45"/>
      <c r="F61" s="45"/>
      <c r="G61" s="130" t="s">
        <v>528</v>
      </c>
    </row>
    <row r="62" spans="2:7" ht="21.75" customHeight="1">
      <c r="B62" s="46" t="s">
        <v>540</v>
      </c>
      <c r="C62" s="72">
        <v>8</v>
      </c>
      <c r="D62" s="47"/>
      <c r="E62" s="47"/>
      <c r="F62" s="47"/>
      <c r="G62" s="130" t="s">
        <v>528</v>
      </c>
    </row>
    <row r="64" spans="2:7" ht="24" customHeight="1">
      <c r="B64" s="104" t="s">
        <v>37</v>
      </c>
      <c r="C64" s="104"/>
      <c r="D64" s="104"/>
      <c r="E64" s="104"/>
      <c r="F64" s="104"/>
    </row>
    <row r="65" spans="2:6" ht="24" customHeight="1">
      <c r="B65" s="206" t="s">
        <v>541</v>
      </c>
      <c r="C65" s="206"/>
      <c r="D65" s="206"/>
      <c r="E65" s="206"/>
      <c r="F65" s="206"/>
    </row>
    <row r="66" spans="2:6" ht="21.75" customHeight="1">
      <c r="B66" s="6" t="s">
        <v>542</v>
      </c>
      <c r="C66" s="6" t="s">
        <v>543</v>
      </c>
      <c r="D66" s="6" t="s">
        <v>544</v>
      </c>
      <c r="E66" s="6" t="s">
        <v>545</v>
      </c>
      <c r="F66" s="6" t="s">
        <v>546</v>
      </c>
    </row>
    <row r="67" spans="2:6" ht="19.5" customHeight="1">
      <c r="B67" s="44" t="s">
        <v>547</v>
      </c>
      <c r="C67" s="45"/>
      <c r="D67" s="45"/>
      <c r="E67" s="45"/>
      <c r="F67" s="45"/>
    </row>
    <row r="68" spans="2:6" ht="19.5" customHeight="1">
      <c r="B68" s="46" t="s">
        <v>548</v>
      </c>
      <c r="C68" s="47"/>
      <c r="D68" s="47"/>
      <c r="E68" s="47"/>
      <c r="F68" s="47"/>
    </row>
    <row r="69" spans="2:6" ht="19.5" customHeight="1">
      <c r="B69" s="44" t="s">
        <v>549</v>
      </c>
      <c r="C69" s="45"/>
      <c r="D69" s="45"/>
      <c r="E69" s="45"/>
      <c r="F69" s="45"/>
    </row>
    <row r="70" spans="2:6" ht="19.5" customHeight="1">
      <c r="B70" s="46" t="s">
        <v>550</v>
      </c>
      <c r="C70" s="47"/>
      <c r="D70" s="47"/>
      <c r="E70" s="47"/>
      <c r="F70" s="47"/>
    </row>
    <row r="71" spans="2:6" ht="19.5" customHeight="1">
      <c r="B71" s="44" t="s">
        <v>551</v>
      </c>
      <c r="C71" s="45"/>
      <c r="D71" s="45"/>
      <c r="E71" s="45"/>
      <c r="F71" s="45"/>
    </row>
    <row r="72" spans="2:6" ht="19.5" customHeight="1">
      <c r="B72" s="46" t="s">
        <v>552</v>
      </c>
      <c r="C72" s="47"/>
      <c r="D72" s="47"/>
      <c r="E72" s="47"/>
      <c r="F72" s="47"/>
    </row>
    <row r="73" spans="2:6" ht="19.5" customHeight="1">
      <c r="B73" s="44" t="s">
        <v>553</v>
      </c>
      <c r="C73" s="45"/>
      <c r="D73" s="45"/>
      <c r="E73" s="45"/>
      <c r="F73" s="45"/>
    </row>
    <row r="74" spans="2:6" ht="19.5" customHeight="1">
      <c r="B74" s="46" t="s">
        <v>554</v>
      </c>
      <c r="C74" s="47"/>
      <c r="D74" s="47"/>
      <c r="E74" s="47"/>
      <c r="F74" s="47"/>
    </row>
    <row r="76" spans="2:6" ht="24" customHeight="1">
      <c r="B76" s="104" t="s">
        <v>555</v>
      </c>
      <c r="C76" s="104"/>
      <c r="D76" s="104"/>
      <c r="E76" s="104"/>
      <c r="F76" s="104"/>
    </row>
    <row r="77" spans="2:6" ht="21.75" customHeight="1">
      <c r="B77" s="6" t="s">
        <v>556</v>
      </c>
      <c r="C77" s="6" t="s">
        <v>522</v>
      </c>
      <c r="D77" s="6" t="s">
        <v>196</v>
      </c>
      <c r="E77" s="6" t="s">
        <v>557</v>
      </c>
      <c r="F77" s="6" t="s">
        <v>546</v>
      </c>
    </row>
    <row r="78" spans="2:6" ht="21.75" customHeight="1">
      <c r="B78" s="14" t="s">
        <v>558</v>
      </c>
      <c r="C78" s="45"/>
      <c r="D78" s="45"/>
      <c r="E78" s="45"/>
      <c r="F78" s="45"/>
    </row>
    <row r="79" spans="2:6" ht="21.75" customHeight="1">
      <c r="B79" s="16" t="s">
        <v>418</v>
      </c>
      <c r="C79" s="36"/>
      <c r="D79" s="36"/>
      <c r="E79" s="47"/>
      <c r="F79" s="47"/>
    </row>
    <row r="80" spans="2:6" ht="21.75" customHeight="1">
      <c r="B80" s="14" t="s">
        <v>419</v>
      </c>
      <c r="C80" s="45"/>
      <c r="D80" s="45"/>
      <c r="E80" s="45"/>
      <c r="F80" s="45"/>
    </row>
    <row r="81" spans="2:7" ht="33">
      <c r="B81" s="16" t="s">
        <v>559</v>
      </c>
      <c r="C81" s="47"/>
      <c r="D81" s="47"/>
      <c r="E81" s="47"/>
      <c r="F81" s="47"/>
    </row>
    <row r="82" spans="2:7" ht="33">
      <c r="B82" s="14" t="s">
        <v>560</v>
      </c>
      <c r="C82" s="45"/>
      <c r="D82" s="45"/>
      <c r="E82" s="45"/>
      <c r="F82" s="45"/>
    </row>
    <row r="83" spans="2:7" ht="21.75" customHeight="1">
      <c r="B83" s="16" t="s">
        <v>420</v>
      </c>
      <c r="C83" s="47"/>
      <c r="D83" s="47"/>
      <c r="E83" s="47"/>
      <c r="F83" s="47"/>
    </row>
    <row r="84" spans="2:7" ht="33">
      <c r="B84" s="14" t="s">
        <v>421</v>
      </c>
      <c r="C84" s="45"/>
      <c r="D84" s="45"/>
      <c r="E84" s="45"/>
      <c r="F84" s="45"/>
    </row>
    <row r="85" spans="2:7">
      <c r="B85" s="1" t="s">
        <v>561</v>
      </c>
    </row>
    <row r="86" spans="2:7" ht="24" customHeight="1">
      <c r="B86" s="203" t="s">
        <v>704</v>
      </c>
      <c r="C86" s="218"/>
      <c r="D86" s="218"/>
      <c r="E86" s="218"/>
      <c r="F86" s="218"/>
      <c r="G86" s="218"/>
    </row>
    <row r="87" spans="2:7" ht="27.75" customHeight="1">
      <c r="B87" s="6" t="s">
        <v>141</v>
      </c>
      <c r="C87" s="6" t="s">
        <v>562</v>
      </c>
      <c r="D87" s="6" t="s">
        <v>563</v>
      </c>
      <c r="E87" s="6" t="s">
        <v>564</v>
      </c>
      <c r="F87" s="6" t="s">
        <v>565</v>
      </c>
      <c r="G87" s="6" t="s">
        <v>566</v>
      </c>
    </row>
    <row r="88" spans="2:7" ht="25.5" customHeight="1">
      <c r="B88" s="48" t="s">
        <v>567</v>
      </c>
      <c r="C88" s="26"/>
      <c r="D88" s="69" t="s">
        <v>568</v>
      </c>
      <c r="E88" s="49"/>
      <c r="F88" s="36"/>
      <c r="G88" s="5"/>
    </row>
    <row r="89" spans="2:7" ht="25.5" customHeight="1">
      <c r="B89" s="50" t="s">
        <v>569</v>
      </c>
      <c r="C89" s="26"/>
      <c r="D89" s="68" t="s">
        <v>570</v>
      </c>
      <c r="E89" s="49"/>
      <c r="F89" s="36"/>
      <c r="G89" s="5"/>
    </row>
    <row r="90" spans="2:7" ht="25.5" customHeight="1">
      <c r="B90" s="48" t="s">
        <v>571</v>
      </c>
      <c r="C90" s="26"/>
      <c r="D90" s="69" t="s">
        <v>572</v>
      </c>
      <c r="E90" s="49"/>
      <c r="F90" s="36"/>
      <c r="G90" s="5"/>
    </row>
    <row r="91" spans="2:7" ht="25.5" customHeight="1">
      <c r="B91" s="50" t="s">
        <v>573</v>
      </c>
      <c r="C91" s="26"/>
      <c r="D91" s="68" t="s">
        <v>574</v>
      </c>
      <c r="E91" s="49"/>
      <c r="F91" s="36"/>
      <c r="G91" s="5"/>
    </row>
    <row r="92" spans="2:7" ht="25.5" customHeight="1">
      <c r="B92" s="48" t="s">
        <v>575</v>
      </c>
      <c r="C92" s="26"/>
      <c r="D92" s="67" t="s">
        <v>576</v>
      </c>
      <c r="E92" s="49"/>
      <c r="F92" s="36"/>
      <c r="G92" s="5"/>
    </row>
    <row r="93" spans="2:7" ht="25.5" customHeight="1">
      <c r="B93" s="50" t="s">
        <v>577</v>
      </c>
      <c r="C93" s="26"/>
      <c r="D93" s="68" t="s">
        <v>578</v>
      </c>
      <c r="E93" s="49"/>
      <c r="F93" s="36"/>
      <c r="G93" s="5"/>
    </row>
    <row r="94" spans="2:7" ht="25.5" customHeight="1">
      <c r="B94" s="48" t="s">
        <v>579</v>
      </c>
      <c r="C94" s="26"/>
      <c r="D94" s="67" t="s">
        <v>705</v>
      </c>
      <c r="E94" s="49"/>
      <c r="F94" s="36"/>
      <c r="G94" s="5"/>
    </row>
    <row r="95" spans="2:7" ht="25.5" customHeight="1">
      <c r="B95" s="50" t="s">
        <v>581</v>
      </c>
      <c r="C95" s="26"/>
      <c r="D95" s="74" t="s">
        <v>582</v>
      </c>
      <c r="E95" s="49"/>
      <c r="F95" s="36"/>
      <c r="G95" s="5"/>
    </row>
    <row r="96" spans="2:7" ht="66.75">
      <c r="B96" s="48" t="s">
        <v>583</v>
      </c>
      <c r="C96" s="26"/>
      <c r="D96" s="69" t="s">
        <v>584</v>
      </c>
      <c r="E96" s="49"/>
      <c r="F96" s="36"/>
      <c r="G96" s="5"/>
    </row>
    <row r="97" spans="2:7" ht="83.25">
      <c r="B97" s="50" t="s">
        <v>585</v>
      </c>
      <c r="C97" s="26"/>
      <c r="D97" s="74" t="s">
        <v>706</v>
      </c>
      <c r="E97" s="49"/>
      <c r="F97" s="36"/>
      <c r="G97" s="5"/>
    </row>
    <row r="98" spans="2:7" ht="25.5" customHeight="1">
      <c r="B98" s="48" t="s">
        <v>587</v>
      </c>
      <c r="C98" s="26"/>
      <c r="D98" s="67" t="s">
        <v>588</v>
      </c>
      <c r="E98" s="49"/>
      <c r="F98" s="36"/>
      <c r="G98" s="5"/>
    </row>
    <row r="99" spans="2:7" ht="25.5" customHeight="1">
      <c r="B99" s="50" t="s">
        <v>589</v>
      </c>
      <c r="C99" s="26"/>
      <c r="D99" s="74" t="s">
        <v>590</v>
      </c>
      <c r="E99" s="49"/>
      <c r="F99" s="36"/>
      <c r="G99" s="5"/>
    </row>
    <row r="100" spans="2:7" ht="25.5" customHeight="1">
      <c r="B100" s="48" t="s">
        <v>591</v>
      </c>
      <c r="C100" s="26"/>
      <c r="D100" s="69" t="s">
        <v>592</v>
      </c>
      <c r="E100" s="49"/>
      <c r="F100" s="36"/>
      <c r="G100" s="5"/>
    </row>
    <row r="101" spans="2:7" ht="25.5" customHeight="1">
      <c r="B101" s="50" t="s">
        <v>593</v>
      </c>
      <c r="C101" s="26"/>
      <c r="D101" s="74" t="s">
        <v>594</v>
      </c>
      <c r="E101" s="49"/>
      <c r="F101" s="36"/>
      <c r="G101" s="5"/>
    </row>
    <row r="102" spans="2:7" ht="25.5" customHeight="1">
      <c r="B102" s="48" t="s">
        <v>595</v>
      </c>
      <c r="C102" s="26"/>
      <c r="D102" s="69" t="s">
        <v>596</v>
      </c>
      <c r="E102" s="49"/>
      <c r="F102" s="36"/>
      <c r="G102" s="5"/>
    </row>
    <row r="103" spans="2:7" ht="25.5" customHeight="1">
      <c r="B103" s="50" t="s">
        <v>597</v>
      </c>
      <c r="C103" s="26"/>
      <c r="D103" s="74" t="s">
        <v>707</v>
      </c>
      <c r="E103" s="49"/>
      <c r="F103" s="36"/>
      <c r="G103" s="5"/>
    </row>
    <row r="104" spans="2:7" ht="25.5" customHeight="1">
      <c r="B104" s="48" t="s">
        <v>599</v>
      </c>
      <c r="C104" s="26"/>
      <c r="D104" s="69" t="s">
        <v>600</v>
      </c>
      <c r="E104" s="49"/>
      <c r="F104" s="36"/>
      <c r="G104" s="5"/>
    </row>
    <row r="105" spans="2:7" ht="25.5" customHeight="1">
      <c r="B105" s="50" t="s">
        <v>601</v>
      </c>
      <c r="C105" s="26"/>
      <c r="D105" s="74" t="s">
        <v>602</v>
      </c>
      <c r="E105" s="49"/>
      <c r="F105" s="36"/>
      <c r="G105" s="5"/>
    </row>
    <row r="107" spans="2:7" ht="24" customHeight="1">
      <c r="B107" s="104" t="s">
        <v>603</v>
      </c>
      <c r="C107" s="104"/>
      <c r="D107" s="104"/>
    </row>
    <row r="108" spans="2:7" ht="21.75" customHeight="1">
      <c r="B108" s="6" t="s">
        <v>604</v>
      </c>
      <c r="C108" s="6" t="s">
        <v>605</v>
      </c>
      <c r="D108" s="6" t="s">
        <v>526</v>
      </c>
    </row>
    <row r="109" spans="2:7" ht="21.75" customHeight="1">
      <c r="B109" s="13" t="s">
        <v>606</v>
      </c>
      <c r="C109" s="64"/>
    </row>
    <row r="110" spans="2:7" ht="21.75" customHeight="1">
      <c r="B110" s="15" t="s">
        <v>607</v>
      </c>
      <c r="C110" s="64"/>
    </row>
    <row r="111" spans="2:7" ht="21.75" customHeight="1">
      <c r="B111" s="13" t="s">
        <v>608</v>
      </c>
      <c r="C111" s="64"/>
    </row>
    <row r="112" spans="2:7" ht="21.75" customHeight="1">
      <c r="B112" s="15" t="s">
        <v>609</v>
      </c>
      <c r="C112" s="64"/>
    </row>
    <row r="113" spans="2:7" ht="21.75" customHeight="1">
      <c r="B113" s="13" t="s">
        <v>610</v>
      </c>
      <c r="C113" s="64"/>
    </row>
    <row r="114" spans="2:7" ht="21.75" customHeight="1">
      <c r="B114" s="15" t="s">
        <v>611</v>
      </c>
      <c r="C114" s="64"/>
    </row>
    <row r="115" spans="2:7" ht="29.25" customHeight="1">
      <c r="B115" s="131" t="s">
        <v>612</v>
      </c>
      <c r="C115" s="64"/>
    </row>
    <row r="116" spans="2:7" ht="21.75" customHeight="1">
      <c r="B116" s="132" t="s">
        <v>613</v>
      </c>
      <c r="C116" s="117"/>
      <c r="D116" s="117"/>
      <c r="G116" s="117"/>
    </row>
    <row r="118" spans="2:7" ht="24" customHeight="1">
      <c r="B118" s="104" t="s">
        <v>614</v>
      </c>
      <c r="C118" s="104"/>
      <c r="D118" s="104"/>
      <c r="E118" s="104"/>
      <c r="F118" s="104"/>
    </row>
    <row r="119" spans="2:7" ht="21.75" customHeight="1">
      <c r="B119" s="6" t="s">
        <v>615</v>
      </c>
      <c r="C119" s="6" t="s">
        <v>616</v>
      </c>
      <c r="D119" s="6" t="s">
        <v>617</v>
      </c>
      <c r="E119" s="6" t="s">
        <v>618</v>
      </c>
      <c r="F119" s="6" t="s">
        <v>267</v>
      </c>
    </row>
    <row r="120" spans="2:7" ht="21.75" customHeight="1">
      <c r="B120" s="44" t="s">
        <v>619</v>
      </c>
      <c r="C120" s="99"/>
      <c r="D120" s="45"/>
      <c r="E120" s="14"/>
      <c r="F120" s="45"/>
    </row>
    <row r="121" spans="2:7" ht="21.75" customHeight="1">
      <c r="B121" s="46" t="s">
        <v>620</v>
      </c>
      <c r="C121" s="99"/>
      <c r="D121" s="45"/>
      <c r="E121" s="16"/>
      <c r="F121" s="45"/>
    </row>
    <row r="122" spans="2:7" ht="21.75" customHeight="1">
      <c r="B122" s="44" t="s">
        <v>621</v>
      </c>
      <c r="C122" s="99"/>
      <c r="D122" s="45"/>
      <c r="E122" s="14"/>
      <c r="F122" s="45"/>
    </row>
    <row r="123" spans="2:7" ht="21.75" customHeight="1">
      <c r="B123" s="46" t="s">
        <v>622</v>
      </c>
      <c r="C123" s="99"/>
      <c r="D123" s="45"/>
      <c r="E123" s="16"/>
      <c r="F123" s="45"/>
    </row>
    <row r="124" spans="2:7" ht="30.75" customHeight="1">
      <c r="B124" s="14" t="s">
        <v>623</v>
      </c>
      <c r="C124" s="99"/>
      <c r="D124" s="45"/>
      <c r="E124" s="14"/>
      <c r="F124" s="45"/>
    </row>
    <row r="125" spans="2:7" ht="33" customHeight="1">
      <c r="B125" s="16" t="s">
        <v>624</v>
      </c>
      <c r="C125" s="99"/>
      <c r="D125" s="45"/>
      <c r="E125" s="16"/>
      <c r="F125" s="45"/>
    </row>
    <row r="126" spans="2:7" ht="21.75" customHeight="1">
      <c r="B126" s="44" t="s">
        <v>625</v>
      </c>
      <c r="C126" s="99"/>
      <c r="D126" s="45"/>
      <c r="E126" s="14"/>
      <c r="F126" s="45"/>
    </row>
    <row r="127" spans="2:7" ht="21.75" customHeight="1">
      <c r="B127" s="46" t="s">
        <v>626</v>
      </c>
      <c r="C127" s="99"/>
      <c r="D127" s="45"/>
      <c r="E127" s="16"/>
      <c r="F127" s="45"/>
    </row>
    <row r="128" spans="2:7" ht="21.75" customHeight="1">
      <c r="B128" s="44" t="s">
        <v>627</v>
      </c>
      <c r="C128" s="99"/>
      <c r="D128" s="45"/>
      <c r="E128" s="14"/>
      <c r="F128" s="45"/>
    </row>
    <row r="129" spans="2:7" ht="21.75" customHeight="1">
      <c r="B129" s="46" t="s">
        <v>628</v>
      </c>
      <c r="C129" s="99"/>
      <c r="D129" s="45"/>
      <c r="E129" s="16"/>
      <c r="F129" s="45"/>
    </row>
    <row r="131" spans="2:7" ht="24" customHeight="1">
      <c r="B131" s="203" t="s">
        <v>629</v>
      </c>
      <c r="C131" s="218"/>
      <c r="D131" s="218"/>
      <c r="E131" s="218"/>
      <c r="F131" s="218"/>
      <c r="G131" s="218"/>
    </row>
    <row r="132" spans="2:7" ht="21.75" customHeight="1">
      <c r="B132" s="6" t="s">
        <v>630</v>
      </c>
      <c r="C132" s="6" t="s">
        <v>631</v>
      </c>
    </row>
    <row r="133" spans="2:7" ht="21.75" customHeight="1">
      <c r="B133" s="13" t="s">
        <v>632</v>
      </c>
      <c r="C133" s="198"/>
      <c r="D133" s="198"/>
      <c r="E133" s="198"/>
      <c r="F133" s="198"/>
      <c r="G133" s="198"/>
    </row>
    <row r="134" spans="2:7" ht="21.75" customHeight="1">
      <c r="B134" s="15" t="s">
        <v>633</v>
      </c>
      <c r="C134" s="198"/>
      <c r="D134" s="198"/>
      <c r="E134" s="198"/>
      <c r="F134" s="198"/>
      <c r="G134" s="198"/>
    </row>
    <row r="135" spans="2:7" ht="21.75" customHeight="1">
      <c r="B135" s="13" t="s">
        <v>634</v>
      </c>
      <c r="C135" s="198"/>
      <c r="D135" s="198"/>
      <c r="E135" s="198"/>
      <c r="F135" s="198"/>
      <c r="G135" s="198"/>
    </row>
    <row r="136" spans="2:7" ht="21.75" customHeight="1">
      <c r="B136" s="15" t="s">
        <v>635</v>
      </c>
      <c r="C136" s="198"/>
      <c r="D136" s="198"/>
      <c r="E136" s="198"/>
      <c r="F136" s="198"/>
      <c r="G136" s="198"/>
    </row>
    <row r="137" spans="2:7" ht="21.75" customHeight="1">
      <c r="B137" s="13" t="s">
        <v>636</v>
      </c>
      <c r="C137" s="198"/>
      <c r="D137" s="198"/>
      <c r="E137" s="198"/>
      <c r="F137" s="198"/>
      <c r="G137" s="198"/>
    </row>
    <row r="138" spans="2:7" ht="21.75" customHeight="1">
      <c r="B138" s="15" t="s">
        <v>637</v>
      </c>
      <c r="C138" s="198"/>
      <c r="D138" s="198"/>
      <c r="E138" s="198"/>
      <c r="F138" s="198"/>
      <c r="G138" s="198"/>
    </row>
    <row r="139" spans="2:7" ht="21.75" customHeight="1">
      <c r="B139" s="13" t="s">
        <v>638</v>
      </c>
      <c r="C139" s="198"/>
      <c r="D139" s="198"/>
      <c r="E139" s="198"/>
      <c r="F139" s="198"/>
      <c r="G139" s="198"/>
    </row>
    <row r="141" spans="2:7" ht="24" customHeight="1">
      <c r="B141" s="203" t="s">
        <v>708</v>
      </c>
      <c r="C141" s="203"/>
      <c r="D141" s="203"/>
      <c r="E141" s="203"/>
      <c r="F141" s="203"/>
      <c r="G141" s="203"/>
    </row>
    <row r="142" spans="2:7" ht="21.75" customHeight="1">
      <c r="B142" s="6" t="s">
        <v>640</v>
      </c>
      <c r="C142" s="6" t="s">
        <v>641</v>
      </c>
    </row>
    <row r="143" spans="2:7" ht="30" customHeight="1">
      <c r="B143" s="51" t="s">
        <v>642</v>
      </c>
      <c r="C143" s="198"/>
      <c r="D143" s="198"/>
      <c r="E143" s="198"/>
      <c r="F143" s="198"/>
      <c r="G143" s="198"/>
    </row>
    <row r="144" spans="2:7" ht="30" customHeight="1">
      <c r="B144" s="52" t="s">
        <v>643</v>
      </c>
      <c r="C144" s="198"/>
      <c r="D144" s="198"/>
      <c r="E144" s="198"/>
      <c r="F144" s="198"/>
      <c r="G144" s="198"/>
    </row>
    <row r="145" spans="2:11" ht="30" customHeight="1">
      <c r="B145" s="51" t="s">
        <v>644</v>
      </c>
      <c r="C145" s="198"/>
      <c r="D145" s="198"/>
      <c r="E145" s="198"/>
      <c r="F145" s="198"/>
      <c r="G145" s="198"/>
    </row>
    <row r="146" spans="2:11" ht="30" customHeight="1">
      <c r="B146" s="52" t="s">
        <v>645</v>
      </c>
      <c r="C146" s="198"/>
      <c r="D146" s="198"/>
      <c r="E146" s="198"/>
      <c r="F146" s="198"/>
      <c r="G146" s="198"/>
    </row>
    <row r="147" spans="2:11" ht="30" customHeight="1">
      <c r="B147" s="51" t="s">
        <v>646</v>
      </c>
      <c r="C147" s="198"/>
      <c r="D147" s="198"/>
      <c r="E147" s="198"/>
      <c r="F147" s="198"/>
      <c r="G147" s="198"/>
    </row>
    <row r="148" spans="2:11" ht="30" customHeight="1">
      <c r="B148" s="52" t="s">
        <v>647</v>
      </c>
      <c r="C148" s="198"/>
      <c r="D148" s="198"/>
      <c r="E148" s="198"/>
      <c r="F148" s="198"/>
      <c r="G148" s="198"/>
    </row>
    <row r="149" spans="2:11" ht="30" customHeight="1">
      <c r="B149" s="51" t="s">
        <v>648</v>
      </c>
      <c r="C149" s="198"/>
      <c r="D149" s="198"/>
      <c r="E149" s="198"/>
      <c r="F149" s="198"/>
      <c r="G149" s="198"/>
    </row>
    <row r="150" spans="2:11" ht="30" customHeight="1">
      <c r="B150" s="52" t="s">
        <v>649</v>
      </c>
      <c r="C150" s="201" t="s">
        <v>650</v>
      </c>
      <c r="D150" s="202"/>
      <c r="E150" s="202"/>
      <c r="F150" s="202"/>
      <c r="G150" s="202"/>
    </row>
    <row r="151" spans="2:11" ht="30" customHeight="1">
      <c r="B151" s="51" t="s">
        <v>651</v>
      </c>
      <c r="C151" s="198"/>
      <c r="D151" s="198"/>
      <c r="E151" s="198"/>
      <c r="F151" s="198"/>
      <c r="G151" s="198"/>
    </row>
    <row r="153" spans="2:11" ht="24" customHeight="1">
      <c r="B153" s="200" t="s">
        <v>652</v>
      </c>
      <c r="C153" s="200"/>
      <c r="D153" s="200"/>
      <c r="E153" s="200"/>
      <c r="F153" s="200"/>
      <c r="G153" s="200"/>
      <c r="H153" s="231"/>
      <c r="I153" s="95" t="s">
        <v>653</v>
      </c>
      <c r="J153" s="95" t="s">
        <v>654</v>
      </c>
      <c r="K153" s="95" t="s">
        <v>655</v>
      </c>
    </row>
    <row r="154" spans="2:11" ht="30.75">
      <c r="B154" s="92" t="s">
        <v>266</v>
      </c>
      <c r="C154" s="93"/>
      <c r="D154" s="92" t="s">
        <v>656</v>
      </c>
      <c r="E154" s="93"/>
      <c r="F154" s="92" t="s">
        <v>657</v>
      </c>
      <c r="G154" s="93"/>
      <c r="H154" s="231"/>
      <c r="I154" s="97" t="s">
        <v>658</v>
      </c>
      <c r="J154" s="96" t="s">
        <v>659</v>
      </c>
      <c r="K154" s="96" t="s">
        <v>660</v>
      </c>
    </row>
    <row r="155" spans="2:11" ht="24.75">
      <c r="B155" s="94" t="s">
        <v>661</v>
      </c>
      <c r="C155" s="199"/>
      <c r="D155" s="199"/>
      <c r="E155" s="199"/>
      <c r="F155" s="199"/>
      <c r="G155" s="199"/>
      <c r="H155" s="231"/>
      <c r="I155" s="97" t="s">
        <v>662</v>
      </c>
      <c r="J155" s="96" t="s">
        <v>663</v>
      </c>
      <c r="K155" s="96" t="s">
        <v>664</v>
      </c>
    </row>
    <row r="156" spans="2:11">
      <c r="B156" s="92" t="s">
        <v>665</v>
      </c>
      <c r="C156" s="199"/>
      <c r="D156" s="199"/>
      <c r="E156" s="199"/>
      <c r="F156" s="199"/>
      <c r="G156" s="199"/>
      <c r="H156" s="231"/>
      <c r="I156" s="97" t="s">
        <v>666</v>
      </c>
      <c r="J156" s="96" t="s">
        <v>667</v>
      </c>
      <c r="K156" s="96" t="s">
        <v>668</v>
      </c>
    </row>
    <row r="157" spans="2:11" ht="24.75">
      <c r="B157" s="94" t="s">
        <v>669</v>
      </c>
      <c r="C157" s="199"/>
      <c r="D157" s="199"/>
      <c r="E157" s="199"/>
      <c r="F157" s="199"/>
      <c r="G157" s="199"/>
      <c r="H157" s="231"/>
      <c r="I157" s="97" t="s">
        <v>670</v>
      </c>
      <c r="J157" s="96" t="s">
        <v>671</v>
      </c>
      <c r="K157" s="96" t="s">
        <v>672</v>
      </c>
    </row>
    <row r="158" spans="2:11" ht="27" customHeight="1">
      <c r="B158" s="92" t="s">
        <v>673</v>
      </c>
      <c r="C158" s="201" t="s">
        <v>674</v>
      </c>
      <c r="D158" s="202"/>
      <c r="E158" s="202"/>
      <c r="F158" s="202"/>
      <c r="G158" s="202"/>
      <c r="H158" s="231"/>
      <c r="I158" s="97" t="s">
        <v>675</v>
      </c>
      <c r="J158" s="96" t="s">
        <v>676</v>
      </c>
      <c r="K158" s="96" t="s">
        <v>677</v>
      </c>
    </row>
    <row r="159" spans="2:11" ht="24.75">
      <c r="B159" s="92" t="s">
        <v>678</v>
      </c>
      <c r="C159" s="199"/>
      <c r="D159" s="199"/>
      <c r="E159" s="199"/>
      <c r="F159" s="199"/>
      <c r="G159" s="199"/>
      <c r="H159" s="231"/>
      <c r="I159" s="97" t="s">
        <v>679</v>
      </c>
      <c r="J159" s="96" t="s">
        <v>680</v>
      </c>
      <c r="K159" s="96" t="s">
        <v>681</v>
      </c>
    </row>
    <row r="160" spans="2:11" ht="35.25" customHeight="1">
      <c r="B160" s="94" t="s">
        <v>682</v>
      </c>
      <c r="C160" s="93"/>
      <c r="D160" s="92" t="s">
        <v>683</v>
      </c>
      <c r="E160" s="93"/>
      <c r="F160" s="92" t="s">
        <v>684</v>
      </c>
      <c r="G160" s="93"/>
      <c r="H160" s="231"/>
      <c r="I160" s="97" t="s">
        <v>685</v>
      </c>
      <c r="J160" s="96" t="s">
        <v>686</v>
      </c>
      <c r="K160" s="96" t="s">
        <v>687</v>
      </c>
    </row>
    <row r="161" spans="2:11" ht="32.25" customHeight="1">
      <c r="B161" s="92" t="s">
        <v>688</v>
      </c>
      <c r="C161" s="93"/>
      <c r="D161" s="92" t="s">
        <v>689</v>
      </c>
      <c r="E161" s="93"/>
      <c r="F161" s="92" t="s">
        <v>690</v>
      </c>
      <c r="G161" s="93"/>
      <c r="H161" s="231"/>
      <c r="I161" s="97" t="s">
        <v>691</v>
      </c>
      <c r="J161" s="96" t="s">
        <v>692</v>
      </c>
      <c r="K161" s="96" t="s">
        <v>693</v>
      </c>
    </row>
    <row r="162" spans="2:11">
      <c r="B162" s="94" t="s">
        <v>694</v>
      </c>
      <c r="C162" s="93"/>
      <c r="D162" s="92" t="s">
        <v>695</v>
      </c>
      <c r="E162" s="93"/>
      <c r="F162" s="92" t="s">
        <v>696</v>
      </c>
      <c r="G162" s="93"/>
      <c r="H162" s="231"/>
    </row>
    <row r="163" spans="2:11">
      <c r="B163" s="92" t="s">
        <v>697</v>
      </c>
      <c r="C163" s="199"/>
      <c r="D163" s="199"/>
      <c r="E163" s="199"/>
      <c r="F163" s="199"/>
      <c r="G163" s="199"/>
      <c r="H163" s="231"/>
      <c r="I163" s="231"/>
      <c r="J163" s="231"/>
      <c r="K163" s="231"/>
    </row>
    <row r="164" spans="2:11" ht="30.75">
      <c r="B164" s="94" t="s">
        <v>698</v>
      </c>
      <c r="C164" s="199"/>
      <c r="D164" s="199"/>
      <c r="E164" s="199"/>
      <c r="F164" s="199"/>
      <c r="G164" s="199"/>
      <c r="H164" s="231"/>
    </row>
    <row r="165" spans="2:11" ht="30.75">
      <c r="B165" s="92" t="s">
        <v>699</v>
      </c>
      <c r="C165" s="199"/>
      <c r="D165" s="199"/>
      <c r="E165" s="199"/>
      <c r="F165" s="199"/>
      <c r="G165" s="199"/>
      <c r="H165" s="231"/>
    </row>
  </sheetData>
  <mergeCells count="50">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B22:G22"/>
    <mergeCell ref="B29:G29"/>
    <mergeCell ref="B38:G38"/>
    <mergeCell ref="B43:G43"/>
    <mergeCell ref="B47:C47"/>
    <mergeCell ref="B49:G49"/>
    <mergeCell ref="B86:G86"/>
    <mergeCell ref="B65:F65"/>
    <mergeCell ref="C137:G137"/>
    <mergeCell ref="B131:G131"/>
    <mergeCell ref="C133:G133"/>
    <mergeCell ref="C134:G134"/>
    <mergeCell ref="C135:G135"/>
    <mergeCell ref="C136:G136"/>
    <mergeCell ref="C155:G155"/>
    <mergeCell ref="C138:G138"/>
    <mergeCell ref="C139:G139"/>
    <mergeCell ref="B141:G141"/>
    <mergeCell ref="C143:G143"/>
    <mergeCell ref="C144:G144"/>
    <mergeCell ref="C145:G145"/>
    <mergeCell ref="C146:G146"/>
    <mergeCell ref="C147:G147"/>
    <mergeCell ref="C148:G148"/>
    <mergeCell ref="C149:G149"/>
    <mergeCell ref="B153:G153"/>
    <mergeCell ref="C150:G150"/>
    <mergeCell ref="C151:G151"/>
    <mergeCell ref="C165:G165"/>
    <mergeCell ref="C156:G156"/>
    <mergeCell ref="C157:G157"/>
    <mergeCell ref="C158:G158"/>
    <mergeCell ref="C159:G159"/>
    <mergeCell ref="C163:G163"/>
    <mergeCell ref="C164:G164"/>
  </mergeCells>
  <dataValidations count="6">
    <dataValidation type="list" allowBlank="1" sqref="C88:C105" xr:uid="{F8436D47-A0BF-4932-996B-766B71F400CF}">
      <formula1>"Sí,No,Parcial"</formula1>
      <formula2>0</formula2>
    </dataValidation>
    <dataValidation type="list" allowBlank="1" sqref="G23:G27 G30:G36 G39:G41 G44:G45"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29"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5" xr:uid="{9B2ED85E-F5FB-47D1-935D-034E1E5918E0}">
      <formula1>"Microsoft Teams Phone,Genesys Cloud,Avaya,3CX,Cisco Webex Contact Center,Amazon Connect,Twilio Flex,Five9,NICE CXone,Talkdesk"</formula1>
    </dataValidation>
    <dataValidation type="date" allowBlank="1" showInputMessage="1" showErrorMessage="1" sqref="C8:E8" xr:uid="{AD3E2A0A-9D76-48A3-825C-380A47E1467A}">
      <formula1>46174</formula1>
      <formula2>46368</formula2>
    </dataValidation>
    <dataValidation allowBlank="1" sqref="C16:E18" xr:uid="{9BA9F43A-9F36-4BD9-A198-54857A3C4DC3}"/>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showInputMessage="1" showErrorMessage="1" xr:uid="{77C86A7C-BF44-4C64-8327-0955D52BCED4}">
          <x14:formula1>
            <xm:f>Listas!$N$5:$N$10</xm:f>
          </x14:formula1>
          <xm:sqref>C5:E5</xm:sqref>
        </x14:dataValidation>
        <x14:dataValidation type="list" allowBlank="1" xr:uid="{E1A29A09-4B3F-4C45-A314-A7BC005A5F91}">
          <x14:formula1>
            <xm:f>Listas!$L$5:$L$7</xm:f>
          </x14:formula1>
          <x14:formula2>
            <xm:f>0</xm:f>
          </x14:formula2>
          <xm:sqref>C147</xm:sqref>
        </x14:dataValidation>
        <x14:dataValidation type="list" allowBlank="1" xr:uid="{A79013AE-FC50-43DB-AC1B-217CB087AE71}">
          <x14:formula1>
            <xm:f>Listas!$F$5:$F$7</xm:f>
          </x14:formula1>
          <x14:formula2>
            <xm:f>0</xm:f>
          </x14:formula2>
          <xm:sqref>F88:F105</xm:sqref>
        </x14:dataValidation>
        <x14:dataValidation type="list" allowBlank="1" xr:uid="{D31F6FA9-3DD4-4641-92B0-96E80C290A37}">
          <x14:formula1>
            <xm:f>Listas!$B$5:$B$8</xm:f>
          </x14:formula1>
          <x14:formula2>
            <xm:f>0</xm:f>
          </x14:formula2>
          <xm:sqref>D23:D27 D30:D36 D39:D41 D44:D45</xm:sqref>
        </x14:dataValidation>
        <x14:dataValidation type="list" allowBlank="1" xr:uid="{7223FBC3-4516-4518-98E6-19944FF6A5FD}">
          <x14:formula1>
            <xm:f>Listas!$D$5:$D$10</xm:f>
          </x14:formula1>
          <x14:formula2>
            <xm:f>0</xm:f>
          </x14:formula2>
          <xm:sqref>C14:C15</xm:sqref>
        </x14:dataValidation>
        <x14:dataValidation type="list" allowBlank="1" xr:uid="{3B14C1C4-CEF9-4EC2-B778-2CECAF9C2366}">
          <x14:formula1>
            <xm:f>Listas!$H$5:$H$9</xm:f>
          </x14:formula1>
          <x14:formula2>
            <xm:f>0</xm:f>
          </x14:formula2>
          <xm:sqref>C12</xm:sqref>
        </x14:dataValidation>
        <x14:dataValidation type="list" allowBlank="1" showInputMessage="1" showErrorMessage="1" xr:uid="{35B6E8E4-9B78-461C-81E9-445BB54C4934}">
          <x14:formula1>
            <xm:f>Listas!$P$5:$P$8</xm:f>
          </x14:formula1>
          <xm:sqref>F120:F129</xm:sqref>
        </x14:dataValidation>
        <x14:dataValidation type="list" allowBlank="1" showInputMessage="1" showErrorMessage="1" xr:uid="{6F73AB49-03B9-4415-A4C5-32A65B2DA8CF}">
          <x14:formula1>
            <xm:f>Listas!$R$5:$R$7</xm:f>
          </x14:formula1>
          <xm:sqref>D120:D129</xm:sqref>
        </x14:dataValidation>
        <x14:dataValidation type="list" allowBlank="1" showInputMessage="1" showErrorMessage="1" promptTitle="Seleccione herramienta" prompt="Seleccione una opción de la lista o escriba otra herramienta si aplica." xr:uid="{35271D19-766B-4B35-A92F-C33C988799D4}">
          <x14:formula1>
            <xm:f>Listas!$J$18:$J$32</xm:f>
          </x14:formula1>
          <xm:sqref>C128</xm:sqref>
        </x14:dataValidation>
        <x14:dataValidation type="list" allowBlank="1" showInputMessage="1" showErrorMessage="1" promptTitle="Seleccione herramienta" prompt="Seleccione una opción de la lista o escriba otra herramienta si aplica." xr:uid="{000133B6-7703-42BC-A198-0E3466C9F5E6}">
          <x14:formula1>
            <xm:f>Listas!$L$18:$L$32</xm:f>
          </x14:formula1>
          <xm:sqref>C127</xm:sqref>
        </x14:dataValidation>
        <x14:dataValidation type="list" allowBlank="1" showInputMessage="1" showErrorMessage="1" promptTitle="Seleccione herramienta" prompt="Seleccione una opción de la lista o escriba otra herramienta si aplica." xr:uid="{4B47BD97-0281-4B5D-8F4E-57F1F21AD48E}">
          <x14:formula1>
            <xm:f>Listas!$H$18:$H$32</xm:f>
          </x14:formula1>
          <xm:sqref>C126</xm:sqref>
        </x14:dataValidation>
        <x14:dataValidation type="list" allowBlank="1" showInputMessage="1" showErrorMessage="1" promptTitle="Seleccione herramienta" prompt="Seleccione una opción de la lista o escriba otra herramienta si aplica." xr:uid="{FEB7F42D-98D2-4078-B43C-0A722C2ADCFF}">
          <x14:formula1>
            <xm:f>Listas!$N$18:$N$32</xm:f>
          </x14:formula1>
          <xm:sqref>C124</xm:sqref>
        </x14:dataValidation>
        <x14:dataValidation type="list" allowBlank="1" showInputMessage="1" showErrorMessage="1" promptTitle="Seleccione herramienta" prompt="Seleccione una opción de la lista o escriba otra herramienta si aplica." xr:uid="{3DF77B2F-F8A8-4391-8A1B-38F3E905D543}">
          <x14:formula1>
            <xm:f>Listas!$P$18:$P$32</xm:f>
          </x14:formula1>
          <xm:sqref>C123</xm:sqref>
        </x14:dataValidation>
        <x14:dataValidation type="list" allowBlank="1" showInputMessage="1" showErrorMessage="1" promptTitle="Seleccione herramienta" prompt="Seleccione una opción de la lista o escriba otra herramienta si aplica." xr:uid="{2A43FC9B-CE4B-4905-A4EB-85FA7184B3BE}">
          <x14:formula1>
            <xm:f>Listas!$F$18:$F$32</xm:f>
          </x14:formula1>
          <xm:sqref>C122</xm:sqref>
        </x14:dataValidation>
        <x14:dataValidation type="list" allowBlank="1" showInputMessage="1" showErrorMessage="1" promptTitle="Seleccione herramienta" prompt="Seleccione una opción de la lista o escriba otra herramienta si aplica." xr:uid="{F6F8C0F9-1204-4E32-8576-EEA0D7AE6665}">
          <x14:formula1>
            <xm:f>Listas!$D$18:$D$32</xm:f>
          </x14:formula1>
          <xm:sqref>C121</xm:sqref>
        </x14:dataValidation>
        <x14:dataValidation type="list" allowBlank="1" showInputMessage="1" showErrorMessage="1" promptTitle="Seleccione herramienta" prompt="Seleccione una opción de la lista o escriba otra herramienta si aplica." xr:uid="{E862B7CD-5E08-41C2-8BB7-3A4D854038E9}">
          <x14:formula1>
            <xm:f>Listas!$B$18:$B$32</xm:f>
          </x14:formula1>
          <xm:sqref>C120</xm:sqref>
        </x14:dataValidation>
        <x14:dataValidation type="list" allowBlank="1" showInputMessage="1" showErrorMessage="1" xr:uid="{ED863A5E-C0E1-4BF4-9A13-826E0D95B52E}">
          <x14:formula1>
            <xm:f>Listas!$J$42:$J$46</xm:f>
          </x14:formula1>
          <xm:sqref>C84:D84</xm:sqref>
        </x14:dataValidation>
        <x14:dataValidation type="list" allowBlank="1" showInputMessage="1" showErrorMessage="1" xr:uid="{ACE874C6-D2B4-4764-8C40-202ECD2A7FA3}">
          <x14:formula1>
            <xm:f>Listas!$H$42:$H$45</xm:f>
          </x14:formula1>
          <xm:sqref>C83:D83</xm:sqref>
        </x14:dataValidation>
        <x14:dataValidation type="list" allowBlank="1" showInputMessage="1" showErrorMessage="1" xr:uid="{CAB29D09-AFF8-4230-B7A4-9E1549FDC562}">
          <x14:formula1>
            <xm:f>Listas!$F$42:$F$49</xm:f>
          </x14:formula1>
          <xm:sqref>C80:D80</xm:sqref>
        </x14:dataValidation>
        <x14:dataValidation type="list" allowBlank="1" showInputMessage="1" showErrorMessage="1" xr:uid="{FA252B16-9BCA-461F-A251-838806864ACA}">
          <x14:formula1>
            <xm:f>Listas!$D$42:$D$46</xm:f>
          </x14:formula1>
          <xm:sqref>C79:D79</xm:sqref>
        </x14:dataValidation>
        <x14:dataValidation type="list" allowBlank="1" showInputMessage="1" showErrorMessage="1" xr:uid="{DF7EFB4A-701A-4E62-9067-C6C516A4A5B0}">
          <x14:formula1>
            <xm:f>Listas!$B$42:$B$45</xm:f>
          </x14:formula1>
          <xm:sqref>C78:D78</xm:sqref>
        </x14:dataValidation>
        <x14:dataValidation type="list" allowBlank="1" showInputMessage="1" showErrorMessage="1" xr:uid="{8D525CAF-4B80-4B32-8C54-0577F0D1252F}">
          <x14:formula1>
            <xm:f>Listas!$B$50:$B$55</xm:f>
          </x14:formula1>
          <xm:sqref>C115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2026-07-07T13:39:14Z</dcterms:modified>
  <cp:category/>
  <cp:contentStatus/>
</cp:coreProperties>
</file>