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4.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C:\Users\ASUS\Downloads\"/>
    </mc:Choice>
  </mc:AlternateContent>
  <xr:revisionPtr revIDLastSave="0" documentId="8_{4760098C-57C8-4A66-9D42-71367D958030}" xr6:coauthVersionLast="47" xr6:coauthVersionMax="47" xr10:uidLastSave="{00000000-0000-0000-0000-000000000000}"/>
  <bookViews>
    <workbookView xWindow="-110" yWindow="-110" windowWidth="19420" windowHeight="11500" tabRatio="500" firstSheet="9" activeTab="6" xr2:uid="{00000000-000D-0000-FFFF-FFFF00000000}"/>
  </bookViews>
  <sheets>
    <sheet name="Control de Cambios" sheetId="1" r:id="rId1"/>
    <sheet name="Instrucciones" sheetId="2" r:id="rId2"/>
    <sheet name="Listas" sheetId="3" state="hidden" r:id="rId3"/>
    <sheet name="Dashboard" sheetId="4" r:id="rId4"/>
    <sheet name="Graficas" sheetId="5" r:id="rId5"/>
    <sheet name="SURA Cotizadores" sheetId="6" r:id="rId6"/>
    <sheet name="SURA Venta Digital" sheetId="7" r:id="rId7"/>
    <sheet name="SURA Torre Control" sheetId="8" r:id="rId8"/>
    <sheet name="SURA Mesa 4" sheetId="9" r:id="rId9"/>
    <sheet name="BCO Gioti 1" sheetId="10" r:id="rId10"/>
    <sheet name="BCO Gioti 2" sheetId="11" r:id="rId11"/>
    <sheet name="BCO Gioti 3" sheetId="12" r:id="rId12"/>
    <sheet name="BCO Gioti 4" sheetId="13" r:id="rId13"/>
    <sheet name="ChartData" sheetId="14" state="hidden"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50" i="14" l="1"/>
  <c r="D49" i="14"/>
  <c r="H34" i="14"/>
  <c r="G34" i="14"/>
  <c r="F34" i="14"/>
  <c r="E34" i="14"/>
  <c r="D34" i="14"/>
  <c r="C34" i="14"/>
  <c r="B34" i="14"/>
  <c r="I34" i="14" s="1"/>
  <c r="H33" i="14"/>
  <c r="G33" i="14"/>
  <c r="F33" i="14"/>
  <c r="E33" i="14"/>
  <c r="D33" i="14"/>
  <c r="C33" i="14"/>
  <c r="B33" i="14"/>
  <c r="I33" i="14" s="1"/>
  <c r="H32" i="14"/>
  <c r="G32" i="14"/>
  <c r="F32" i="14"/>
  <c r="E32" i="14"/>
  <c r="D32" i="14"/>
  <c r="C32" i="14"/>
  <c r="B32" i="14"/>
  <c r="I32" i="14" s="1"/>
  <c r="H31" i="14"/>
  <c r="G31" i="14"/>
  <c r="F31" i="14"/>
  <c r="E31" i="14"/>
  <c r="D31" i="14"/>
  <c r="C31" i="14"/>
  <c r="B31" i="14"/>
  <c r="I31" i="14" s="1"/>
  <c r="H30" i="14"/>
  <c r="G30" i="14"/>
  <c r="F30" i="14"/>
  <c r="E30" i="14"/>
  <c r="D30" i="14"/>
  <c r="C30" i="14"/>
  <c r="B30" i="14"/>
  <c r="I30" i="14" s="1"/>
  <c r="H29" i="14"/>
  <c r="G29" i="14"/>
  <c r="F29" i="14"/>
  <c r="E29" i="14"/>
  <c r="D29" i="14"/>
  <c r="C29" i="14"/>
  <c r="B29" i="14"/>
  <c r="I29" i="14" s="1"/>
  <c r="H28" i="14"/>
  <c r="G28" i="14"/>
  <c r="F28" i="14"/>
  <c r="E28" i="14"/>
  <c r="D28" i="14"/>
  <c r="C28" i="14"/>
  <c r="B28" i="14"/>
  <c r="I28" i="14" s="1"/>
  <c r="H27" i="14"/>
  <c r="H36" i="14" s="1"/>
  <c r="G27" i="14"/>
  <c r="G36" i="14" s="1"/>
  <c r="F27" i="14"/>
  <c r="F36" i="14" s="1"/>
  <c r="E27" i="14"/>
  <c r="E36" i="14" s="1"/>
  <c r="D27" i="14"/>
  <c r="D36" i="14" s="1"/>
  <c r="C27" i="14"/>
  <c r="C36" i="14" s="1"/>
  <c r="B27" i="14"/>
  <c r="I27" i="14" s="1"/>
  <c r="E22" i="14"/>
  <c r="D22" i="14"/>
  <c r="C22" i="14"/>
  <c r="B22" i="14"/>
  <c r="E21" i="14"/>
  <c r="D21" i="14"/>
  <c r="C21" i="14"/>
  <c r="B21" i="14"/>
  <c r="E20" i="14"/>
  <c r="D20" i="14"/>
  <c r="C20" i="14"/>
  <c r="B20" i="14"/>
  <c r="E19" i="14"/>
  <c r="C44" i="14" s="1"/>
  <c r="D19" i="14"/>
  <c r="C19" i="14"/>
  <c r="B19" i="14"/>
  <c r="C41" i="14" s="1"/>
  <c r="F18" i="14"/>
  <c r="E18" i="14"/>
  <c r="D18" i="14"/>
  <c r="C18" i="14"/>
  <c r="B18" i="14"/>
  <c r="E17" i="14"/>
  <c r="D17" i="14"/>
  <c r="C17" i="14"/>
  <c r="B17" i="14"/>
  <c r="E16" i="14"/>
  <c r="D16" i="14"/>
  <c r="C16" i="14"/>
  <c r="B16" i="14"/>
  <c r="E15" i="14"/>
  <c r="B44" i="14" s="1"/>
  <c r="D15" i="14"/>
  <c r="B43" i="14" s="1"/>
  <c r="C15" i="14"/>
  <c r="B42" i="14" s="1"/>
  <c r="B15" i="14"/>
  <c r="B41" i="14" s="1"/>
  <c r="C10" i="14"/>
  <c r="B10" i="14"/>
  <c r="C9" i="14"/>
  <c r="B9" i="14"/>
  <c r="C8" i="14"/>
  <c r="B8" i="14"/>
  <c r="C7" i="14"/>
  <c r="B7" i="14"/>
  <c r="C6" i="14"/>
  <c r="B6" i="14"/>
  <c r="C5" i="14"/>
  <c r="B5" i="14"/>
  <c r="C4" i="14"/>
  <c r="B4" i="14"/>
  <c r="C3" i="14"/>
  <c r="B3" i="14"/>
  <c r="E43" i="13"/>
  <c r="F22" i="14" s="1"/>
  <c r="D43" i="13"/>
  <c r="D43" i="12"/>
  <c r="E43" i="12" s="1"/>
  <c r="D43" i="11"/>
  <c r="E43" i="11" s="1"/>
  <c r="D43" i="10"/>
  <c r="E43" i="10" s="1"/>
  <c r="E43" i="9"/>
  <c r="D43" i="9"/>
  <c r="D43" i="8"/>
  <c r="E43" i="8" s="1"/>
  <c r="D43" i="7"/>
  <c r="E43" i="7" s="1"/>
  <c r="D42" i="6"/>
  <c r="E42" i="6" s="1"/>
  <c r="K47" i="4"/>
  <c r="J47" i="4"/>
  <c r="I47" i="4"/>
  <c r="H47" i="4"/>
  <c r="G47" i="4"/>
  <c r="F47" i="4"/>
  <c r="E47" i="4"/>
  <c r="D47" i="4"/>
  <c r="C47" i="4"/>
  <c r="K46" i="4"/>
  <c r="J46" i="4"/>
  <c r="I46" i="4"/>
  <c r="H46" i="4"/>
  <c r="G46" i="4"/>
  <c r="F46" i="4"/>
  <c r="E46" i="4"/>
  <c r="D46" i="4"/>
  <c r="C46" i="4"/>
  <c r="K45" i="4"/>
  <c r="J45" i="4"/>
  <c r="I45" i="4"/>
  <c r="H45" i="4"/>
  <c r="G45" i="4"/>
  <c r="F45" i="4"/>
  <c r="E45" i="4"/>
  <c r="D45" i="4"/>
  <c r="C45" i="4"/>
  <c r="K44" i="4"/>
  <c r="J44" i="4"/>
  <c r="I44" i="4"/>
  <c r="H44" i="4"/>
  <c r="G44" i="4"/>
  <c r="F44" i="4"/>
  <c r="E44" i="4"/>
  <c r="D44" i="4"/>
  <c r="C44" i="4"/>
  <c r="K43" i="4"/>
  <c r="J43" i="4"/>
  <c r="I43" i="4"/>
  <c r="H43" i="4"/>
  <c r="G43" i="4"/>
  <c r="F43" i="4"/>
  <c r="E43" i="4"/>
  <c r="D43" i="4"/>
  <c r="C43" i="4"/>
  <c r="K42" i="4"/>
  <c r="J42" i="4"/>
  <c r="I42" i="4"/>
  <c r="H42" i="4"/>
  <c r="G42" i="4"/>
  <c r="F42" i="4"/>
  <c r="E42" i="4"/>
  <c r="D42" i="4"/>
  <c r="C42" i="4"/>
  <c r="K41" i="4"/>
  <c r="J41" i="4"/>
  <c r="I41" i="4"/>
  <c r="H41" i="4"/>
  <c r="G41" i="4"/>
  <c r="F41" i="4"/>
  <c r="E41" i="4"/>
  <c r="D41" i="4"/>
  <c r="C41" i="4"/>
  <c r="E37" i="4"/>
  <c r="D37" i="4"/>
  <c r="C37" i="4"/>
  <c r="D36" i="4"/>
  <c r="C36" i="4"/>
  <c r="D35" i="4"/>
  <c r="C35" i="4"/>
  <c r="E34" i="4"/>
  <c r="D34" i="4"/>
  <c r="C34" i="4"/>
  <c r="D33" i="4"/>
  <c r="C33" i="4"/>
  <c r="D32" i="4"/>
  <c r="C32" i="4"/>
  <c r="D31" i="4"/>
  <c r="C31" i="4"/>
  <c r="D30" i="4"/>
  <c r="C30" i="4"/>
  <c r="I16" i="4"/>
  <c r="H16" i="4"/>
  <c r="G16" i="4"/>
  <c r="F16" i="4"/>
  <c r="E16" i="4"/>
  <c r="D16" i="4"/>
  <c r="C16" i="4"/>
  <c r="I15" i="4"/>
  <c r="H15" i="4"/>
  <c r="G15" i="4"/>
  <c r="F15" i="4"/>
  <c r="E15" i="4"/>
  <c r="C15" i="4"/>
  <c r="I14" i="4"/>
  <c r="H14" i="4"/>
  <c r="G14" i="4"/>
  <c r="F14" i="4"/>
  <c r="E14" i="4"/>
  <c r="C14" i="4"/>
  <c r="I13" i="4"/>
  <c r="H13" i="4"/>
  <c r="G13" i="4"/>
  <c r="F13" i="4"/>
  <c r="E13" i="4"/>
  <c r="C13" i="4"/>
  <c r="I12" i="4"/>
  <c r="H12" i="4"/>
  <c r="G12" i="4"/>
  <c r="F12" i="4"/>
  <c r="E12" i="4"/>
  <c r="D12" i="4"/>
  <c r="C12" i="4"/>
  <c r="I11" i="4"/>
  <c r="H11" i="4"/>
  <c r="G11" i="4"/>
  <c r="F11" i="4"/>
  <c r="E11" i="4"/>
  <c r="C11" i="4"/>
  <c r="I10" i="4"/>
  <c r="H10" i="4"/>
  <c r="G10" i="4"/>
  <c r="F10" i="4"/>
  <c r="E10" i="4"/>
  <c r="C10" i="4"/>
  <c r="I9" i="4"/>
  <c r="H9" i="4"/>
  <c r="G9" i="4"/>
  <c r="F9" i="4"/>
  <c r="E9" i="4"/>
  <c r="C9" i="4"/>
  <c r="C42" i="14" l="1"/>
  <c r="C43" i="14"/>
  <c r="E23" i="4"/>
  <c r="F20" i="14"/>
  <c r="E36" i="4"/>
  <c r="D14" i="4"/>
  <c r="F21" i="14"/>
  <c r="D15" i="4"/>
  <c r="D9" i="4"/>
  <c r="F15" i="14"/>
  <c r="E31" i="4"/>
  <c r="E30" i="4"/>
  <c r="D10" i="4"/>
  <c r="F16" i="14"/>
  <c r="E32" i="4"/>
  <c r="D11" i="4"/>
  <c r="F17" i="14"/>
  <c r="E33" i="4"/>
  <c r="E35" i="4"/>
  <c r="D13" i="4"/>
  <c r="F19" i="14"/>
  <c r="B36" i="14"/>
  <c r="E22" i="4" l="1"/>
  <c r="E21" i="4"/>
  <c r="E2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2"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3"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4"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CA046336-82E2-422A-9B18-F91F8DB21549}">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4C10D30B-92DB-47DD-8333-A4FEF4F6C8E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8" authorId="0" shapeId="0" xr:uid="{48A8A3DA-6757-46CA-B883-1D4E655C6ECF}">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8" authorId="0" shapeId="0" xr:uid="{C26AD154-5BB5-40C5-BDCC-D447244D426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5ED96DB-1966-4DA5-ABA8-59BB48FFD7A3}">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2F6BAF6E-836E-4591-8257-04C04E7725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FC3F76D9-C77F-4EFF-A2D2-5EA2DE070D7E}">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9FC5DB7F-5603-40D4-AC16-967674B8EC27}">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B8216CD6-C475-4364-96DE-96B879136EF8}">
      <text>
        <t xml:space="preserve">Natalia Zartha Suarez:
El headcount, o conteo de personal, es un indicador fundamental en Recursos Humanos que refleja el número total de empleados de una empresa en un momento determinado. 
</t>
      </text>
    </comment>
    <comment ref="C22" authorId="0" shapeId="0" xr:uid="{43DC1EFC-8257-4546-B2F9-E782A5313603}">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0F9F2CD0-37FE-46E7-8F12-4BDDA19B4985}">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C336B07C-3BE7-47F1-AA1A-700CCA34149E}">
      <text>
        <t>Natalia Zartha Suarez:
Change Advisory Board (CAB): Definición, Responsabilidades, Beneficios y Mejores Prácticas</t>
      </text>
    </comment>
    <comment ref="C30" authorId="0" shapeId="0" xr:uid="{41CFE42B-8291-47E4-A5A5-54899041F239}">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6E4A590B-C55E-45A2-BBBF-CC562FF68704}">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C616622E-F41C-40B0-A9B4-40ABE2C19AED}">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427F9E4A-C9C9-450A-8AB9-36C63696EB0C}">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DB7775AE-82C4-44DC-BAB7-0DABEA34349D}">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67" authorId="0" shapeId="0" xr:uid="{4EC3B629-AEFC-489F-A0AC-C8FA7529B1A0}">
      <text>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text>
    </comment>
    <comment ref="B130" authorId="0" shapeId="0" xr:uid="{B2F002E3-664A-4BB9-83CF-B17CE24EBF1A}">
      <text>
        <t>Natalia Zartha Suarez:
El churn en una mesa de servicio de TI se refiere a la tasa de cancelación de clientes o usuarios que dejan de utilizar los servicios durante un periodo determinado.</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D851B7E7-C4F6-47AC-B598-D240414BA32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998B736-52E3-4226-9286-96F3984A91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5CFF09E8-82D7-4ED4-9C2C-1E3B69A5C634}">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9383A354-7022-41C0-9831-255378DCD59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F11AF89A-AE1E-4C3F-965F-CF06D4B1EBF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393A601-085E-4B91-9C91-26419D032AA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B93B2874-0DA6-446B-9D1D-32FC7E72C3D2}">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7B3E10F3-810A-469B-8319-EF88F715F12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45ADCC4-47A9-426D-A485-E9671E14B6AD}">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6DA86A75-04C9-4202-AC4A-FCD5AAFE548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00C6874A-9C06-4864-A5CA-2E0274F046D1}">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2233583E-E8DC-497D-BBBB-440C11D08313}">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3FA3D949-4DBD-42EA-8720-47E9A189ECCE}">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30A773E-C9F2-493E-9D2F-A750FD2CB06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EF03F9DE-373D-446E-9E87-AEEAEC978F52}">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3609F222-661D-4030-8C4F-15DAA17FEB85}">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041AAA41-166D-4F5B-8FB8-E7351C407299}">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F468545-E0DB-449E-9040-55F3FB582F9C}">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14B53873-E8F4-49BD-90EB-84A84004D44B}">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5932E30B-B18F-4899-B211-CACC0F93558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3FF895-C14B-4B1C-9F11-93DDD93685B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6CEB8D72-D6CF-4359-99F3-65B1270E4CB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69F566B8-C680-4372-9ADA-B27FA33274CA}">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A997BE82-2C7A-4530-99A5-CDCAB2375932}">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sharedStrings.xml><?xml version="1.0" encoding="utf-8"?>
<sst xmlns="http://schemas.openxmlformats.org/spreadsheetml/2006/main" count="1923" uniqueCount="427">
  <si>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</si>
  <si>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</si>
  <si>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</si>
  <si>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</si>
  <si>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</si>
  <si>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</si>
  <si>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</si>
  <si>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</si>
  <si>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</si>
  <si>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</si>
  <si>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</si>
  <si>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</si>
  <si>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</si>
  <si>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</si>
  <si>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</si>
  <si>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GUÍA DE LEVANTAMIENTO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</si>
  <si>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</si>
  <si>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</si>
  <si>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LEVANTAMIENTO (~60 minutos)</t>
  </si>
  <si>
    <t>#</t>
  </si>
  <si>
    <t>BLOQUE</t>
  </si>
  <si>
    <t>TIEMPO</t>
  </si>
  <si>
    <t>DESCRIPCIÓN</t>
  </si>
  <si>
    <t>①</t>
  </si>
  <si>
    <t>IDENTIFICACIÓN GENERAL</t>
  </si>
  <si>
    <t>5 min</t>
  </si>
  <si>
    <t>Datos básicos de la mesa: nombre, cliente, líder, ubicación, modelo de contrato</t>
  </si>
  <si>
    <t>②</t>
  </si>
  <si>
    <t>NIVEL DE MADUREZ ACTUAL</t>
  </si>
  <si>
    <t>Autoevaluación N0–N5 de la mesa con el cliente o líder de servicio</t>
  </si>
  <si>
    <t>③</t>
  </si>
  <si>
    <t>17 PRÁCTICAS ITIL v4 + DIMENSIONES</t>
  </si>
  <si>
    <t>15 min</t>
  </si>
  <si>
    <t>Evaluar cumplimiento (Sí / Parcial / No) de cada práctica por las 4 dimensiones</t>
  </si>
  <si>
    <t>④</t>
  </si>
  <si>
    <t>7 DOLORES CRÍTICOS</t>
  </si>
  <si>
    <t>20 min</t>
  </si>
  <si>
    <t>Identificar dolores actuales, impacto y evidencias concretas</t>
  </si>
  <si>
    <t>⑤</t>
  </si>
  <si>
    <t>ROTACIÓN &amp; TALENTO</t>
  </si>
  <si>
    <t>10 min</t>
  </si>
  <si>
    <t>Rotación, perfiles críticos, clima de equipo</t>
  </si>
  <si>
    <t>⑥</t>
  </si>
  <si>
    <t>TECNOLOGÍA &amp; HERRAMIENTAS</t>
  </si>
  <si>
    <t>Stack actual, brechas, integraciones</t>
  </si>
  <si>
    <t>⑦</t>
  </si>
  <si>
    <t>VISIÓN PARA EL NUEVO SERVICIO</t>
  </si>
  <si>
    <t>¿Qué debería mejorar? ¿Qué conservar? Aspiraciones del cliente</t>
  </si>
  <si>
    <t xml:space="preserve">  ESCALA DE MADUREZ — N0 a N5</t>
  </si>
  <si>
    <t>NIVEL</t>
  </si>
  <si>
    <t>NOMBRE</t>
  </si>
  <si>
    <t>N0</t>
  </si>
  <si>
    <t>Reactivo / Sin estructura</t>
  </si>
  <si>
    <t>No existe proceso formal. Todo es manual y reactivo. Sin CMDB ni catálogo.</t>
  </si>
  <si>
    <t>N1</t>
  </si>
  <si>
    <t>Inicial / Ad hoc</t>
  </si>
  <si>
    <t>Procesos básicos documentados. Herramientas mínimas. Cumplimiento inconsistente.</t>
  </si>
  <si>
    <t>N2</t>
  </si>
  <si>
    <t>Definido</t>
  </si>
  <si>
    <t>Procesos ITIL definidos y seguidos. Métricas básicas (SLA  (Service Level Agreement),  FCR (Fondo de Capital Riesgo)). Equipo estable.</t>
  </si>
  <si>
    <t>N3</t>
  </si>
  <si>
    <t>Gestionado</t>
  </si>
  <si>
    <t>Métricas avanzadas. Automatización parcial. Gestión proactiva de problemas.</t>
  </si>
  <si>
    <t>N4</t>
  </si>
  <si>
    <t>Optimizado</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</si>
  <si>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</si>
  <si>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</si>
  <si>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</si>
  <si>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</si>
  <si>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</si>
  <si>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</si>
  <si>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</si>
  <si>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</si>
  <si>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</si>
  <si>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</si>
  <si>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</si>
  <si>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</si>
  <si>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</si>
  <si>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</si>
  <si>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</si>
  <si>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</si>
  <si>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</si>
  <si>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</si>
  <si>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</si>
  <si>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</si>
  <si>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</si>
  <si>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</si>
  <si>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</si>
  <si>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</si>
  <si>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 xml:space="preserve">  LISTAS DE VALIDACIÓN (no modificar)</t>
  </si>
  <si>
    <t>Respuestas Prácticas</t>
  </si>
  <si>
    <t>Nivel Madurez</t>
  </si>
  <si>
    <t>Criticidad Dolor</t>
  </si>
  <si>
    <t>Modelo Contrato</t>
  </si>
  <si>
    <t>Tipo Incidente</t>
  </si>
  <si>
    <t>Riesgo Churn</t>
  </si>
  <si>
    <t>Cliente</t>
  </si>
  <si>
    <t>Alta</t>
  </si>
  <si>
    <t>FTE dedicado</t>
  </si>
  <si>
    <t>Incidente</t>
  </si>
  <si>
    <t>Alto</t>
  </si>
  <si>
    <t>SURA</t>
  </si>
  <si>
    <t>Media</t>
  </si>
  <si>
    <t>Capacidad</t>
  </si>
  <si>
    <t>Requerimiento</t>
  </si>
  <si>
    <t>Medio</t>
  </si>
  <si>
    <t>Bancolombia</t>
  </si>
  <si>
    <t>Baja</t>
  </si>
  <si>
    <t>Bolsa de horas</t>
  </si>
  <si>
    <t>Cambio</t>
  </si>
  <si>
    <t>Bajo</t>
  </si>
  <si>
    <t>XM</t>
  </si>
  <si>
    <t>Output/ticket</t>
  </si>
  <si>
    <t>Problema</t>
  </si>
  <si>
    <t>AES</t>
  </si>
  <si>
    <t>Mixto</t>
  </si>
  <si>
    <t>Consulta</t>
  </si>
  <si>
    <t>MEDICARTE</t>
  </si>
  <si>
    <t>DASHBOARD — MESA DE SERVICIOS DE NUEVA GENERACIÓN</t>
  </si>
  <si>
    <r>
      <rPr>
        <b/>
        <sz val="11"/>
        <color rgb="FF000000"/>
        <rFont val="Calibri Light"/>
      </rPr>
      <t>Fecha</t>
    </r>
    <r>
      <rPr>
        <sz val="11"/>
        <color rgb="FF000000"/>
        <rFont val="Calibri Light"/>
      </rPr>
      <t xml:space="preserve">: 2026/07/03
</t>
    </r>
    <r>
      <rPr>
        <b/>
        <sz val="11"/>
        <color rgb="FF000000"/>
        <rFont val="Calibri Light"/>
      </rPr>
      <t>Clasificación</t>
    </r>
    <r>
      <rPr>
        <sz val="11"/>
        <color rgb="FF000000"/>
        <rFont val="Calibri Light"/>
      </rPr>
      <t>: Interna</t>
    </r>
  </si>
  <si>
    <t>Resumen consolidado · Julio 2026 · PersonalSoft</t>
  </si>
  <si>
    <r>
      <rPr>
        <b/>
        <sz val="11"/>
        <color rgb="FF000000"/>
        <rFont val="Calibri Light"/>
      </rPr>
      <t>Versión</t>
    </r>
    <r>
      <rPr>
        <sz val="11"/>
        <color rgb="FF000000"/>
        <rFont val="Calibri Light"/>
      </rPr>
      <t>: 1.0</t>
    </r>
  </si>
  <si>
    <t xml:space="preserve">  RESUMEN POR MESA DE SERVICIOS</t>
  </si>
  <si>
    <t>MESA</t>
  </si>
  <si>
    <t>Nivel
Madurez</t>
  </si>
  <si>
    <t>Score
Prácticas</t>
  </si>
  <si>
    <t>FCR
(%)</t>
  </si>
  <si>
    <t>SLA
(%)</t>
  </si>
  <si>
    <t>NPS</t>
  </si>
  <si>
    <t>FTEs</t>
  </si>
  <si>
    <t>Dolores
Activos</t>
  </si>
  <si>
    <t>Prioridad
Global</t>
  </si>
  <si>
    <t>SURA Cotizadores</t>
  </si>
  <si>
    <t>SURA Venta Digital</t>
  </si>
  <si>
    <t>SURA Torre Control</t>
  </si>
  <si>
    <t>SURA Mesa 4</t>
  </si>
  <si>
    <t>BCO Gioti 1</t>
  </si>
  <si>
    <t>BCO Gioti 2</t>
  </si>
  <si>
    <t>BCO Gioti 3</t>
  </si>
  <si>
    <t>BCO Gioti 4</t>
  </si>
  <si>
    <t xml:space="preserve">  ESTADÍSTICAS DE CONSOLIDADO</t>
  </si>
  <si>
    <t>Promedio Score Prácticas ITIL:</t>
  </si>
  <si>
    <t>Score Mínimo (mesa más débil):</t>
  </si>
  <si>
    <t>Score Máximo (mesa más fuerte):</t>
  </si>
  <si>
    <t>Total FTEs evaluados:</t>
  </si>
  <si>
    <t>⚠ INSTRUCCIONES: Diligenciar cada hoja de mesa antes de interpretar este dashboard. Las celdas en azul se diligencian manualmente; las en teal se calculan automáticamente.</t>
  </si>
  <si>
    <t xml:space="preserve">  SEMÁFORO DE MADUREZ — ESTADO POR MESA</t>
  </si>
  <si>
    <t>Nivel</t>
  </si>
  <si>
    <t>Descripción del Nivel</t>
  </si>
  <si>
    <t>Fortaleza Identificada</t>
  </si>
  <si>
    <t>Brecha Principal</t>
  </si>
  <si>
    <t>Acción Recomendada Gen Next</t>
  </si>
  <si>
    <t xml:space="preserve">  DOLORES ACTIVOS POR MESA — CONTEO CONSOLIDADO (✓=Sí · ~=Parcial)</t>
  </si>
  <si>
    <t>DOLOR</t>
  </si>
  <si>
    <t>SURA
Cotiz.</t>
  </si>
  <si>
    <t>SURA
Venta D.</t>
  </si>
  <si>
    <t>SURA
Torre</t>
  </si>
  <si>
    <t>SURA
Mesa 4</t>
  </si>
  <si>
    <t>BCO
Gioti 1</t>
  </si>
  <si>
    <t>BCO
Gioti 2</t>
  </si>
  <si>
    <t>BCO
Gioti 3</t>
  </si>
  <si>
    <t>BCO
Gioti 4</t>
  </si>
  <si>
    <t>TOTAL</t>
  </si>
  <si>
    <t>D1: Rotación excesiva de personal</t>
  </si>
  <si>
    <t>D2: SLAs incumplidos / penalizaciones</t>
  </si>
  <si>
    <t>D3: Sin autoservicio (todo por call)</t>
  </si>
  <si>
    <t>D4: Herramientas fragmentadas</t>
  </si>
  <si>
    <t>D5: Baja satisfacción usuario (NPS&lt;30)</t>
  </si>
  <si>
    <t>D6: Escalamientos excesivos a N2/N3</t>
  </si>
  <si>
    <t>D7: Sin visibilidad en tiempo real</t>
  </si>
  <si>
    <t xml:space="preserve">  VISUALIZACIONES RÁPIDAS — VER HOJA 'GRAFICAS' PARA ANÁLISIS COMPLETO</t>
  </si>
  <si>
    <t>ANÁLISIS VISUAL— MESA DE SERVICIOS DE NUEVA GENERACIÓN</t>
  </si>
  <si>
    <t>Dashboard de madurez · prácticas · dolores · industria vs benchmark · Gen Next</t>
  </si>
  <si>
    <t xml:space="preserve">  ① NIVEL DE MADUREZ ACTUAL POR MESA (N0–N5)</t>
  </si>
  <si>
    <t xml:space="preserve">  ② SCORE POR DIMENSIÓN ITIL (%) — 8 MESAS</t>
  </si>
  <si>
    <t xml:space="preserve">  ③ RADAR: SURA vs BCO — MADUREZ POR DIMENSIÓN</t>
  </si>
  <si>
    <t xml:space="preserve">  ④ DOLORES MÁS FRECUENTES (total de mesas afectadas)</t>
  </si>
  <si>
    <t xml:space="preserve">  ⑤ BENCHMARKS CLAVE: MESAS ACTUALES vs INDUSTRIA vs OBJETIVO GEN NEXT</t>
  </si>
  <si>
    <t>LEVANTAMIENTO DE MESA DE SERVICIOS — SURA COTIZADORES</t>
  </si>
  <si>
    <t>⚠ DATOS DE EJEMPLO — Diligenciar con información real de la mesa</t>
  </si>
  <si>
    <t xml:space="preserve">  ① IDENTIFICACIÓN GENERAL DE LA MESA</t>
  </si>
  <si>
    <t>Cliente:</t>
  </si>
  <si>
    <t>Nombre de la Mesa:</t>
  </si>
  <si>
    <t>Cotizadores</t>
  </si>
  <si>
    <t>Líder / Coordinador:</t>
  </si>
  <si>
    <t>Ubicación / Modalidad:</t>
  </si>
  <si>
    <t>N° de Agentes (FTE) :</t>
  </si>
  <si>
    <t>Fecha del Levantamiento:</t>
  </si>
  <si>
    <t>Participantes en la Sesión:</t>
  </si>
  <si>
    <t>Modelo de Contrato:</t>
  </si>
  <si>
    <t>Herramienta de Ticketing:</t>
  </si>
  <si>
    <t>Nivel Madurez Actual:</t>
  </si>
  <si>
    <t>(N0 Reactivo → N5 Innovador)</t>
  </si>
  <si>
    <t xml:space="preserve">  ③ EVALUACIÓN DE PRÁCTICAS ITIL v4 — 4 DIMENSIONES</t>
  </si>
  <si>
    <t>PRÁCTICA</t>
  </si>
  <si>
    <t>¿Se cumple?</t>
  </si>
  <si>
    <t>Observaciones / Evidencia</t>
  </si>
  <si>
    <t>Responsable</t>
  </si>
  <si>
    <t>Prioridad Mejora</t>
  </si>
  <si>
    <t xml:space="preserve">  D1 — Organización y Personas</t>
  </si>
  <si>
    <t>1.1</t>
  </si>
  <si>
    <t>Gestión de la Fuerza Laboral — Headcount, perfiles, competencias</t>
  </si>
  <si>
    <t>1.2</t>
  </si>
  <si>
    <t>Gestión del Conocimiento — KB, documentación, onboarding</t>
  </si>
  <si>
    <t>1.3</t>
  </si>
  <si>
    <t>Gestión del Talento — Rotación, desarrollo, retención</t>
  </si>
  <si>
    <t>1.4</t>
  </si>
  <si>
    <t>Gestión del Desempeño — Metas individuales, feedback, KPIs de agente</t>
  </si>
  <si>
    <t>1.5</t>
  </si>
  <si>
    <t>Cultura de Servicio — Orientación al usuario, empatía, NPS interno</t>
  </si>
  <si>
    <t xml:space="preserve">  D2 — Información y Tecnología</t>
  </si>
  <si>
    <t>2.1</t>
  </si>
  <si>
    <t>Gestión de Incidentes — Proceso, tiempos, escalamiento</t>
  </si>
  <si>
    <t>2.2</t>
  </si>
  <si>
    <t>Gestión de Requerimientos — Catálogo de servicios, flujos</t>
  </si>
  <si>
    <t>2.3</t>
  </si>
  <si>
    <t>Gestión de Problemas — RCA, errores conocidos, KEDB</t>
  </si>
  <si>
    <t>2.4</t>
  </si>
  <si>
    <t>Gestión de Cambios — CAB, RFC, ventanas de mantenimiento</t>
  </si>
  <si>
    <t>2.5</t>
  </si>
  <si>
    <t>Gestión de la Configuración — CMDB, assets, CIs</t>
  </si>
  <si>
    <t>2.6</t>
  </si>
  <si>
    <t>Monitoreo y Eventos — Alertas, observabilidad, integración</t>
  </si>
  <si>
    <t>2.7</t>
  </si>
  <si>
    <t>Mesa de Servicio (Service Desk) — Canal único, autoservicio, chatbot</t>
  </si>
  <si>
    <t xml:space="preserve">  D3 — Socios y Proveedores</t>
  </si>
  <si>
    <t>3.1</t>
  </si>
  <si>
    <t>Gestión de Proveedores — SLAs tercerizados, contratos, evaluación</t>
  </si>
  <si>
    <t>3.2</t>
  </si>
  <si>
    <t>Gestión de Niveles de Servicio — SLA, OLA, XLA definidos y medidos</t>
  </si>
  <si>
    <t>3.3</t>
  </si>
  <si>
    <t>Gestión de Capacidad y Disponibilidad — Picos, contingencia</t>
  </si>
  <si>
    <t xml:space="preserve">  D4 — Flujos de Valor y Mejora</t>
  </si>
  <si>
    <t>4.1</t>
  </si>
  <si>
    <t>Mejora Continua — Ciclos PDCA, retros, backlogs de mejora</t>
  </si>
  <si>
    <t>4.2</t>
  </si>
  <si>
    <t>Medición y Reporte — Dashboards, informes ejecutivos, tendencias</t>
  </si>
  <si>
    <t>SCORE GENERAL DE PRÁCTICAS ITIL:</t>
  </si>
  <si>
    <t xml:space="preserve">  ④ VOLUMETRÍA Y KPIs OPERATIVOS</t>
  </si>
  <si>
    <t>MÉTRICA</t>
  </si>
  <si>
    <t>Valor Actual</t>
  </si>
  <si>
    <t>Meta / SLA</t>
  </si>
  <si>
    <t>Tendencia</t>
  </si>
  <si>
    <t>Fuente del Dato</t>
  </si>
  <si>
    <t>Comentario</t>
  </si>
  <si>
    <t>Tickets / mes (total)</t>
  </si>
  <si>
    <t>Incidentes / mes</t>
  </si>
  <si>
    <t>Requerimientos / mes</t>
  </si>
  <si>
    <t>Cambios / mes</t>
  </si>
  <si>
    <t>First Call Resolution (FCR %)</t>
  </si>
  <si>
    <t>Mean Time to Resolve (MTTR horas)</t>
  </si>
  <si>
    <t>SLA Cumplimiento (%)</t>
  </si>
  <si>
    <t>Backlog promedio (tickets abiertos)</t>
  </si>
  <si>
    <t>Tickets resueltos por agente/mes</t>
  </si>
  <si>
    <t>Costo estimado por ticket (USD)</t>
  </si>
  <si>
    <t>Agentes FTE totales</t>
  </si>
  <si>
    <t>% Tickets autoservicio / N0</t>
  </si>
  <si>
    <t xml:space="preserve">  ④b DISTRIBUCIÓN DE INCIDENTES POR CATEGORÍA</t>
  </si>
  <si>
    <t>CATEGORÍA</t>
  </si>
  <si>
    <t>Tickets/mes</t>
  </si>
  <si>
    <t>% del Total</t>
  </si>
  <si>
    <t>Tiempo Prom. Resolución (h)</t>
  </si>
  <si>
    <t>Observaciones</t>
  </si>
  <si>
    <t>Accesos / Permisos</t>
  </si>
  <si>
    <t>Red / Conectividad</t>
  </si>
  <si>
    <t>Aplicaciones de negocio</t>
  </si>
  <si>
    <t>Hardware / Equipos</t>
  </si>
  <si>
    <t>Correo / Office 365</t>
  </si>
  <si>
    <t>ERP / SAP</t>
  </si>
  <si>
    <t>Seguridad / Ciberseguridad</t>
  </si>
  <si>
    <t>Otra categoría</t>
  </si>
  <si>
    <t xml:space="preserve">  ⑤ EXPERIENCIA DEL USUARIO — XLA / DEX</t>
  </si>
  <si>
    <t>INDICADOR XLA</t>
  </si>
  <si>
    <t>Meta</t>
  </si>
  <si>
    <t>Método de Medición</t>
  </si>
  <si>
    <t>NPS (Net Promoter Score) de la mesa</t>
  </si>
  <si>
    <t>CSAT (Satisfacción del cliente) — escala 1-5</t>
  </si>
  <si>
    <t>CES (Customer Effort Score)</t>
  </si>
  <si>
    <t>Encuestas post-ticket (tasa de respuesta %)</t>
  </si>
  <si>
    <t>Percepción de calidad (top 3 palabras del usuario)</t>
  </si>
  <si>
    <t>Quejas escaladas / mes</t>
  </si>
  <si>
    <t>Tiempo promedio de espera en canal (minutos)</t>
  </si>
  <si>
    <t xml:space="preserve">  ⑥ DOLORES CRÍTICOS DE LA MESA (D1–D7)</t>
  </si>
  <si>
    <t>¿Existe?</t>
  </si>
  <si>
    <t>Descripción / Evidencia</t>
  </si>
  <si>
    <t>Impacto (1-5)</t>
  </si>
  <si>
    <t>Criticidad</t>
  </si>
  <si>
    <t>Iniciativa sugerida</t>
  </si>
  <si>
    <t>D1</t>
  </si>
  <si>
    <t>Rotación excesiva de personal — pérdida de conocimiento</t>
  </si>
  <si>
    <t>D2</t>
  </si>
  <si>
    <t>SLAs incumplidos / penalizaciones contractuales</t>
  </si>
  <si>
    <t>D3</t>
  </si>
  <si>
    <t>Ausencia de autoservicio — todo llega por call/correo</t>
  </si>
  <si>
    <t>D4</t>
  </si>
  <si>
    <t>Herramientas fragmentadas / sin integración</t>
  </si>
  <si>
    <t>D5</t>
  </si>
  <si>
    <t>Baja satisfacción del usuario (NPS &lt; 30)</t>
  </si>
  <si>
    <t>D6</t>
  </si>
  <si>
    <t>Escalamientos excesivos a N2/N3</t>
  </si>
  <si>
    <t>D7</t>
  </si>
  <si>
    <t>Falta de visibilidad en tiempo real (sin dashboard)</t>
  </si>
  <si>
    <t xml:space="preserve">  ⑦ ROTACIÓN Y TALENTO</t>
  </si>
  <si>
    <t>ASPECTO</t>
  </si>
  <si>
    <t>Detalle / Valor</t>
  </si>
  <si>
    <t>Tasa de rotación anual (%):</t>
  </si>
  <si>
    <t>Perfiles más críticos / difíciles de reemplazar:</t>
  </si>
  <si>
    <t>Tiempo promedio de onboarding (días):</t>
  </si>
  <si>
    <t>¿Existe plan de carrera para agentes?:</t>
  </si>
  <si>
    <t>Clima laboral — percepción del equipo (1-5):</t>
  </si>
  <si>
    <t>Herramienta de formación / capacitación usada:</t>
  </si>
  <si>
    <t>Turnos de trabajo (mañana / tarde / noche / 7x24):</t>
  </si>
  <si>
    <t xml:space="preserve">  ⑧ TECNOLOGÍA Y HERRAMIENTAS</t>
  </si>
  <si>
    <t>HERRAMIENTA / COMPONENTE</t>
  </si>
  <si>
    <t>Nombre / Versión</t>
  </si>
  <si>
    <t>¿Integrado?</t>
  </si>
  <si>
    <t>Brecha Identificada</t>
  </si>
  <si>
    <t>Prioridad</t>
  </si>
  <si>
    <t>Mesa de ayuda / ITSM (ticketing)</t>
  </si>
  <si>
    <t>Monitoreo / Observabilidad</t>
  </si>
  <si>
    <t>Chat / Bot de autoservicio</t>
  </si>
  <si>
    <t>Base de conocimiento (KB)</t>
  </si>
  <si>
    <t>CMDB / Inventario de activos</t>
  </si>
  <si>
    <t>Telefonía / IVR / Call Center</t>
  </si>
  <si>
    <t>Analítica / Dashboard / BI</t>
  </si>
  <si>
    <t>Gestión de identidades / IAM</t>
  </si>
  <si>
    <t>Colaboración (Teams, Slack, etc.)</t>
  </si>
  <si>
    <t>Otras integraciones clave</t>
  </si>
  <si>
    <t xml:space="preserve">  ⑨ MODELO ECONÓMICO ACTUAL</t>
  </si>
  <si>
    <t>ASPECTO ECONÓMICO</t>
  </si>
  <si>
    <t>Valor / Descripción</t>
  </si>
  <si>
    <t>Modelo de facturación actual:</t>
  </si>
  <si>
    <t>Costo total mensual del servicio (USD / COP):</t>
  </si>
  <si>
    <t>Costo por FTE/mes:</t>
  </si>
  <si>
    <t>Costo estimado por ticket:</t>
  </si>
  <si>
    <t>Cláusulas de penalización por SLA:</t>
  </si>
  <si>
    <t>Fecha de vencimiento del contrato:</t>
  </si>
  <si>
    <t>Oportunidades de optimización de costo:</t>
  </si>
  <si>
    <t xml:space="preserve">  ⑩ VISIÓN PARA EL NUEVO SERVICIO — ¿QUÉ DEBERÍA CAMBIAR?</t>
  </si>
  <si>
    <t>PREGUNTA DE CIERRE</t>
  </si>
  <si>
    <t>Respuesta / Notas</t>
  </si>
  <si>
    <t>¿Qué funciona bien y se debe conservar?:</t>
  </si>
  <si>
    <t>¿Qué es lo que más frustra al usuario hoy?:</t>
  </si>
  <si>
    <t>¿Qué cambiaría el cliente si pudiera mañana?:</t>
  </si>
  <si>
    <t>Capacidades que quisieran tener (top 3):</t>
  </si>
  <si>
    <t>Riesgo de churn / señales de alerta:</t>
  </si>
  <si>
    <t>¿Existe interés en IA / automatización?:</t>
  </si>
  <si>
    <t>Expectativa del cliente para Gen Next:</t>
  </si>
  <si>
    <t>LEVANTAMIENTO DE MESA DE SERVICIOS — SURA VENTA DIGITAL</t>
  </si>
  <si>
    <t>Venta Digital</t>
  </si>
  <si>
    <r>
      <rPr>
        <b/>
        <sz val="11"/>
        <color rgb="FF1A1A1A"/>
        <rFont val="Calibri Light"/>
      </rPr>
      <t>Gestión de la Fuerza Laboral:</t>
    </r>
    <r>
      <rPr>
        <sz val="11"/>
        <color rgb="FF1A1A1A"/>
        <rFont val="Calibri Light"/>
      </rPr>
      <t xml:space="preserve"> Headcount, perfiles, competencias</t>
    </r>
  </si>
  <si>
    <r>
      <rPr>
        <b/>
        <sz val="11"/>
        <color rgb="FF1A1A1A"/>
        <rFont val="Calibri Light"/>
      </rPr>
      <t>Gestión del Conocimiento</t>
    </r>
    <r>
      <rPr>
        <sz val="11"/>
        <color rgb="FF1A1A1A"/>
        <rFont val="Calibri Light"/>
      </rPr>
      <t>: KB (Knowledge Base), documentación, onboarding</t>
    </r>
  </si>
  <si>
    <r>
      <rPr>
        <b/>
        <sz val="11"/>
        <color rgb="FF1A1A1A"/>
        <rFont val="Calibri Light"/>
      </rPr>
      <t xml:space="preserve">Gestión del Talento: </t>
    </r>
    <r>
      <rPr>
        <sz val="11"/>
        <color rgb="FF1A1A1A"/>
        <rFont val="Calibri Light"/>
      </rPr>
      <t>Rotación, desarrollo, retención</t>
    </r>
  </si>
  <si>
    <r>
      <rPr>
        <b/>
        <sz val="11"/>
        <color rgb="FF1A1A1A"/>
        <rFont val="Calibri Light"/>
      </rPr>
      <t xml:space="preserve">Gestión del Desempeño: </t>
    </r>
    <r>
      <rPr>
        <sz val="11"/>
        <color rgb="FF1A1A1A"/>
        <rFont val="Calibri Light"/>
      </rPr>
      <t>Metas individuales, feedback, KPIs de agente</t>
    </r>
  </si>
  <si>
    <r>
      <rPr>
        <b/>
        <sz val="11"/>
        <color rgb="FF1A1A1A"/>
        <rFont val="Calibri Light"/>
      </rPr>
      <t xml:space="preserve">Cultura de Servicio: </t>
    </r>
    <r>
      <rPr>
        <sz val="11"/>
        <color rgb="FF1A1A1A"/>
        <rFont val="Calibri Light"/>
      </rPr>
      <t>Orientación al usuario, empatía, NPS (Net Promoter Score) interno</t>
    </r>
  </si>
  <si>
    <r>
      <rPr>
        <b/>
        <sz val="11"/>
        <color rgb="FF1A1A1A"/>
        <rFont val="Calibri Light"/>
      </rPr>
      <t>Gestión de Incidentes:</t>
    </r>
    <r>
      <rPr>
        <sz val="11"/>
        <color rgb="FF1A1A1A"/>
        <rFont val="Calibri Light"/>
      </rPr>
      <t xml:space="preserve"> Proceso, tiempos, escalamiento</t>
    </r>
  </si>
  <si>
    <r>
      <rPr>
        <b/>
        <sz val="11"/>
        <color rgb="FF1A1A1A"/>
        <rFont val="Calibri Light"/>
      </rPr>
      <t xml:space="preserve">Gestión de Requerimientos: </t>
    </r>
    <r>
      <rPr>
        <sz val="11"/>
        <color rgb="FF1A1A1A"/>
        <rFont val="Calibri Light"/>
      </rPr>
      <t>Catálogo de servicios, flujos</t>
    </r>
  </si>
  <si>
    <r>
      <rPr>
        <b/>
        <sz val="11"/>
        <color rgb="FF1A1A1A"/>
        <rFont val="Calibri Light"/>
      </rPr>
      <t>Gestión de Problemas</t>
    </r>
    <r>
      <rPr>
        <sz val="11"/>
        <color rgb="FF1A1A1A"/>
        <rFont val="Calibri Light"/>
      </rPr>
      <t>: RCA (Análisis de Causa Raíz
), errores conocidos, KEDB (Known Error Database)</t>
    </r>
  </si>
  <si>
    <r>
      <rPr>
        <b/>
        <sz val="11"/>
        <color rgb="FF1A1A1A"/>
        <rFont val="Calibri Light"/>
      </rPr>
      <t xml:space="preserve">Gestión de Cambios: </t>
    </r>
    <r>
      <rPr>
        <sz val="11"/>
        <color rgb="FF1A1A1A"/>
        <rFont val="Calibri Light"/>
      </rPr>
      <t>CAB (Change Advisory Board), RFC (Solicitud de Cambio), ventanas de mantenimiento</t>
    </r>
  </si>
  <si>
    <r>
      <rPr>
        <b/>
        <sz val="11"/>
        <color rgb="FF1A1A1A"/>
        <rFont val="Calibri Light"/>
      </rPr>
      <t>Gestión de la Configuración:</t>
    </r>
    <r>
      <rPr>
        <sz val="11"/>
        <color rgb="FF1A1A1A"/>
        <rFont val="Calibri Light"/>
      </rPr>
      <t xml:space="preserve"> CMDB (Configuration Management Database), assets, CIs (Elementos de Configuración)</t>
    </r>
  </si>
  <si>
    <r>
      <rPr>
        <b/>
        <sz val="11"/>
        <color rgb="FF1A1A1A"/>
        <rFont val="Calibri Light"/>
      </rPr>
      <t xml:space="preserve">Monitoreo y Eventos: </t>
    </r>
    <r>
      <rPr>
        <sz val="11"/>
        <color rgb="FF1A1A1A"/>
        <rFont val="Calibri Light"/>
      </rPr>
      <t>Alertas, observabilidad, integración</t>
    </r>
  </si>
  <si>
    <r>
      <rPr>
        <b/>
        <sz val="11"/>
        <color rgb="FF1A1A1A"/>
        <rFont val="Calibri Light"/>
      </rPr>
      <t xml:space="preserve">Mesa de Servicio (Service Desk): </t>
    </r>
    <r>
      <rPr>
        <sz val="11"/>
        <color rgb="FF1A1A1A"/>
        <rFont val="Calibri Light"/>
      </rPr>
      <t>Canal único, autoservicio, chatbot</t>
    </r>
  </si>
  <si>
    <r>
      <rPr>
        <b/>
        <sz val="11"/>
        <color rgb="FF1A1A1A"/>
        <rFont val="Calibri Light"/>
      </rPr>
      <t xml:space="preserve">Gestión de Proveedores: </t>
    </r>
    <r>
      <rPr>
        <sz val="11"/>
        <color rgb="FF1A1A1A"/>
        <rFont val="Calibri Light"/>
      </rPr>
      <t>SLAs (Acuerdo de nivel de servicio) tercerizados, contratos, evaluación</t>
    </r>
  </si>
  <si>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</si>
  <si>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r>
      <rPr>
        <b/>
        <sz val="11"/>
        <color rgb="FF1A1A1A"/>
        <rFont val="Calibri Light"/>
      </rPr>
      <t>Gestión de Capacidad y Disponibilidad:</t>
    </r>
    <r>
      <rPr>
        <sz val="11"/>
        <color rgb="FF1A1A1A"/>
        <rFont val="Calibri Light"/>
      </rPr>
      <t xml:space="preserve"> Picos, contingencia</t>
    </r>
  </si>
  <si>
    <r>
      <rPr>
        <b/>
        <sz val="11"/>
        <color rgb="FF1A1A1A"/>
        <rFont val="Calibri Light"/>
      </rPr>
      <t>Mejora Continua:</t>
    </r>
    <r>
      <rPr>
        <sz val="11"/>
        <color rgb="FF1A1A1A"/>
        <rFont val="Calibri Light"/>
      </rPr>
      <t xml:space="preserve">  Ciclos PDCA (Planificar, Hacer, Comprobar y Actuar), retros, backlogs de mejora</t>
    </r>
  </si>
  <si>
    <r>
      <rPr>
        <b/>
        <sz val="11"/>
        <color rgb="FF1A1A1A"/>
        <rFont val="Calibri Light"/>
      </rPr>
      <t xml:space="preserve">Medición y Reporte: </t>
    </r>
    <r>
      <rPr>
        <sz val="11"/>
        <color rgb="FF1A1A1A"/>
        <rFont val="Calibri Light"/>
      </rPr>
      <t>Dashboards, informes ejecutivos, tendencias</t>
    </r>
  </si>
  <si>
    <t>ERP (Enterprise resource planning) / SAP (System Applications and Products in Data Processing)</t>
  </si>
  <si>
    <t xml:space="preserve">  ⑤ EXPERIENCIA DEL USUARIO — XLA (Acuerdos de Nivel de Experiencia) / DEX (Experiencia Digital del Empleado)</t>
  </si>
  <si>
    <t>Clima laboral, percepción del equipo (1-5):</t>
  </si>
  <si>
    <t>Telefonía / IVR (Respuesta de voz interactiva) / Call Center</t>
  </si>
  <si>
    <t>Expectativa del cliente para una mesa de Servicio de Nueva Generación:</t>
  </si>
  <si>
    <t>LEVANTAMIENTO DE MESA DE SERVICIOS — SURA TORRE CONTROL</t>
  </si>
  <si>
    <t>Torre de Control</t>
  </si>
  <si>
    <t>LEVANTAMIENTO DE MESA DE SERVICIOS — SURA MESA 4</t>
  </si>
  <si>
    <t>Mesa 4</t>
  </si>
  <si>
    <t>LEVANTAMIENTO DE MESA DE SERVICIOS — BCO GIOTI 1</t>
  </si>
  <si>
    <t>GIOTI 1</t>
  </si>
  <si>
    <t>LEVANTAMIENTO DE MESA DE SERVICIOS — BCO GIOTI 2</t>
  </si>
  <si>
    <t>GIOTI 2</t>
  </si>
  <si>
    <t>LEVANTAMIENTO DE MESA DE SERVICIOS — BCO GIOTI 3</t>
  </si>
  <si>
    <t>GIOTI 3</t>
  </si>
  <si>
    <t>LEVANTAMIENTO DE MESA DE SERVICIOS — BCO GIOTI 4</t>
  </si>
  <si>
    <t>GIOTI 4</t>
  </si>
  <si>
    <t>TABLA 1 — MADUREZ NUMÉRICA (N0-N5)</t>
  </si>
  <si>
    <t>Mesa</t>
  </si>
  <si>
    <t>Nivel Madurez (texto)</t>
  </si>
  <si>
    <t>Madurez Numérica (0-5)</t>
  </si>
  <si>
    <t>Meta (N3)</t>
  </si>
  <si>
    <t>SURA Cotiz.</t>
  </si>
  <si>
    <t>SURA V.Dig.</t>
  </si>
  <si>
    <t>SURA Torre</t>
  </si>
  <si>
    <t>SURA Mesa4</t>
  </si>
  <si>
    <t>BCO Gioti1</t>
  </si>
  <si>
    <t>BCO Gioti2</t>
  </si>
  <si>
    <t>BCO Gioti3</t>
  </si>
  <si>
    <t>BCO Gioti4</t>
  </si>
  <si>
    <t>TABLA 2 — SCORE PRÁCTICAS POR DIMENSIÓN (%)</t>
  </si>
  <si>
    <t>D1 Org/Personas</t>
  </si>
  <si>
    <t>D2 Info/Tecnología</t>
  </si>
  <si>
    <t>D3 Socios/Proveed.</t>
  </si>
  <si>
    <t>D4 Valor/Mejora</t>
  </si>
  <si>
    <t>Score Global</t>
  </si>
  <si>
    <t>TABLA 3 — DOLORES ACTIVOS POR MESA</t>
  </si>
  <si>
    <t>D1 Rotación</t>
  </si>
  <si>
    <t>D2 SLAs</t>
  </si>
  <si>
    <t>D3 Autoservicio</t>
  </si>
  <si>
    <t>D4 Herramientas</t>
  </si>
  <si>
    <t>D5 NPS bajo</t>
  </si>
  <si>
    <t>D6 Escalamientos</t>
  </si>
  <si>
    <t>D7 Sin dashboard</t>
  </si>
  <si>
    <t>Total dolores</t>
  </si>
  <si>
    <t>Total por dolor (todas mesas)</t>
  </si>
  <si>
    <t>TABLA 4 — RADAR SURA vs BCO — PROMEDIO DIMENSIONES</t>
  </si>
  <si>
    <t>Dimensión</t>
  </si>
  <si>
    <t>SURA (prom)</t>
  </si>
  <si>
    <t>BCO (prom)</t>
  </si>
  <si>
    <t>Meta (100%)</t>
  </si>
  <si>
    <t>TABLA 5 — KPI BENCHMARK INDUSTRIA vs MESAS</t>
  </si>
  <si>
    <t>KPI</t>
  </si>
  <si>
    <t>Benchmark Industria</t>
  </si>
  <si>
    <t>Objetivo Gen Next</t>
  </si>
  <si>
    <t>Promedio Mesas Actuales</t>
  </si>
  <si>
    <t>FCR (%)</t>
  </si>
  <si>
    <t>Rotación anual (%)</t>
  </si>
  <si>
    <t>% Autoservicio</t>
  </si>
  <si>
    <t>Costo/ticket (USD)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</si>
</sst>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yyyy\-mm\-dd;@"/>
  </numFmts>
  <fonts count="43">
    <font>
      <sz val="11"/>
      <color theme="1"/>
      <name val="Calibri"/>
      <family val="2"/>
      <charset val="1"/>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4"/>
      <color rgb="FF0072BC"/>
      <name val="Calibri Light"/>
      <family val="2"/>
    </font>
    <font>
      <sz val="11"/>
      <color rgb="FF017490"/>
      <name val="Calibri Light"/>
      <family val="2"/>
    </font>
    <font>
      <b/>
      <sz val="13"/>
      <color rgb="FFFFFFFF"/>
      <name val="Calibri Light"/>
      <family val="2"/>
    </font>
    <font>
      <sz val="11"/>
      <color rgb="FFFFFFFF"/>
      <name val="Calibri Light"/>
      <family val="2"/>
    </font>
    <font>
      <sz val="11"/>
      <name val="Calibri Light"/>
      <family val="2"/>
    </font>
    <font>
      <b/>
      <sz val="12"/>
      <color rgb="FF1A1A1A"/>
      <name val="Calibri Light"/>
      <family val="2"/>
    </font>
    <font>
      <b/>
      <sz val="12"/>
      <color rgb="FF017490"/>
      <name val="Calibri Light"/>
      <family val="2"/>
    </font>
    <font>
      <b/>
      <sz val="12"/>
      <color rgb="FFC0392B"/>
      <name val="Calibri Light"/>
      <family val="2"/>
    </font>
    <font>
      <b/>
      <sz val="14"/>
      <color rgb="FF017490"/>
      <name val="Calibri Light"/>
      <family val="2"/>
    </font>
    <font>
      <b/>
      <sz val="14"/>
      <color rgb="FFC0392B"/>
      <name val="Calibri Light"/>
      <family val="2"/>
    </font>
    <font>
      <b/>
      <sz val="14"/>
      <color rgb="FF1F7A4D"/>
      <name val="Calibri Light"/>
      <family val="2"/>
    </font>
    <font>
      <b/>
      <sz val="14"/>
      <color rgb="FF132346"/>
      <name val="Calibri Light"/>
      <family val="2"/>
    </font>
    <font>
      <i/>
      <sz val="10"/>
      <color rgb="FF888888"/>
      <name val="Calibri Light"/>
      <family val="2"/>
    </font>
    <font>
      <b/>
      <sz val="11"/>
      <name val="Calibri Light"/>
      <family val="2"/>
    </font>
    <font>
      <b/>
      <sz val="12"/>
      <color rgb="FF132346"/>
      <name val="Calibri Light"/>
      <family val="2"/>
    </font>
    <font>
      <i/>
      <sz val="11"/>
      <name val="Calibri Light"/>
      <family val="2"/>
    </font>
    <font>
      <b/>
      <sz val="13"/>
      <color rgb="FF017490"/>
      <name val="Calibri Light"/>
      <family val="2"/>
    </font>
    <font>
      <b/>
      <sz val="13"/>
      <color rgb="FFC0392B"/>
      <name val="Calibri Light"/>
      <family val="2"/>
    </font>
    <font>
      <b/>
      <sz val="13"/>
      <color rgb="FFD4A017"/>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s>
  <fills count="16">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s>
  <borders count="38">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s>
  <cellStyleXfs count="2">
    <xf numFmtId="0" fontId="0" fillId="0" borderId="0"/>
    <xf numFmtId="0" fontId="1" fillId="0" borderId="0"/>
  </cellStyleXfs>
  <cellXfs count="179">
    <xf numFmtId="0" fontId="0" fillId="0" borderId="0" xfId="0"/>
    <xf numFmtId="0" fontId="2" fillId="0" borderId="0" xfId="0" applyFont="1"/>
    <xf numFmtId="0" fontId="6" fillId="0" borderId="8" xfId="0" applyFont="1" applyBorder="1" applyAlignment="1">
      <alignment horizontal="right" vertical="center"/>
    </xf>
    <xf numFmtId="0" fontId="7" fillId="0" borderId="11" xfId="0" applyFont="1" applyBorder="1" applyAlignment="1">
      <alignment horizontal="left" vertical="center"/>
    </xf>
    <xf numFmtId="0" fontId="2" fillId="0" borderId="11" xfId="0" applyFont="1" applyBorder="1"/>
    <xf numFmtId="0" fontId="7" fillId="0" borderId="1" xfId="0" applyFont="1" applyBorder="1" applyAlignment="1">
      <alignment horizontal="left" vertical="center" wrapText="1"/>
    </xf>
    <xf numFmtId="0" fontId="8" fillId="3" borderId="1"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0" xfId="0" applyFont="1" applyAlignment="1">
      <alignment horizontal="center" vertical="center"/>
    </xf>
    <xf numFmtId="0" fontId="10" fillId="14" borderId="3" xfId="1" applyFont="1" applyFill="1" applyBorder="1" applyAlignment="1">
      <alignment horizontal="center" vertical="center"/>
    </xf>
    <xf numFmtId="0" fontId="11" fillId="0" borderId="3" xfId="1" applyFont="1" applyBorder="1" applyAlignment="1">
      <alignment horizontal="center" vertical="center"/>
    </xf>
    <xf numFmtId="0" fontId="11" fillId="0" borderId="0" xfId="1" applyFont="1"/>
    <xf numFmtId="49" fontId="11" fillId="0" borderId="3" xfId="1" applyNumberFormat="1" applyFont="1" applyBorder="1" applyAlignment="1">
      <alignment horizontal="center" vertical="center"/>
    </xf>
    <xf numFmtId="0" fontId="12" fillId="4" borderId="1" xfId="0" applyFont="1" applyFill="1" applyBorder="1" applyAlignment="1">
      <alignment horizontal="center" vertical="center"/>
    </xf>
    <xf numFmtId="0" fontId="6" fillId="4" borderId="1" xfId="0" applyFont="1" applyFill="1" applyBorder="1" applyAlignment="1">
      <alignment horizontal="left" vertical="center"/>
    </xf>
    <xf numFmtId="0" fontId="13"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12" fillId="5" borderId="1" xfId="0" applyFont="1" applyFill="1" applyBorder="1" applyAlignment="1">
      <alignment horizontal="center" vertical="center"/>
    </xf>
    <xf numFmtId="0" fontId="6" fillId="5" borderId="1" xfId="0" applyFont="1" applyFill="1" applyBorder="1" applyAlignment="1">
      <alignment horizontal="left" vertical="center"/>
    </xf>
    <xf numFmtId="0" fontId="13"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6"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8"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6" fillId="0" borderId="1" xfId="0" applyFont="1" applyBorder="1" applyAlignment="1">
      <alignment horizontal="center" vertical="center"/>
    </xf>
    <xf numFmtId="0" fontId="8"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8"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6" fillId="11" borderId="1" xfId="0" applyFont="1" applyFill="1" applyBorder="1" applyAlignment="1">
      <alignment horizontal="center" vertical="center"/>
    </xf>
    <xf numFmtId="0" fontId="7" fillId="11" borderId="1" xfId="0" applyFont="1" applyFill="1" applyBorder="1" applyAlignment="1">
      <alignment horizontal="center" vertical="center"/>
    </xf>
    <xf numFmtId="0" fontId="8"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7" fillId="4" borderId="1" xfId="0" applyFont="1" applyFill="1" applyBorder="1" applyAlignment="1">
      <alignment horizontal="center" vertical="center"/>
    </xf>
    <xf numFmtId="164" fontId="18" fillId="4" borderId="1" xfId="0" applyNumberFormat="1" applyFont="1" applyFill="1" applyBorder="1" applyAlignment="1">
      <alignment horizontal="center" vertical="center"/>
    </xf>
    <xf numFmtId="164" fontId="7" fillId="4" borderId="1" xfId="0" applyNumberFormat="1" applyFont="1" applyFill="1" applyBorder="1" applyAlignment="1">
      <alignment horizontal="center" vertical="center"/>
    </xf>
    <xf numFmtId="3" fontId="7" fillId="4" borderId="1" xfId="0" applyNumberFormat="1" applyFont="1" applyFill="1" applyBorder="1" applyAlignment="1">
      <alignment horizontal="center" vertical="center"/>
    </xf>
    <xf numFmtId="3" fontId="19" fillId="4" borderId="1" xfId="0" applyNumberFormat="1" applyFont="1" applyFill="1" applyBorder="1" applyAlignment="1">
      <alignment horizontal="center" vertical="center"/>
    </xf>
    <xf numFmtId="0" fontId="7" fillId="0" borderId="1" xfId="0" applyFont="1" applyBorder="1" applyAlignment="1">
      <alignment horizontal="center" vertical="center"/>
    </xf>
    <xf numFmtId="0" fontId="17" fillId="5" borderId="1" xfId="0" applyFont="1" applyFill="1" applyBorder="1" applyAlignment="1">
      <alignment horizontal="center" vertical="center"/>
    </xf>
    <xf numFmtId="164" fontId="18" fillId="5" borderId="1" xfId="0" applyNumberFormat="1" applyFont="1" applyFill="1" applyBorder="1" applyAlignment="1">
      <alignment horizontal="center" vertical="center"/>
    </xf>
    <xf numFmtId="164" fontId="7" fillId="5" borderId="1" xfId="0" applyNumberFormat="1" applyFont="1" applyFill="1" applyBorder="1" applyAlignment="1">
      <alignment horizontal="center" vertical="center"/>
    </xf>
    <xf numFmtId="3" fontId="7" fillId="5" borderId="1" xfId="0" applyNumberFormat="1" applyFont="1" applyFill="1" applyBorder="1" applyAlignment="1">
      <alignment horizontal="center" vertical="center"/>
    </xf>
    <xf numFmtId="3" fontId="19" fillId="5" borderId="1" xfId="0" applyNumberFormat="1" applyFont="1" applyFill="1" applyBorder="1" applyAlignment="1">
      <alignment horizontal="center" vertical="center"/>
    </xf>
    <xf numFmtId="164" fontId="20" fillId="0" borderId="1" xfId="0" applyNumberFormat="1" applyFont="1" applyBorder="1" applyAlignment="1">
      <alignment horizontal="center" vertical="center"/>
    </xf>
    <xf numFmtId="164" fontId="21" fillId="0" borderId="1" xfId="0" applyNumberFormat="1" applyFont="1" applyBorder="1" applyAlignment="1">
      <alignment horizontal="center" vertical="center"/>
    </xf>
    <xf numFmtId="164" fontId="22" fillId="0" borderId="1" xfId="0" applyNumberFormat="1" applyFont="1" applyBorder="1" applyAlignment="1">
      <alignment horizontal="center" vertical="center"/>
    </xf>
    <xf numFmtId="3" fontId="23" fillId="0" borderId="1" xfId="0" applyNumberFormat="1" applyFont="1" applyBorder="1" applyAlignment="1">
      <alignment horizontal="center" vertical="center"/>
    </xf>
    <xf numFmtId="0" fontId="25" fillId="4" borderId="1" xfId="0" applyFont="1" applyFill="1" applyBorder="1" applyAlignment="1">
      <alignment horizontal="left" vertical="center"/>
    </xf>
    <xf numFmtId="0" fontId="26" fillId="4" borderId="1" xfId="0" applyFont="1" applyFill="1" applyBorder="1" applyAlignment="1">
      <alignment horizontal="center" vertical="center"/>
    </xf>
    <xf numFmtId="0" fontId="27" fillId="4" borderId="1" xfId="0" applyFont="1" applyFill="1" applyBorder="1" applyAlignment="1">
      <alignment horizontal="left" vertical="center" wrapText="1"/>
    </xf>
    <xf numFmtId="164" fontId="28" fillId="4" borderId="1" xfId="0" applyNumberFormat="1" applyFont="1" applyFill="1" applyBorder="1" applyAlignment="1">
      <alignment horizontal="center" vertical="center"/>
    </xf>
    <xf numFmtId="0" fontId="16" fillId="4" borderId="1" xfId="0" applyFont="1" applyFill="1" applyBorder="1" applyAlignment="1">
      <alignment horizontal="left" vertical="center" wrapText="1"/>
    </xf>
    <xf numFmtId="0" fontId="25" fillId="5" borderId="1" xfId="0" applyFont="1" applyFill="1" applyBorder="1" applyAlignment="1">
      <alignment horizontal="left" vertical="center"/>
    </xf>
    <xf numFmtId="0" fontId="26" fillId="5" borderId="1" xfId="0" applyFont="1" applyFill="1" applyBorder="1" applyAlignment="1">
      <alignment horizontal="center" vertical="center"/>
    </xf>
    <xf numFmtId="0" fontId="27" fillId="5" borderId="1" xfId="0" applyFont="1" applyFill="1" applyBorder="1" applyAlignment="1">
      <alignment horizontal="left" vertical="center" wrapText="1"/>
    </xf>
    <xf numFmtId="164" fontId="28" fillId="5" borderId="1" xfId="0" applyNumberFormat="1" applyFont="1" applyFill="1" applyBorder="1" applyAlignment="1">
      <alignment horizontal="center" vertical="center"/>
    </xf>
    <xf numFmtId="0" fontId="16" fillId="5" borderId="1" xfId="0" applyFont="1" applyFill="1" applyBorder="1" applyAlignment="1">
      <alignment horizontal="left" vertical="center" wrapText="1"/>
    </xf>
    <xf numFmtId="0" fontId="29" fillId="4" borderId="1" xfId="0" applyFont="1" applyFill="1" applyBorder="1" applyAlignment="1">
      <alignment horizontal="center" vertical="center"/>
    </xf>
    <xf numFmtId="0" fontId="30" fillId="4" borderId="1" xfId="0" applyFont="1" applyFill="1" applyBorder="1" applyAlignment="1">
      <alignment horizontal="center" vertical="center"/>
    </xf>
    <xf numFmtId="3" fontId="29" fillId="0" borderId="1" xfId="0" applyNumberFormat="1" applyFont="1" applyBorder="1" applyAlignment="1">
      <alignment horizontal="center" vertical="center"/>
    </xf>
    <xf numFmtId="0" fontId="29" fillId="5" borderId="1" xfId="0" applyFont="1" applyFill="1" applyBorder="1" applyAlignment="1">
      <alignment horizontal="center" vertical="center"/>
    </xf>
    <xf numFmtId="0" fontId="30" fillId="5" borderId="1" xfId="0" applyFont="1" applyFill="1" applyBorder="1" applyAlignment="1">
      <alignment horizontal="center" vertical="center"/>
    </xf>
    <xf numFmtId="0" fontId="6" fillId="0" borderId="1" xfId="0" applyFont="1" applyBorder="1" applyAlignment="1">
      <alignment horizontal="right" vertical="center"/>
    </xf>
    <xf numFmtId="0" fontId="23" fillId="12" borderId="1" xfId="0" applyFont="1" applyFill="1" applyBorder="1" applyAlignment="1">
      <alignment horizontal="center" vertical="center"/>
    </xf>
    <xf numFmtId="0" fontId="24" fillId="0" borderId="0" xfId="0" applyFont="1" applyAlignment="1">
      <alignment horizontal="left" vertical="center"/>
    </xf>
    <xf numFmtId="0" fontId="33" fillId="5" borderId="1" xfId="0" applyFont="1" applyFill="1" applyBorder="1" applyAlignment="1">
      <alignment horizontal="center" vertical="center"/>
    </xf>
    <xf numFmtId="0" fontId="33" fillId="4" borderId="1" xfId="0" applyFont="1" applyFill="1" applyBorder="1" applyAlignment="1">
      <alignment horizontal="center" vertical="center"/>
    </xf>
    <xf numFmtId="0" fontId="20" fillId="0" borderId="1" xfId="0" applyFont="1" applyBorder="1" applyAlignment="1">
      <alignment horizontal="center" vertical="center"/>
    </xf>
    <xf numFmtId="164" fontId="34" fillId="0" borderId="1" xfId="0" applyNumberFormat="1" applyFont="1" applyBorder="1" applyAlignment="1">
      <alignment horizontal="center" vertical="center"/>
    </xf>
    <xf numFmtId="0" fontId="7" fillId="4" borderId="1" xfId="0" applyFont="1" applyFill="1" applyBorder="1" applyAlignment="1">
      <alignment horizontal="left" vertical="center"/>
    </xf>
    <xf numFmtId="0" fontId="7"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1" xfId="0" applyFont="1" applyFill="1" applyBorder="1" applyAlignment="1">
      <alignment horizontal="center" vertical="center"/>
    </xf>
    <xf numFmtId="9" fontId="7" fillId="4" borderId="1" xfId="0" applyNumberFormat="1" applyFont="1" applyFill="1" applyBorder="1" applyAlignment="1">
      <alignment horizontal="center" vertical="center"/>
    </xf>
    <xf numFmtId="0" fontId="19" fillId="4" borderId="1" xfId="0" applyFont="1" applyFill="1" applyBorder="1" applyAlignment="1">
      <alignment horizontal="center" vertical="center"/>
    </xf>
    <xf numFmtId="3" fontId="7" fillId="0" borderId="1" xfId="0" applyNumberFormat="1" applyFont="1" applyBorder="1" applyAlignment="1">
      <alignment horizontal="center" vertical="center"/>
    </xf>
    <xf numFmtId="0" fontId="19" fillId="5" borderId="1" xfId="0" applyFont="1" applyFill="1" applyBorder="1" applyAlignment="1">
      <alignment horizontal="center" vertical="center"/>
    </xf>
    <xf numFmtId="0" fontId="6" fillId="4"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33" fillId="0" borderId="0" xfId="0" applyFont="1"/>
    <xf numFmtId="0" fontId="6" fillId="0" borderId="0" xfId="0" applyFont="1"/>
    <xf numFmtId="9" fontId="2" fillId="0" borderId="0" xfId="0" applyNumberFormat="1" applyFont="1"/>
    <xf numFmtId="165" fontId="2" fillId="0" borderId="0" xfId="0" applyNumberFormat="1" applyFont="1"/>
    <xf numFmtId="0" fontId="2" fillId="0" borderId="15" xfId="0" applyFont="1" applyBorder="1"/>
    <xf numFmtId="0" fontId="2" fillId="0" borderId="16" xfId="0" applyFont="1" applyBorder="1"/>
    <xf numFmtId="0" fontId="6" fillId="0" borderId="17" xfId="0" applyFont="1" applyBorder="1" applyAlignment="1">
      <alignment horizontal="right" vertical="center"/>
    </xf>
    <xf numFmtId="0" fontId="6" fillId="0" borderId="18" xfId="0" applyFont="1" applyBorder="1" applyAlignment="1">
      <alignment horizontal="right" vertical="center"/>
    </xf>
    <xf numFmtId="0" fontId="2" fillId="0" borderId="21" xfId="0" applyFont="1" applyBorder="1"/>
    <xf numFmtId="0" fontId="2" fillId="0" borderId="26" xfId="0" applyFont="1" applyBorder="1"/>
    <xf numFmtId="0" fontId="2" fillId="0" borderId="27" xfId="0" applyFont="1" applyBorder="1"/>
    <xf numFmtId="0" fontId="6" fillId="0" borderId="27" xfId="0" applyFont="1" applyBorder="1" applyAlignment="1">
      <alignment horizontal="right" vertical="center"/>
    </xf>
    <xf numFmtId="0" fontId="6" fillId="0" borderId="29" xfId="0" applyFont="1" applyBorder="1" applyAlignment="1">
      <alignment horizontal="right" vertical="center"/>
    </xf>
    <xf numFmtId="0" fontId="37" fillId="0" borderId="2" xfId="0" applyFont="1" applyBorder="1" applyAlignment="1">
      <alignment horizontal="left" vertical="center"/>
    </xf>
    <xf numFmtId="0" fontId="42" fillId="0" borderId="1" xfId="0" applyFont="1" applyBorder="1" applyAlignment="1">
      <alignment horizontal="left" vertical="center"/>
    </xf>
    <xf numFmtId="0" fontId="32" fillId="0" borderId="0" xfId="0" applyFont="1" applyAlignment="1">
      <alignment horizontal="center" vertical="center"/>
    </xf>
    <xf numFmtId="0" fontId="9" fillId="2" borderId="2" xfId="0" applyFont="1" applyFill="1" applyBorder="1" applyAlignment="1">
      <alignment horizontal="left" vertical="center"/>
    </xf>
    <xf numFmtId="0" fontId="7" fillId="0" borderId="2" xfId="0" applyFont="1" applyBorder="1" applyAlignment="1">
      <alignment horizontal="left" vertical="center"/>
    </xf>
    <xf numFmtId="0" fontId="7" fillId="0" borderId="37" xfId="0" applyFont="1" applyBorder="1" applyAlignment="1">
      <alignment horizontal="left" vertical="center"/>
    </xf>
    <xf numFmtId="0" fontId="9" fillId="9" borderId="2" xfId="0" applyFont="1" applyFill="1" applyBorder="1" applyAlignment="1">
      <alignment horizontal="left" vertical="center"/>
    </xf>
    <xf numFmtId="0" fontId="7" fillId="0" borderId="2" xfId="0" applyFont="1" applyBorder="1" applyAlignment="1">
      <alignment horizontal="left" vertical="center" wrapText="1"/>
    </xf>
    <xf numFmtId="0" fontId="10" fillId="14" borderId="3" xfId="1" applyFont="1" applyFill="1" applyBorder="1" applyAlignment="1">
      <alignment horizontal="center" vertical="center"/>
    </xf>
    <xf numFmtId="0" fontId="3" fillId="13" borderId="4" xfId="0" applyFont="1" applyFill="1" applyBorder="1" applyAlignment="1">
      <alignment horizontal="center" vertical="center"/>
    </xf>
    <xf numFmtId="0" fontId="3" fillId="13" borderId="5" xfId="0" applyFont="1" applyFill="1" applyBorder="1" applyAlignment="1">
      <alignment horizontal="center" vertical="center"/>
    </xf>
    <xf numFmtId="0" fontId="3" fillId="13" borderId="6"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8" xfId="0" applyFont="1" applyFill="1" applyBorder="1" applyAlignment="1">
      <alignment horizontal="center" vertical="center"/>
    </xf>
    <xf numFmtId="0" fontId="3" fillId="13" borderId="9" xfId="0" applyFont="1" applyFill="1" applyBorder="1" applyAlignment="1">
      <alignment horizontal="center" vertical="center"/>
    </xf>
    <xf numFmtId="0" fontId="4" fillId="0" borderId="4" xfId="0" applyFont="1" applyBorder="1" applyAlignment="1">
      <alignment horizontal="center" vertical="center"/>
    </xf>
    <xf numFmtId="0" fontId="4" fillId="0" borderId="10" xfId="0" applyFont="1" applyBorder="1" applyAlignment="1">
      <alignment horizontal="center" vertical="center"/>
    </xf>
    <xf numFmtId="0" fontId="5" fillId="0" borderId="6" xfId="0" applyFont="1" applyBorder="1" applyAlignment="1">
      <alignment horizontal="center" vertical="center"/>
    </xf>
    <xf numFmtId="0" fontId="5" fillId="0" borderId="0" xfId="0" applyFont="1" applyAlignment="1">
      <alignment horizontal="center" vertical="center"/>
    </xf>
    <xf numFmtId="0" fontId="11" fillId="0" borderId="3" xfId="1" applyFont="1" applyBorder="1" applyAlignment="1">
      <alignment horizontal="center" vertical="center" wrapText="1"/>
    </xf>
    <xf numFmtId="0" fontId="11" fillId="0" borderId="3" xfId="1" applyFont="1" applyBorder="1" applyAlignment="1">
      <alignment horizontal="center" vertical="center"/>
    </xf>
    <xf numFmtId="0" fontId="11" fillId="0" borderId="3" xfId="1" applyFont="1" applyBorder="1" applyAlignment="1">
      <alignment horizontal="left" vertical="center"/>
    </xf>
    <xf numFmtId="0" fontId="11" fillId="0" borderId="3" xfId="1" applyFont="1" applyBorder="1" applyAlignment="1">
      <alignment horizontal="left" vertical="center" wrapText="1"/>
    </xf>
    <xf numFmtId="0" fontId="11" fillId="0" borderId="14" xfId="1" applyFont="1" applyBorder="1" applyAlignment="1">
      <alignment horizontal="left" vertical="center" wrapText="1"/>
    </xf>
    <xf numFmtId="0" fontId="11" fillId="0" borderId="13" xfId="1" applyFont="1" applyBorder="1" applyAlignment="1">
      <alignment horizontal="left" vertical="center" wrapText="1"/>
    </xf>
    <xf numFmtId="14" fontId="11" fillId="0" borderId="12" xfId="1" applyNumberFormat="1" applyFont="1" applyBorder="1" applyAlignment="1">
      <alignment horizontal="center"/>
    </xf>
    <xf numFmtId="14" fontId="11" fillId="0" borderId="13" xfId="1" applyNumberFormat="1" applyFont="1" applyBorder="1" applyAlignment="1">
      <alignment horizontal="center"/>
    </xf>
    <xf numFmtId="14" fontId="11" fillId="0" borderId="3" xfId="1" applyNumberFormat="1" applyFont="1" applyBorder="1" applyAlignment="1">
      <alignment horizontal="left" vertical="center"/>
    </xf>
    <xf numFmtId="0" fontId="2" fillId="0" borderId="19" xfId="0" applyFont="1" applyBorder="1" applyAlignment="1">
      <alignment horizontal="center"/>
    </xf>
    <xf numFmtId="0" fontId="2" fillId="0" borderId="20" xfId="0" applyFont="1" applyBorder="1" applyAlignment="1">
      <alignment horizontal="center"/>
    </xf>
    <xf numFmtId="0" fontId="2" fillId="0" borderId="21" xfId="0" applyFont="1" applyBorder="1" applyAlignment="1">
      <alignment horizontal="center"/>
    </xf>
    <xf numFmtId="0" fontId="2" fillId="0" borderId="22" xfId="0" applyFont="1" applyBorder="1" applyAlignment="1">
      <alignment horizontal="center"/>
    </xf>
    <xf numFmtId="0" fontId="2" fillId="0" borderId="23" xfId="0" applyFont="1" applyBorder="1" applyAlignment="1">
      <alignment horizontal="center"/>
    </xf>
    <xf numFmtId="0" fontId="2" fillId="0" borderId="24" xfId="0" applyFont="1" applyBorder="1" applyAlignment="1">
      <alignment horizontal="center"/>
    </xf>
    <xf numFmtId="0" fontId="4" fillId="0" borderId="19" xfId="0" applyFont="1" applyBorder="1" applyAlignment="1">
      <alignment horizontal="center" vertical="center"/>
    </xf>
    <xf numFmtId="0" fontId="4" fillId="0" borderId="25" xfId="0" applyFont="1" applyBorder="1" applyAlignment="1">
      <alignment horizontal="center" vertical="center"/>
    </xf>
    <xf numFmtId="0" fontId="5" fillId="0" borderId="21" xfId="0" applyFont="1" applyBorder="1" applyAlignment="1">
      <alignment horizontal="center" vertical="center" wrapText="1"/>
    </xf>
    <xf numFmtId="0" fontId="5" fillId="0" borderId="0" xfId="0" applyFont="1" applyAlignment="1">
      <alignment horizontal="center" vertical="center" wrapText="1"/>
    </xf>
    <xf numFmtId="0" fontId="35" fillId="0" borderId="23" xfId="0" applyFont="1" applyBorder="1" applyAlignment="1">
      <alignment horizontal="center" vertical="center"/>
    </xf>
    <xf numFmtId="0" fontId="6" fillId="0" borderId="28" xfId="0" applyFont="1" applyBorder="1" applyAlignment="1">
      <alignment horizontal="center" vertical="center"/>
    </xf>
    <xf numFmtId="0" fontId="37" fillId="0" borderId="2" xfId="0" applyFont="1" applyBorder="1" applyAlignment="1">
      <alignment horizontal="left" vertical="center"/>
    </xf>
    <xf numFmtId="0" fontId="37" fillId="0" borderId="0" xfId="0" applyFont="1" applyAlignment="1">
      <alignment horizontal="left" vertical="center"/>
    </xf>
    <xf numFmtId="0" fontId="6" fillId="0" borderId="2" xfId="0" applyFont="1" applyBorder="1" applyAlignment="1">
      <alignment horizontal="left" vertical="center"/>
    </xf>
    <xf numFmtId="0" fontId="9" fillId="9" borderId="0" xfId="0" applyFont="1" applyFill="1" applyAlignment="1">
      <alignment horizontal="left" vertical="center"/>
    </xf>
    <xf numFmtId="0" fontId="24" fillId="0" borderId="0" xfId="0" applyFont="1" applyAlignment="1">
      <alignment horizontal="left" vertical="center" wrapText="1"/>
    </xf>
    <xf numFmtId="0" fontId="40" fillId="0" borderId="23" xfId="0" applyFont="1" applyBorder="1" applyAlignment="1">
      <alignment horizontal="center"/>
    </xf>
    <xf numFmtId="0" fontId="2" fillId="0" borderId="28" xfId="0" applyFont="1" applyBorder="1" applyAlignment="1">
      <alignment horizontal="center"/>
    </xf>
    <xf numFmtId="0" fontId="40" fillId="0" borderId="25" xfId="0" applyFont="1" applyBorder="1" applyAlignment="1">
      <alignment horizontal="center" wrapText="1"/>
    </xf>
    <xf numFmtId="0" fontId="2" fillId="0" borderId="0" xfId="0" applyFont="1" applyAlignment="1">
      <alignment horizontal="center"/>
    </xf>
    <xf numFmtId="0" fontId="4" fillId="0" borderId="20" xfId="0" applyFont="1" applyBorder="1" applyAlignment="1">
      <alignment horizontal="center" vertical="center"/>
    </xf>
    <xf numFmtId="0" fontId="38" fillId="0" borderId="21" xfId="0" applyFont="1" applyBorder="1" applyAlignment="1">
      <alignment horizontal="center"/>
    </xf>
    <xf numFmtId="0" fontId="38" fillId="0" borderId="0" xfId="0" applyFont="1" applyAlignment="1">
      <alignment horizontal="center"/>
    </xf>
    <xf numFmtId="0" fontId="38" fillId="0" borderId="22" xfId="0" applyFont="1" applyBorder="1" applyAlignment="1">
      <alignment horizontal="center"/>
    </xf>
    <xf numFmtId="0" fontId="2" fillId="0" borderId="30" xfId="0" applyFont="1" applyBorder="1" applyAlignment="1">
      <alignment horizontal="center"/>
    </xf>
    <xf numFmtId="0" fontId="2" fillId="0" borderId="31" xfId="0" applyFont="1" applyBorder="1" applyAlignment="1">
      <alignment horizontal="center"/>
    </xf>
    <xf numFmtId="0" fontId="2" fillId="0" borderId="18" xfId="0" applyFont="1" applyBorder="1" applyAlignment="1">
      <alignment horizontal="center"/>
    </xf>
    <xf numFmtId="0" fontId="2" fillId="0" borderId="34" xfId="0" applyFont="1" applyBorder="1" applyAlignment="1">
      <alignment horizontal="center"/>
    </xf>
    <xf numFmtId="0" fontId="2" fillId="0" borderId="35" xfId="0" applyFont="1" applyBorder="1" applyAlignment="1">
      <alignment horizontal="center"/>
    </xf>
    <xf numFmtId="0" fontId="40" fillId="0" borderId="31" xfId="0" applyFont="1" applyBorder="1" applyAlignment="1">
      <alignment horizontal="center" wrapText="1"/>
    </xf>
    <xf numFmtId="0" fontId="2" fillId="0" borderId="32" xfId="0" applyFont="1" applyBorder="1" applyAlignment="1">
      <alignment horizontal="center"/>
    </xf>
    <xf numFmtId="0" fontId="2" fillId="0" borderId="33" xfId="0" applyFont="1" applyBorder="1" applyAlignment="1">
      <alignment horizontal="center"/>
    </xf>
    <xf numFmtId="0" fontId="2" fillId="0" borderId="36" xfId="0" applyFont="1" applyBorder="1" applyAlignment="1">
      <alignment horizontal="center"/>
    </xf>
    <xf numFmtId="0" fontId="4" fillId="0" borderId="30" xfId="0" applyFont="1" applyBorder="1" applyAlignment="1">
      <alignment horizontal="center" vertical="center" wrapText="1"/>
    </xf>
    <xf numFmtId="0" fontId="4" fillId="0" borderId="31" xfId="0" applyFont="1" applyBorder="1" applyAlignment="1">
      <alignment horizontal="center" vertical="center" wrapText="1"/>
    </xf>
    <xf numFmtId="0" fontId="4" fillId="0" borderId="32" xfId="0" applyFont="1" applyBorder="1" applyAlignment="1">
      <alignment horizontal="center" vertical="center" wrapText="1"/>
    </xf>
    <xf numFmtId="0" fontId="38" fillId="0" borderId="18" xfId="0" applyFont="1" applyBorder="1" applyAlignment="1">
      <alignment horizontal="center"/>
    </xf>
    <xf numFmtId="0" fontId="38" fillId="0" borderId="33" xfId="0" applyFont="1" applyBorder="1" applyAlignment="1">
      <alignment horizontal="center"/>
    </xf>
    <xf numFmtId="0" fontId="40" fillId="0" borderId="34" xfId="0" applyFont="1" applyBorder="1" applyAlignment="1">
      <alignment horizontal="center"/>
    </xf>
    <xf numFmtId="0" fontId="8" fillId="15" borderId="0" xfId="0" applyFont="1" applyFill="1" applyAlignment="1">
      <alignment horizontal="left" vertical="center"/>
    </xf>
    <xf numFmtId="0" fontId="41" fillId="15" borderId="0" xfId="0" applyFont="1" applyFill="1" applyAlignment="1">
      <alignment horizontal="center" vertical="center"/>
    </xf>
    <xf numFmtId="0" fontId="9" fillId="15" borderId="2" xfId="0" applyFont="1" applyFill="1" applyBorder="1" applyAlignment="1">
      <alignment horizontal="left" vertical="center"/>
    </xf>
    <xf numFmtId="0" fontId="36" fillId="0" borderId="2" xfId="0" applyFont="1" applyBorder="1" applyAlignment="1">
      <alignment horizontal="left" vertical="center"/>
    </xf>
    <xf numFmtId="0" fontId="36" fillId="0" borderId="37" xfId="0" applyFont="1" applyBorder="1" applyAlignment="1">
      <alignment horizontal="left" vertical="center"/>
    </xf>
    <xf numFmtId="0" fontId="31" fillId="15" borderId="0" xfId="0" applyFont="1" applyFill="1" applyAlignment="1">
      <alignment horizontal="center" vertical="center"/>
    </xf>
    <xf numFmtId="166" fontId="7" fillId="0" borderId="2" xfId="0" applyNumberFormat="1" applyFont="1" applyBorder="1" applyAlignment="1">
      <alignment horizontal="left" vertical="center"/>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2" fillId="4" borderId="1" xfId="0" applyFont="1" applyFill="1" applyBorder="1" applyAlignment="1">
      <alignment horizontal="left" vertical="center" wrapText="1"/>
    </xf>
    <xf numFmtId="0" fontId="2" fillId="5" borderId="1" xfId="0" applyFont="1" applyFill="1" applyBorder="1" applyAlignment="1">
      <alignment horizontal="left" vertical="center" wrapText="1"/>
    </xf>
  </cellXfs>
  <cellStyles count="2">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s-CO" sz="1800" b="1" u="none" strike="noStrike">
                <a:solidFill>
                  <a:srgbClr val="000000"/>
                </a:solidFill>
                <a:uFillTx/>
                <a:latin typeface="Calibri"/>
              </a:rPr>
              <a:t>Nivel Madurez por Mesa (actual vs meta N3)</a:t>
            </a:r>
          </a:p>
        </c:rich>
      </c:tx>
      <c:overlay val="0"/>
      <c:spPr>
        <a:noFill/>
        <a:ln w="0">
          <a:noFill/>
        </a:ln>
      </c:spPr>
    </c:title>
    <c:autoTitleDeleted val="0"/>
    <c:plotArea>
      <c:layout/>
      <c:barChart>
        <c:barDir val="col"/>
        <c:grouping val="clustered"/>
        <c:varyColors val="0"/>
        <c:ser>
          <c:idx val="0"/>
          <c:order val="0"/>
          <c:tx>
            <c:strRef>
              <c:f>ChartData!$C$2</c:f>
              <c:strCache>
                <c:ptCount val="1"/>
                <c:pt idx="0">
                  <c:v>Madurez Numérica (0-5)</c:v>
                </c:pt>
              </c:strCache>
            </c:strRef>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ChartData!$A$3:$A$10</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ChartData!$C$3:$C$10</c:f>
              <c:numCache>
                <c:formatCode>General</c:formatCode>
                <c:ptCount val="8"/>
                <c:pt idx="0">
                  <c:v>4</c:v>
                </c:pt>
                <c:pt idx="1">
                  <c:v>1</c:v>
                </c:pt>
                <c:pt idx="2">
                  <c:v>0</c:v>
                </c:pt>
                <c:pt idx="3">
                  <c:v>0</c:v>
                </c:pt>
                <c:pt idx="4">
                  <c:v>3</c:v>
                </c:pt>
                <c:pt idx="5">
                  <c:v>0</c:v>
                </c:pt>
                <c:pt idx="6">
                  <c:v>0</c:v>
                </c:pt>
                <c:pt idx="7">
                  <c:v>0</c:v>
                </c:pt>
              </c:numCache>
            </c:numRef>
          </c:val>
          <c:extLst>
            <c:ext xmlns:c16="http://schemas.microsoft.com/office/drawing/2014/chart" uri="{C3380CC4-5D6E-409C-BE32-E72D297353CC}">
              <c16:uniqueId val="{00000000-8D86-4282-8312-DCDE41503982}"/>
            </c:ext>
          </c:extLst>
        </c:ser>
        <c:ser>
          <c:idx val="1"/>
          <c:order val="1"/>
          <c:tx>
            <c:strRef>
              <c:f>ChartData!$D$2</c:f>
              <c:strCache>
                <c:ptCount val="1"/>
                <c:pt idx="0">
                  <c:v>Meta (N3)</c:v>
                </c:pt>
              </c:strCache>
            </c:strRef>
          </c:tx>
          <c:spPr>
            <a:solidFill>
              <a:srgbClr val="D4A017"/>
            </a:solidFill>
            <a:ln w="12600">
              <a:solidFill>
                <a:srgbClr val="D4A017"/>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cat>
            <c:strRef>
              <c:f>ChartData!$A$3:$A$10</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ChartData!$D$3:$D$10</c:f>
              <c:numCache>
                <c:formatCode>General</c:formatCode>
                <c:ptCount val="8"/>
                <c:pt idx="0">
                  <c:v>3</c:v>
                </c:pt>
                <c:pt idx="1">
                  <c:v>3</c:v>
                </c:pt>
                <c:pt idx="2">
                  <c:v>3</c:v>
                </c:pt>
                <c:pt idx="3">
                  <c:v>3</c:v>
                </c:pt>
                <c:pt idx="4">
                  <c:v>3</c:v>
                </c:pt>
                <c:pt idx="5">
                  <c:v>3</c:v>
                </c:pt>
                <c:pt idx="6">
                  <c:v>3</c:v>
                </c:pt>
                <c:pt idx="7">
                  <c:v>3</c:v>
                </c:pt>
              </c:numCache>
            </c:numRef>
          </c:val>
          <c:extLst>
            <c:ext xmlns:c16="http://schemas.microsoft.com/office/drawing/2014/chart" uri="{C3380CC4-5D6E-409C-BE32-E72D297353CC}">
              <c16:uniqueId val="{00000001-8D86-4282-8312-DCDE41503982}"/>
            </c:ext>
          </c:extLst>
        </c:ser>
        <c:dLbls>
          <c:showLegendKey val="0"/>
          <c:showVal val="0"/>
          <c:showCatName val="0"/>
          <c:showSerName val="0"/>
          <c:showPercent val="0"/>
          <c:showBubbleSize val="0"/>
        </c:dLbls>
        <c:gapWidth val="150"/>
        <c:axId val="67104791"/>
        <c:axId val="43977224"/>
      </c:barChart>
      <c:catAx>
        <c:axId val="6710479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43977224"/>
        <c:crosses val="autoZero"/>
        <c:auto val="1"/>
        <c:lblAlgn val="ctr"/>
        <c:lblOffset val="100"/>
        <c:noMultiLvlLbl val="0"/>
      </c:catAx>
      <c:valAx>
        <c:axId val="43977224"/>
        <c:scaling>
          <c:orientation val="minMax"/>
          <c:max val="5"/>
          <c:min val="0"/>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67104791"/>
        <c:crosses val="autoZero"/>
        <c:crossBetween val="between"/>
        <c:majorUnit val="1"/>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s-CO" sz="1800" b="1" u="none" strike="noStrike">
                <a:solidFill>
                  <a:srgbClr val="000000"/>
                </a:solidFill>
                <a:uFillTx/>
                <a:latin typeface="Calibri"/>
              </a:rPr>
              <a:t>Score Global Prácticas ITIL (%)</a:t>
            </a:r>
          </a:p>
        </c:rich>
      </c:tx>
      <c:overlay val="0"/>
      <c:spPr>
        <a:noFill/>
        <a:ln w="0">
          <a:noFill/>
        </a:ln>
      </c:spPr>
    </c:title>
    <c:autoTitleDeleted val="0"/>
    <c:plotArea>
      <c:layout/>
      <c:barChart>
        <c:barDir val="bar"/>
        <c:grouping val="clustered"/>
        <c:varyColors val="0"/>
        <c:ser>
          <c:idx val="0"/>
          <c:order val="0"/>
          <c:tx>
            <c:strRef>
              <c:f>ChartData!$F$14</c:f>
              <c:strCache>
                <c:ptCount val="1"/>
                <c:pt idx="0">
                  <c:v>Score Global</c:v>
                </c:pt>
              </c:strCache>
            </c:strRef>
          </c:tx>
          <c:spPr>
            <a:solidFill>
              <a:srgbClr val="132346"/>
            </a:solidFill>
            <a:ln w="12600">
              <a:solidFill>
                <a:srgbClr val="13234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32346"/>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ChartData!$F$15:$F$22</c:f>
              <c:numCache>
                <c:formatCode>0%</c:formatCode>
                <c:ptCount val="8"/>
                <c:pt idx="0">
                  <c:v>0.5</c:v>
                </c:pt>
                <c:pt idx="1">
                  <c:v>0.17647058823529413</c:v>
                </c:pt>
                <c:pt idx="2">
                  <c:v>0</c:v>
                </c:pt>
                <c:pt idx="3">
                  <c:v>0</c:v>
                </c:pt>
                <c:pt idx="4">
                  <c:v>0.79411764705882348</c:v>
                </c:pt>
                <c:pt idx="5">
                  <c:v>0</c:v>
                </c:pt>
                <c:pt idx="6">
                  <c:v>0</c:v>
                </c:pt>
                <c:pt idx="7">
                  <c:v>0</c:v>
                </c:pt>
              </c:numCache>
            </c:numRef>
          </c:val>
          <c:extLst>
            <c:ext xmlns:c16="http://schemas.microsoft.com/office/drawing/2014/chart" uri="{C3380CC4-5D6E-409C-BE32-E72D297353CC}">
              <c16:uniqueId val="{00000000-4AF5-404D-876E-2978A7E7B30C}"/>
            </c:ext>
          </c:extLst>
        </c:ser>
        <c:dLbls>
          <c:showLegendKey val="0"/>
          <c:showVal val="0"/>
          <c:showCatName val="0"/>
          <c:showSerName val="0"/>
          <c:showPercent val="0"/>
          <c:showBubbleSize val="0"/>
        </c:dLbls>
        <c:gapWidth val="150"/>
        <c:axId val="28067435"/>
        <c:axId val="86757877"/>
      </c:barChart>
      <c:catAx>
        <c:axId val="28067435"/>
        <c:scaling>
          <c:orientation val="minMax"/>
        </c:scaling>
        <c:delete val="0"/>
        <c:axPos val="l"/>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86757877"/>
        <c:crosses val="autoZero"/>
        <c:auto val="1"/>
        <c:lblAlgn val="ctr"/>
        <c:lblOffset val="100"/>
        <c:noMultiLvlLbl val="0"/>
      </c:catAx>
      <c:valAx>
        <c:axId val="86757877"/>
        <c:scaling>
          <c:orientation val="minMax"/>
        </c:scaling>
        <c:delete val="0"/>
        <c:axPos val="b"/>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2806743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strRef>
              <c:f>ChartData!$C$2</c:f>
              <c:strCache>
                <c:ptCount val="1"/>
                <c:pt idx="0">
                  <c:v>Madurez Numérica (0-5)</c:v>
                </c:pt>
              </c:strCache>
            </c:strRef>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Calibri"/>
                  </a:defRPr>
                </a:pPr>
                <a:endParaRPr lang="es-CO"/>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ChartData!$A$3:$A$10</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ChartData!$C$3:$C$10</c:f>
              <c:numCache>
                <c:formatCode>General</c:formatCode>
                <c:ptCount val="8"/>
                <c:pt idx="0">
                  <c:v>4</c:v>
                </c:pt>
                <c:pt idx="1">
                  <c:v>1</c:v>
                </c:pt>
                <c:pt idx="2">
                  <c:v>0</c:v>
                </c:pt>
                <c:pt idx="3">
                  <c:v>0</c:v>
                </c:pt>
                <c:pt idx="4">
                  <c:v>3</c:v>
                </c:pt>
                <c:pt idx="5">
                  <c:v>0</c:v>
                </c:pt>
                <c:pt idx="6">
                  <c:v>0</c:v>
                </c:pt>
                <c:pt idx="7">
                  <c:v>0</c:v>
                </c:pt>
              </c:numCache>
            </c:numRef>
          </c:val>
          <c:extLst>
            <c:ext xmlns:c16="http://schemas.microsoft.com/office/drawing/2014/chart" uri="{C3380CC4-5D6E-409C-BE32-E72D297353CC}">
              <c16:uniqueId val="{00000000-AEBB-4919-91D5-4987453A6D20}"/>
            </c:ext>
          </c:extLst>
        </c:ser>
        <c:ser>
          <c:idx val="1"/>
          <c:order val="1"/>
          <c:tx>
            <c:strRef>
              <c:f>ChartData!$D$2</c:f>
              <c:strCache>
                <c:ptCount val="1"/>
                <c:pt idx="0">
                  <c:v>Meta (N3)</c:v>
                </c:pt>
              </c:strCache>
            </c:strRef>
          </c:tx>
          <c:spPr>
            <a:solidFill>
              <a:srgbClr val="D4A017"/>
            </a:solidFill>
            <a:ln w="12600">
              <a:solidFill>
                <a:srgbClr val="D4A017"/>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cat>
            <c:strRef>
              <c:f>ChartData!$A$3:$A$10</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ChartData!$D$3:$D$10</c:f>
              <c:numCache>
                <c:formatCode>General</c:formatCode>
                <c:ptCount val="8"/>
                <c:pt idx="0">
                  <c:v>3</c:v>
                </c:pt>
                <c:pt idx="1">
                  <c:v>3</c:v>
                </c:pt>
                <c:pt idx="2">
                  <c:v>3</c:v>
                </c:pt>
                <c:pt idx="3">
                  <c:v>3</c:v>
                </c:pt>
                <c:pt idx="4">
                  <c:v>3</c:v>
                </c:pt>
                <c:pt idx="5">
                  <c:v>3</c:v>
                </c:pt>
                <c:pt idx="6">
                  <c:v>3</c:v>
                </c:pt>
                <c:pt idx="7">
                  <c:v>3</c:v>
                </c:pt>
              </c:numCache>
            </c:numRef>
          </c:val>
          <c:extLst>
            <c:ext xmlns:c16="http://schemas.microsoft.com/office/drawing/2014/chart" uri="{C3380CC4-5D6E-409C-BE32-E72D297353CC}">
              <c16:uniqueId val="{00000001-AEBB-4919-91D5-4987453A6D20}"/>
            </c:ext>
          </c:extLst>
        </c:ser>
        <c:dLbls>
          <c:showLegendKey val="0"/>
          <c:showVal val="0"/>
          <c:showCatName val="0"/>
          <c:showSerName val="0"/>
          <c:showPercent val="0"/>
          <c:showBubbleSize val="0"/>
        </c:dLbls>
        <c:gapWidth val="150"/>
        <c:axId val="1262891"/>
        <c:axId val="65519525"/>
      </c:barChart>
      <c:catAx>
        <c:axId val="126289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65519525"/>
        <c:crosses val="autoZero"/>
        <c:auto val="1"/>
        <c:lblAlgn val="ctr"/>
        <c:lblOffset val="100"/>
        <c:noMultiLvlLbl val="0"/>
      </c:catAx>
      <c:valAx>
        <c:axId val="65519525"/>
        <c:scaling>
          <c:orientation val="minMax"/>
          <c:max val="5"/>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s-CO" sz="1000" b="1" u="none" strike="noStrike">
                    <a:solidFill>
                      <a:srgbClr val="000000"/>
                    </a:solidFill>
                    <a:uFillTx/>
                    <a:latin typeface="Calibri"/>
                  </a:rPr>
                  <a:t>Nivel de Madurez</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1262891"/>
        <c:crosses val="autoZero"/>
        <c:crossBetween val="between"/>
        <c:majorUnit val="1"/>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strRef>
              <c:f>ChartData!$B$14</c:f>
              <c:strCache>
                <c:ptCount val="1"/>
                <c:pt idx="0">
                  <c:v>D1 Org/Personas</c:v>
                </c:pt>
              </c:strCache>
            </c:strRef>
          </c:tx>
          <c:spPr>
            <a:solidFill>
              <a:srgbClr val="132346"/>
            </a:solidFill>
            <a:ln w="12600">
              <a:solidFill>
                <a:srgbClr val="13234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32346"/>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ChartData!$B$15:$B$22</c:f>
              <c:numCache>
                <c:formatCode>0%</c:formatCode>
                <c:ptCount val="8"/>
                <c:pt idx="0">
                  <c:v>0.6</c:v>
                </c:pt>
                <c:pt idx="1">
                  <c:v>0.2</c:v>
                </c:pt>
                <c:pt idx="2">
                  <c:v>0</c:v>
                </c:pt>
                <c:pt idx="3">
                  <c:v>0</c:v>
                </c:pt>
                <c:pt idx="4">
                  <c:v>0.8</c:v>
                </c:pt>
                <c:pt idx="5">
                  <c:v>0</c:v>
                </c:pt>
                <c:pt idx="6">
                  <c:v>0</c:v>
                </c:pt>
                <c:pt idx="7">
                  <c:v>0</c:v>
                </c:pt>
              </c:numCache>
            </c:numRef>
          </c:val>
          <c:extLst>
            <c:ext xmlns:c16="http://schemas.microsoft.com/office/drawing/2014/chart" uri="{C3380CC4-5D6E-409C-BE32-E72D297353CC}">
              <c16:uniqueId val="{00000000-4011-402A-BCC4-371175753FA8}"/>
            </c:ext>
          </c:extLst>
        </c:ser>
        <c:ser>
          <c:idx val="1"/>
          <c:order val="1"/>
          <c:tx>
            <c:strRef>
              <c:f>ChartData!$C$14</c:f>
              <c:strCache>
                <c:ptCount val="1"/>
                <c:pt idx="0">
                  <c:v>D2 Info/Tecnología</c:v>
                </c:pt>
              </c:strCache>
            </c:strRef>
          </c:tx>
          <c:spPr>
            <a:solidFill>
              <a:srgbClr val="0072BC"/>
            </a:solidFill>
            <a:ln w="12600">
              <a:solidFill>
                <a:srgbClr val="0072BC"/>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72BC"/>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ChartData!$C$15:$C$22</c:f>
              <c:numCache>
                <c:formatCode>0%</c:formatCode>
                <c:ptCount val="8"/>
                <c:pt idx="0">
                  <c:v>0.5</c:v>
                </c:pt>
                <c:pt idx="1">
                  <c:v>0.21428571428571427</c:v>
                </c:pt>
                <c:pt idx="2">
                  <c:v>0</c:v>
                </c:pt>
                <c:pt idx="3">
                  <c:v>0</c:v>
                </c:pt>
                <c:pt idx="4">
                  <c:v>0.7857142857142857</c:v>
                </c:pt>
                <c:pt idx="5">
                  <c:v>0</c:v>
                </c:pt>
                <c:pt idx="6">
                  <c:v>0</c:v>
                </c:pt>
                <c:pt idx="7">
                  <c:v>0</c:v>
                </c:pt>
              </c:numCache>
            </c:numRef>
          </c:val>
          <c:extLst>
            <c:ext xmlns:c16="http://schemas.microsoft.com/office/drawing/2014/chart" uri="{C3380CC4-5D6E-409C-BE32-E72D297353CC}">
              <c16:uniqueId val="{00000001-4011-402A-BCC4-371175753FA8}"/>
            </c:ext>
          </c:extLst>
        </c:ser>
        <c:ser>
          <c:idx val="2"/>
          <c:order val="2"/>
          <c:tx>
            <c:strRef>
              <c:f>ChartData!$D$14</c:f>
              <c:strCache>
                <c:ptCount val="1"/>
                <c:pt idx="0">
                  <c:v>D3 Socios/Proveed.</c:v>
                </c:pt>
              </c:strCache>
            </c:strRef>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ChartData!$D$15:$D$22</c:f>
              <c:numCache>
                <c:formatCode>0%</c:formatCode>
                <c:ptCount val="8"/>
                <c:pt idx="0">
                  <c:v>0.5</c:v>
                </c:pt>
                <c:pt idx="1">
                  <c:v>0.16666666666666666</c:v>
                </c:pt>
                <c:pt idx="2">
                  <c:v>0</c:v>
                </c:pt>
                <c:pt idx="3">
                  <c:v>0</c:v>
                </c:pt>
                <c:pt idx="4">
                  <c:v>0.83333333333333337</c:v>
                </c:pt>
                <c:pt idx="5">
                  <c:v>0</c:v>
                </c:pt>
                <c:pt idx="6">
                  <c:v>0</c:v>
                </c:pt>
                <c:pt idx="7">
                  <c:v>0</c:v>
                </c:pt>
              </c:numCache>
            </c:numRef>
          </c:val>
          <c:extLst>
            <c:ext xmlns:c16="http://schemas.microsoft.com/office/drawing/2014/chart" uri="{C3380CC4-5D6E-409C-BE32-E72D297353CC}">
              <c16:uniqueId val="{00000002-4011-402A-BCC4-371175753FA8}"/>
            </c:ext>
          </c:extLst>
        </c:ser>
        <c:ser>
          <c:idx val="3"/>
          <c:order val="3"/>
          <c:tx>
            <c:strRef>
              <c:f>ChartData!$E$14</c:f>
              <c:strCache>
                <c:ptCount val="1"/>
                <c:pt idx="0">
                  <c:v>D4 Valor/Mejora</c:v>
                </c:pt>
              </c:strCache>
            </c:strRef>
          </c:tx>
          <c:spPr>
            <a:solidFill>
              <a:srgbClr val="D4A017"/>
            </a:solidFill>
            <a:ln w="12600">
              <a:solidFill>
                <a:srgbClr val="D4A017"/>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ChartData!$E$15:$E$22</c:f>
              <c:numCache>
                <c:formatCode>0%</c:formatCode>
                <c:ptCount val="8"/>
                <c:pt idx="0">
                  <c:v>0.25</c:v>
                </c:pt>
                <c:pt idx="1">
                  <c:v>0</c:v>
                </c:pt>
                <c:pt idx="2">
                  <c:v>0</c:v>
                </c:pt>
                <c:pt idx="3">
                  <c:v>0</c:v>
                </c:pt>
                <c:pt idx="4">
                  <c:v>0.75</c:v>
                </c:pt>
                <c:pt idx="5">
                  <c:v>0</c:v>
                </c:pt>
                <c:pt idx="6">
                  <c:v>0</c:v>
                </c:pt>
                <c:pt idx="7">
                  <c:v>0</c:v>
                </c:pt>
              </c:numCache>
            </c:numRef>
          </c:val>
          <c:extLst>
            <c:ext xmlns:c16="http://schemas.microsoft.com/office/drawing/2014/chart" uri="{C3380CC4-5D6E-409C-BE32-E72D297353CC}">
              <c16:uniqueId val="{00000003-4011-402A-BCC4-371175753FA8}"/>
            </c:ext>
          </c:extLst>
        </c:ser>
        <c:dLbls>
          <c:showLegendKey val="0"/>
          <c:showVal val="0"/>
          <c:showCatName val="0"/>
          <c:showSerName val="0"/>
          <c:showPercent val="0"/>
          <c:showBubbleSize val="0"/>
        </c:dLbls>
        <c:gapWidth val="150"/>
        <c:axId val="14877333"/>
        <c:axId val="73065990"/>
      </c:barChart>
      <c:catAx>
        <c:axId val="1487733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73065990"/>
        <c:crosses val="autoZero"/>
        <c:auto val="1"/>
        <c:lblAlgn val="ctr"/>
        <c:lblOffset val="100"/>
        <c:noMultiLvlLbl val="0"/>
      </c:catAx>
      <c:valAx>
        <c:axId val="73065990"/>
        <c:scaling>
          <c:orientation val="minMax"/>
          <c:max val="1"/>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s-CO" sz="1000" b="1" u="none" strike="noStrike">
                    <a:solidFill>
                      <a:srgbClr val="000000"/>
                    </a:solidFill>
                    <a:uFillTx/>
                    <a:latin typeface="Calibri"/>
                  </a:rPr>
                  <a:t>Cumplimiento (%)</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14877333"/>
        <c:crosses val="autoZero"/>
        <c:crossBetween val="between"/>
        <c:majorUnit val="0.25"/>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radarChart>
        <c:radarStyle val="filled"/>
        <c:varyColors val="0"/>
        <c:ser>
          <c:idx val="0"/>
          <c:order val="0"/>
          <c:tx>
            <c:strRef>
              <c:f>ChartData!$B$40</c:f>
              <c:strCache>
                <c:ptCount val="1"/>
                <c:pt idx="0">
                  <c:v>SURA (prom)</c:v>
                </c:pt>
              </c:strCache>
            </c:strRef>
          </c:tx>
          <c:spPr>
            <a:solidFill>
              <a:srgbClr val="749080"/>
            </a:solidFill>
            <a:ln w="12600">
              <a:solidFill>
                <a:srgbClr val="017490"/>
              </a:solidFill>
              <a:round/>
            </a:ln>
          </c:spPr>
          <c:dLbls>
            <c:spPr>
              <a:noFill/>
              <a:ln>
                <a:noFill/>
              </a:ln>
              <a:effectLst/>
            </c:spPr>
            <c:txPr>
              <a:bodyPr wrap="square"/>
              <a:lstStyle/>
              <a:p>
                <a:pPr>
                  <a:defRPr sz="1000" b="0" u="none" strike="noStrike">
                    <a:solidFill>
                      <a:srgbClr val="000000"/>
                    </a:solidFill>
                    <a:uFillTx/>
                    <a:latin typeface="Arial"/>
                  </a:defRPr>
                </a:pPr>
                <a:endParaRPr lang="es-CO"/>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ChartData!$A$41:$A$44</c:f>
              <c:strCache>
                <c:ptCount val="4"/>
                <c:pt idx="0">
                  <c:v>D1 Org/Personas</c:v>
                </c:pt>
                <c:pt idx="1">
                  <c:v>D2 Info/Tecnología</c:v>
                </c:pt>
                <c:pt idx="2">
                  <c:v>D3 Socios/Proveed.</c:v>
                </c:pt>
                <c:pt idx="3">
                  <c:v>D4 Valor/Mejora</c:v>
                </c:pt>
              </c:strCache>
            </c:strRef>
          </c:cat>
          <c:val>
            <c:numRef>
              <c:f>ChartData!$B$41:$B$44</c:f>
              <c:numCache>
                <c:formatCode>0%</c:formatCode>
                <c:ptCount val="4"/>
                <c:pt idx="0">
                  <c:v>0.2</c:v>
                </c:pt>
                <c:pt idx="1">
                  <c:v>0.17857142857142858</c:v>
                </c:pt>
                <c:pt idx="2">
                  <c:v>0.16666666666666666</c:v>
                </c:pt>
                <c:pt idx="3">
                  <c:v>6.25E-2</c:v>
                </c:pt>
              </c:numCache>
            </c:numRef>
          </c:val>
          <c:extLst>
            <c:ext xmlns:c16="http://schemas.microsoft.com/office/drawing/2014/chart" uri="{C3380CC4-5D6E-409C-BE32-E72D297353CC}">
              <c16:uniqueId val="{00000000-43B4-44C4-AFAE-DED664B4CD09}"/>
            </c:ext>
          </c:extLst>
        </c:ser>
        <c:ser>
          <c:idx val="1"/>
          <c:order val="1"/>
          <c:tx>
            <c:strRef>
              <c:f>ChartData!$C$40</c:f>
              <c:strCache>
                <c:ptCount val="1"/>
                <c:pt idx="0">
                  <c:v>BCO (prom)</c:v>
                </c:pt>
              </c:strCache>
            </c:strRef>
          </c:tx>
          <c:spPr>
            <a:solidFill>
              <a:srgbClr val="A01780"/>
            </a:solidFill>
            <a:ln w="12600">
              <a:solidFill>
                <a:srgbClr val="D4A017"/>
              </a:solidFill>
              <a:round/>
            </a:ln>
          </c:spPr>
          <c:dLbls>
            <c:spPr>
              <a:noFill/>
              <a:ln>
                <a:noFill/>
              </a:ln>
              <a:effectLst/>
            </c:spPr>
            <c:txPr>
              <a:bodyPr wrap="square"/>
              <a:lstStyle/>
              <a:p>
                <a:pPr>
                  <a:defRPr sz="1000" b="0" u="none" strike="noStrike">
                    <a:solidFill>
                      <a:srgbClr val="000000"/>
                    </a:solidFill>
                    <a:uFillTx/>
                    <a:latin typeface="Arial"/>
                  </a:defRPr>
                </a:pPr>
                <a:endParaRPr lang="es-CO"/>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cat>
            <c:strRef>
              <c:f>ChartData!$A$41:$A$44</c:f>
              <c:strCache>
                <c:ptCount val="4"/>
                <c:pt idx="0">
                  <c:v>D1 Org/Personas</c:v>
                </c:pt>
                <c:pt idx="1">
                  <c:v>D2 Info/Tecnología</c:v>
                </c:pt>
                <c:pt idx="2">
                  <c:v>D3 Socios/Proveed.</c:v>
                </c:pt>
                <c:pt idx="3">
                  <c:v>D4 Valor/Mejora</c:v>
                </c:pt>
              </c:strCache>
            </c:strRef>
          </c:cat>
          <c:val>
            <c:numRef>
              <c:f>ChartData!$C$41:$C$44</c:f>
              <c:numCache>
                <c:formatCode>0%</c:formatCode>
                <c:ptCount val="4"/>
                <c:pt idx="0">
                  <c:v>0.2</c:v>
                </c:pt>
                <c:pt idx="1">
                  <c:v>0.19642857142857142</c:v>
                </c:pt>
                <c:pt idx="2">
                  <c:v>0.20833333333333334</c:v>
                </c:pt>
                <c:pt idx="3">
                  <c:v>0.1875</c:v>
                </c:pt>
              </c:numCache>
            </c:numRef>
          </c:val>
          <c:extLst>
            <c:ext xmlns:c16="http://schemas.microsoft.com/office/drawing/2014/chart" uri="{C3380CC4-5D6E-409C-BE32-E72D297353CC}">
              <c16:uniqueId val="{00000001-43B4-44C4-AFAE-DED664B4CD09}"/>
            </c:ext>
          </c:extLst>
        </c:ser>
        <c:ser>
          <c:idx val="2"/>
          <c:order val="2"/>
          <c:tx>
            <c:strRef>
              <c:f>ChartData!$D$40</c:f>
              <c:strCache>
                <c:ptCount val="1"/>
                <c:pt idx="0">
                  <c:v>Meta (100%)</c:v>
                </c:pt>
              </c:strCache>
            </c:strRef>
          </c:tx>
          <c:spPr>
            <a:solidFill>
              <a:srgbClr val="E8E880"/>
            </a:solidFill>
            <a:ln w="12600">
              <a:solidFill>
                <a:srgbClr val="E8E8E8"/>
              </a:solidFill>
              <a:round/>
            </a:ln>
          </c:spPr>
          <c:dLbls>
            <c:spPr>
              <a:noFill/>
              <a:ln>
                <a:noFill/>
              </a:ln>
              <a:effectLst/>
            </c:spPr>
            <c:txPr>
              <a:bodyPr wrap="square"/>
              <a:lstStyle/>
              <a:p>
                <a:pPr>
                  <a:defRPr sz="1000" b="0" u="none" strike="noStrike">
                    <a:solidFill>
                      <a:srgbClr val="000000"/>
                    </a:solidFill>
                    <a:uFillTx/>
                    <a:latin typeface="Arial"/>
                  </a:defRPr>
                </a:pPr>
                <a:endParaRPr lang="es-CO"/>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E8E8E8"/>
                      </a:solidFill>
                    </a:ln>
                  </c:spPr>
                </c15:leaderLines>
              </c:ext>
            </c:extLst>
          </c:dLbls>
          <c:cat>
            <c:strRef>
              <c:f>ChartData!$A$41:$A$44</c:f>
              <c:strCache>
                <c:ptCount val="4"/>
                <c:pt idx="0">
                  <c:v>D1 Org/Personas</c:v>
                </c:pt>
                <c:pt idx="1">
                  <c:v>D2 Info/Tecnología</c:v>
                </c:pt>
                <c:pt idx="2">
                  <c:v>D3 Socios/Proveed.</c:v>
                </c:pt>
                <c:pt idx="3">
                  <c:v>D4 Valor/Mejora</c:v>
                </c:pt>
              </c:strCache>
            </c:strRef>
          </c:cat>
          <c:val>
            <c:numRef>
              <c:f>ChartData!$D$41:$D$44</c:f>
              <c:numCache>
                <c:formatCode>0%</c:formatCode>
                <c:ptCount val="4"/>
                <c:pt idx="0">
                  <c:v>1</c:v>
                </c:pt>
                <c:pt idx="1">
                  <c:v>1</c:v>
                </c:pt>
                <c:pt idx="2">
                  <c:v>1</c:v>
                </c:pt>
                <c:pt idx="3">
                  <c:v>1</c:v>
                </c:pt>
              </c:numCache>
            </c:numRef>
          </c:val>
          <c:extLst>
            <c:ext xmlns:c16="http://schemas.microsoft.com/office/drawing/2014/chart" uri="{C3380CC4-5D6E-409C-BE32-E72D297353CC}">
              <c16:uniqueId val="{00000002-43B4-44C4-AFAE-DED664B4CD09}"/>
            </c:ext>
          </c:extLst>
        </c:ser>
        <c:dLbls>
          <c:showLegendKey val="0"/>
          <c:showVal val="0"/>
          <c:showCatName val="0"/>
          <c:showSerName val="0"/>
          <c:showPercent val="0"/>
          <c:showBubbleSize val="0"/>
        </c:dLbls>
        <c:axId val="67190061"/>
        <c:axId val="65316457"/>
      </c:radarChart>
      <c:catAx>
        <c:axId val="67190061"/>
        <c:scaling>
          <c:orientation val="maxMin"/>
        </c:scaling>
        <c:delete val="0"/>
        <c:axPos val="b"/>
        <c:numFmt formatCode="General" sourceLinked="0"/>
        <c:majorTickMark val="none"/>
        <c:minorTickMark val="none"/>
        <c:tickLblPos val="nextTo"/>
        <c:spPr>
          <a:ln w="9360">
            <a:noFill/>
          </a:ln>
        </c:spPr>
        <c:txPr>
          <a:bodyPr/>
          <a:lstStyle/>
          <a:p>
            <a:pPr>
              <a:defRPr sz="1000" b="0" u="none" strike="noStrike">
                <a:solidFill>
                  <a:srgbClr val="000000"/>
                </a:solidFill>
                <a:uFillTx/>
                <a:latin typeface="Calibri"/>
              </a:defRPr>
            </a:pPr>
            <a:endParaRPr lang="es-CO"/>
          </a:p>
        </c:txPr>
        <c:crossAx val="65316457"/>
        <c:crosses val="autoZero"/>
        <c:auto val="1"/>
        <c:lblAlgn val="ctr"/>
        <c:lblOffset val="100"/>
        <c:noMultiLvlLbl val="0"/>
      </c:catAx>
      <c:valAx>
        <c:axId val="65316457"/>
        <c:scaling>
          <c:orientation val="minMax"/>
        </c:scaling>
        <c:delete val="0"/>
        <c:axPos val="l"/>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67190061"/>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bar"/>
        <c:grouping val="clustered"/>
        <c:varyColors val="0"/>
        <c:ser>
          <c:idx val="0"/>
          <c:order val="0"/>
          <c:tx>
            <c:v>D1 Rotación</c:v>
          </c:tx>
          <c:spPr>
            <a:solidFill>
              <a:srgbClr val="C0392B"/>
            </a:solidFill>
            <a:ln w="12600">
              <a:solidFill>
                <a:srgbClr val="C0392B"/>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C0392B"/>
                      </a:solidFill>
                    </a:ln>
                  </c:spPr>
                </c15:leaderLines>
              </c:ext>
            </c:extLst>
          </c:dLbls>
          <c:val>
            <c:numRef>
              <c:f>ChartData!$B$36</c:f>
              <c:numCache>
                <c:formatCode>General</c:formatCode>
                <c:ptCount val="1"/>
                <c:pt idx="0">
                  <c:v>2.5</c:v>
                </c:pt>
              </c:numCache>
            </c:numRef>
          </c:val>
          <c:extLst>
            <c:ext xmlns:c16="http://schemas.microsoft.com/office/drawing/2014/chart" uri="{C3380CC4-5D6E-409C-BE32-E72D297353CC}">
              <c16:uniqueId val="{00000000-76C4-44A8-9DDC-912656D4038E}"/>
            </c:ext>
          </c:extLst>
        </c:ser>
        <c:ser>
          <c:idx val="1"/>
          <c:order val="1"/>
          <c:tx>
            <c:v>D2 SLAs</c:v>
          </c:tx>
          <c:spPr>
            <a:solidFill>
              <a:srgbClr val="E07B26"/>
            </a:solidFill>
            <a:ln w="12600">
              <a:solidFill>
                <a:srgbClr val="E07B2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E07B26"/>
                      </a:solidFill>
                    </a:ln>
                  </c:spPr>
                </c15:leaderLines>
              </c:ext>
            </c:extLst>
          </c:dLbls>
          <c:val>
            <c:numRef>
              <c:f>ChartData!$C$36</c:f>
              <c:numCache>
                <c:formatCode>General</c:formatCode>
                <c:ptCount val="1"/>
                <c:pt idx="0">
                  <c:v>1.5</c:v>
                </c:pt>
              </c:numCache>
            </c:numRef>
          </c:val>
          <c:extLst>
            <c:ext xmlns:c16="http://schemas.microsoft.com/office/drawing/2014/chart" uri="{C3380CC4-5D6E-409C-BE32-E72D297353CC}">
              <c16:uniqueId val="{00000001-76C4-44A8-9DDC-912656D4038E}"/>
            </c:ext>
          </c:extLst>
        </c:ser>
        <c:ser>
          <c:idx val="2"/>
          <c:order val="2"/>
          <c:tx>
            <c:v>D3 Autoserv.</c:v>
          </c:tx>
          <c:spPr>
            <a:solidFill>
              <a:srgbClr val="D4A017"/>
            </a:solidFill>
            <a:ln w="12600">
              <a:solidFill>
                <a:srgbClr val="D4A017"/>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val>
            <c:numRef>
              <c:f>ChartData!$D$36</c:f>
              <c:numCache>
                <c:formatCode>General</c:formatCode>
                <c:ptCount val="1"/>
                <c:pt idx="0">
                  <c:v>2.5</c:v>
                </c:pt>
              </c:numCache>
            </c:numRef>
          </c:val>
          <c:extLst>
            <c:ext xmlns:c16="http://schemas.microsoft.com/office/drawing/2014/chart" uri="{C3380CC4-5D6E-409C-BE32-E72D297353CC}">
              <c16:uniqueId val="{00000002-76C4-44A8-9DDC-912656D4038E}"/>
            </c:ext>
          </c:extLst>
        </c:ser>
        <c:ser>
          <c:idx val="3"/>
          <c:order val="3"/>
          <c:tx>
            <c:v>D4 Herram.</c:v>
          </c:tx>
          <c:spPr>
            <a:solidFill>
              <a:srgbClr val="0072BC"/>
            </a:solidFill>
            <a:ln w="12600">
              <a:solidFill>
                <a:srgbClr val="0072BC"/>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72BC"/>
                      </a:solidFill>
                    </a:ln>
                  </c:spPr>
                </c15:leaderLines>
              </c:ext>
            </c:extLst>
          </c:dLbls>
          <c:val>
            <c:numRef>
              <c:f>ChartData!$E$36</c:f>
              <c:numCache>
                <c:formatCode>General</c:formatCode>
                <c:ptCount val="1"/>
                <c:pt idx="0">
                  <c:v>2</c:v>
                </c:pt>
              </c:numCache>
            </c:numRef>
          </c:val>
          <c:extLst>
            <c:ext xmlns:c16="http://schemas.microsoft.com/office/drawing/2014/chart" uri="{C3380CC4-5D6E-409C-BE32-E72D297353CC}">
              <c16:uniqueId val="{00000003-76C4-44A8-9DDC-912656D4038E}"/>
            </c:ext>
          </c:extLst>
        </c:ser>
        <c:ser>
          <c:idx val="4"/>
          <c:order val="4"/>
          <c:tx>
            <c:v>D5 NPS bajo</c:v>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val>
            <c:numRef>
              <c:f>ChartData!$F$36</c:f>
              <c:numCache>
                <c:formatCode>General</c:formatCode>
                <c:ptCount val="1"/>
                <c:pt idx="0">
                  <c:v>2</c:v>
                </c:pt>
              </c:numCache>
            </c:numRef>
          </c:val>
          <c:extLst>
            <c:ext xmlns:c16="http://schemas.microsoft.com/office/drawing/2014/chart" uri="{C3380CC4-5D6E-409C-BE32-E72D297353CC}">
              <c16:uniqueId val="{00000004-76C4-44A8-9DDC-912656D4038E}"/>
            </c:ext>
          </c:extLst>
        </c:ser>
        <c:ser>
          <c:idx val="5"/>
          <c:order val="5"/>
          <c:tx>
            <c:v>D6 Escalm.</c:v>
          </c:tx>
          <c:spPr>
            <a:solidFill>
              <a:srgbClr val="1F7A4D"/>
            </a:solidFill>
            <a:ln w="12600">
              <a:solidFill>
                <a:srgbClr val="1F7A4D"/>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F7A4D"/>
                      </a:solidFill>
                    </a:ln>
                  </c:spPr>
                </c15:leaderLines>
              </c:ext>
            </c:extLst>
          </c:dLbls>
          <c:val>
            <c:numRef>
              <c:f>ChartData!$G$36</c:f>
              <c:numCache>
                <c:formatCode>General</c:formatCode>
                <c:ptCount val="1"/>
                <c:pt idx="0">
                  <c:v>1.5</c:v>
                </c:pt>
              </c:numCache>
            </c:numRef>
          </c:val>
          <c:extLst>
            <c:ext xmlns:c16="http://schemas.microsoft.com/office/drawing/2014/chart" uri="{C3380CC4-5D6E-409C-BE32-E72D297353CC}">
              <c16:uniqueId val="{00000005-76C4-44A8-9DDC-912656D4038E}"/>
            </c:ext>
          </c:extLst>
        </c:ser>
        <c:ser>
          <c:idx val="6"/>
          <c:order val="6"/>
          <c:tx>
            <c:v>D7 Dashboard</c:v>
          </c:tx>
          <c:spPr>
            <a:solidFill>
              <a:srgbClr val="132346"/>
            </a:solidFill>
            <a:ln w="12600">
              <a:solidFill>
                <a:srgbClr val="13234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32346"/>
                      </a:solidFill>
                    </a:ln>
                  </c:spPr>
                </c15:leaderLines>
              </c:ext>
            </c:extLst>
          </c:dLbls>
          <c:val>
            <c:numRef>
              <c:f>ChartData!$H$36</c:f>
              <c:numCache>
                <c:formatCode>General</c:formatCode>
                <c:ptCount val="1"/>
                <c:pt idx="0">
                  <c:v>1</c:v>
                </c:pt>
              </c:numCache>
            </c:numRef>
          </c:val>
          <c:extLst>
            <c:ext xmlns:c16="http://schemas.microsoft.com/office/drawing/2014/chart" uri="{C3380CC4-5D6E-409C-BE32-E72D297353CC}">
              <c16:uniqueId val="{00000006-76C4-44A8-9DDC-912656D4038E}"/>
            </c:ext>
          </c:extLst>
        </c:ser>
        <c:dLbls>
          <c:showLegendKey val="0"/>
          <c:showVal val="0"/>
          <c:showCatName val="0"/>
          <c:showSerName val="0"/>
          <c:showPercent val="0"/>
          <c:showBubbleSize val="0"/>
        </c:dLbls>
        <c:gapWidth val="150"/>
        <c:axId val="41669316"/>
        <c:axId val="92778653"/>
      </c:barChart>
      <c:catAx>
        <c:axId val="41669316"/>
        <c:scaling>
          <c:orientation val="minMax"/>
        </c:scaling>
        <c:delete val="0"/>
        <c:axPos val="l"/>
        <c:title>
          <c:tx>
            <c:rich>
              <a:bodyPr rot="-5400000"/>
              <a:lstStyle/>
              <a:p>
                <a:pPr>
                  <a:defRPr sz="1300" b="0" u="none" strike="noStrike">
                    <a:uFillTx/>
                    <a:latin typeface="Arial"/>
                  </a:defRPr>
                </a:pPr>
                <a:r>
                  <a:rPr lang="es-CO" sz="1000" b="1" u="none" strike="noStrike">
                    <a:solidFill>
                      <a:srgbClr val="000000"/>
                    </a:solidFill>
                    <a:uFillTx/>
                    <a:latin typeface="Calibri"/>
                  </a:rPr>
                  <a:t>Mesas con el dolor activo</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92778653"/>
        <c:crosses val="autoZero"/>
        <c:auto val="1"/>
        <c:lblAlgn val="ctr"/>
        <c:lblOffset val="100"/>
        <c:noMultiLvlLbl val="0"/>
      </c:catAx>
      <c:valAx>
        <c:axId val="92778653"/>
        <c:scaling>
          <c:orientation val="minMax"/>
        </c:scaling>
        <c:delete val="0"/>
        <c:axPos val="b"/>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4166931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strRef>
              <c:f>ChartData!$B$48</c:f>
              <c:strCache>
                <c:ptCount val="1"/>
                <c:pt idx="0">
                  <c:v>Benchmark Industria</c:v>
                </c:pt>
              </c:strCache>
            </c:strRef>
          </c:tx>
          <c:spPr>
            <a:solidFill>
              <a:srgbClr val="888888"/>
            </a:solidFill>
            <a:ln w="12600">
              <a:solidFill>
                <a:srgbClr val="888888"/>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888888"/>
                      </a:solidFill>
                    </a:ln>
                  </c:spPr>
                </c15:leaderLines>
              </c:ext>
            </c:extLst>
          </c:dLbls>
          <c:cat>
            <c:strRef>
              <c:f>ChartData!$A$49:$A$50</c:f>
              <c:strCache>
                <c:ptCount val="2"/>
                <c:pt idx="0">
                  <c:v>FCR (%)</c:v>
                </c:pt>
                <c:pt idx="1">
                  <c:v>SLA Cumplimiento (%)</c:v>
                </c:pt>
              </c:strCache>
            </c:strRef>
          </c:cat>
          <c:val>
            <c:numRef>
              <c:f>ChartData!$B$49:$B$50</c:f>
              <c:numCache>
                <c:formatCode>0%</c:formatCode>
                <c:ptCount val="2"/>
                <c:pt idx="0">
                  <c:v>0.75</c:v>
                </c:pt>
                <c:pt idx="1">
                  <c:v>0.95</c:v>
                </c:pt>
              </c:numCache>
            </c:numRef>
          </c:val>
          <c:extLst>
            <c:ext xmlns:c16="http://schemas.microsoft.com/office/drawing/2014/chart" uri="{C3380CC4-5D6E-409C-BE32-E72D297353CC}">
              <c16:uniqueId val="{00000000-D951-4FCD-AE94-8ED9D1C98142}"/>
            </c:ext>
          </c:extLst>
        </c:ser>
        <c:ser>
          <c:idx val="1"/>
          <c:order val="1"/>
          <c:tx>
            <c:strRef>
              <c:f>ChartData!$C$48</c:f>
              <c:strCache>
                <c:ptCount val="1"/>
                <c:pt idx="0">
                  <c:v>Objetivo Gen Next</c:v>
                </c:pt>
              </c:strCache>
            </c:strRef>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ChartData!$A$49:$A$50</c:f>
              <c:strCache>
                <c:ptCount val="2"/>
                <c:pt idx="0">
                  <c:v>FCR (%)</c:v>
                </c:pt>
                <c:pt idx="1">
                  <c:v>SLA Cumplimiento (%)</c:v>
                </c:pt>
              </c:strCache>
            </c:strRef>
          </c:cat>
          <c:val>
            <c:numRef>
              <c:f>ChartData!$C$49:$C$50</c:f>
              <c:numCache>
                <c:formatCode>0%</c:formatCode>
                <c:ptCount val="2"/>
                <c:pt idx="0">
                  <c:v>0.85</c:v>
                </c:pt>
                <c:pt idx="1">
                  <c:v>0.98</c:v>
                </c:pt>
              </c:numCache>
            </c:numRef>
          </c:val>
          <c:extLst>
            <c:ext xmlns:c16="http://schemas.microsoft.com/office/drawing/2014/chart" uri="{C3380CC4-5D6E-409C-BE32-E72D297353CC}">
              <c16:uniqueId val="{00000001-D951-4FCD-AE94-8ED9D1C98142}"/>
            </c:ext>
          </c:extLst>
        </c:ser>
        <c:ser>
          <c:idx val="2"/>
          <c:order val="2"/>
          <c:tx>
            <c:strRef>
              <c:f>ChartData!$D$48</c:f>
              <c:strCache>
                <c:ptCount val="1"/>
                <c:pt idx="0">
                  <c:v>Promedio Mesas Actuales</c:v>
                </c:pt>
              </c:strCache>
            </c:strRef>
          </c:tx>
          <c:spPr>
            <a:solidFill>
              <a:srgbClr val="132346"/>
            </a:solidFill>
            <a:ln w="12600">
              <a:solidFill>
                <a:srgbClr val="13234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32346"/>
                      </a:solidFill>
                    </a:ln>
                  </c:spPr>
                </c15:leaderLines>
              </c:ext>
            </c:extLst>
          </c:dLbls>
          <c:cat>
            <c:strRef>
              <c:f>ChartData!$A$49:$A$50</c:f>
              <c:strCache>
                <c:ptCount val="2"/>
                <c:pt idx="0">
                  <c:v>FCR (%)</c:v>
                </c:pt>
                <c:pt idx="1">
                  <c:v>SLA Cumplimiento (%)</c:v>
                </c:pt>
              </c:strCache>
            </c:strRef>
          </c:cat>
          <c:val>
            <c:numRef>
              <c:f>ChartData!$D$49:$D$50</c:f>
              <c:numCache>
                <c:formatCode>0%</c:formatCode>
                <c:ptCount val="2"/>
                <c:pt idx="0">
                  <c:v>0.25624999999999998</c:v>
                </c:pt>
                <c:pt idx="1">
                  <c:v>0.32874999999999999</c:v>
                </c:pt>
              </c:numCache>
            </c:numRef>
          </c:val>
          <c:extLst>
            <c:ext xmlns:c16="http://schemas.microsoft.com/office/drawing/2014/chart" uri="{C3380CC4-5D6E-409C-BE32-E72D297353CC}">
              <c16:uniqueId val="{00000002-D951-4FCD-AE94-8ED9D1C98142}"/>
            </c:ext>
          </c:extLst>
        </c:ser>
        <c:dLbls>
          <c:showLegendKey val="0"/>
          <c:showVal val="0"/>
          <c:showCatName val="0"/>
          <c:showSerName val="0"/>
          <c:showPercent val="0"/>
          <c:showBubbleSize val="0"/>
        </c:dLbls>
        <c:gapWidth val="150"/>
        <c:axId val="21441309"/>
        <c:axId val="24715077"/>
      </c:barChart>
      <c:catAx>
        <c:axId val="2144130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24715077"/>
        <c:crosses val="autoZero"/>
        <c:auto val="1"/>
        <c:lblAlgn val="ctr"/>
        <c:lblOffset val="100"/>
        <c:noMultiLvlLbl val="0"/>
      </c:catAx>
      <c:valAx>
        <c:axId val="24715077"/>
        <c:scaling>
          <c:orientation val="minMax"/>
          <c:max val="1"/>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s-CO" sz="1000" b="1" u="none" strike="noStrike">
                    <a:solidFill>
                      <a:srgbClr val="000000"/>
                    </a:solidFill>
                    <a:uFillTx/>
                    <a:latin typeface="Calibri"/>
                  </a:rPr>
                  <a:t>Valor (%)</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21441309"/>
        <c:crosses val="autoZero"/>
        <c:crossBetween val="between"/>
        <c:majorUnit val="0.2"/>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1.png"/><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xdr:colOff>
      <xdr:row>2</xdr:row>
      <xdr:rowOff>9525</xdr:rowOff>
    </xdr:from>
    <xdr:to>
      <xdr:col>2</xdr:col>
      <xdr:colOff>1463675</xdr:colOff>
      <xdr:row>3</xdr:row>
      <xdr:rowOff>209550</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990600" y="371475"/>
          <a:ext cx="1444625" cy="2952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50</xdr:row>
      <xdr:rowOff>0</xdr:rowOff>
    </xdr:from>
    <xdr:to>
      <xdr:col>4</xdr:col>
      <xdr:colOff>193690</xdr:colOff>
      <xdr:row>66</xdr:row>
      <xdr:rowOff>133650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50</xdr:row>
      <xdr:rowOff>0</xdr:rowOff>
    </xdr:from>
    <xdr:to>
      <xdr:col>13</xdr:col>
      <xdr:colOff>289530</xdr:colOff>
      <xdr:row>66</xdr:row>
      <xdr:rowOff>133650</xdr:rowOff>
    </xdr:to>
    <xdr:graphicFrame macro="">
      <xdr:nvGraphicFramePr>
        <xdr:cNvPr id="3" name="Chart 2">
          <a:extLst>
            <a:ext uri="{FF2B5EF4-FFF2-40B4-BE49-F238E27FC236}">
              <a16:creationId xmlns:a16="http://schemas.microsoft.com/office/drawing/2014/main" id="{00000000-0008-0000-0300-000003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3"/>
        <a:stretch>
          <a:fillRect/>
        </a:stretch>
      </xdr:blipFill>
      <xdr:spPr>
        <a:xfrm>
          <a:off x="619125" y="428625"/>
          <a:ext cx="1444625" cy="2952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180975</xdr:colOff>
      <xdr:row>7</xdr:row>
      <xdr:rowOff>38100</xdr:rowOff>
    </xdr:from>
    <xdr:to>
      <xdr:col>7</xdr:col>
      <xdr:colOff>621060</xdr:colOff>
      <xdr:row>25</xdr:row>
      <xdr:rowOff>122340</xdr:rowOff>
    </xdr:to>
    <xdr:graphicFrame macro="">
      <xdr:nvGraphicFramePr>
        <xdr:cNvPr id="3" name="Chart 1">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57150</xdr:colOff>
      <xdr:row>7</xdr:row>
      <xdr:rowOff>76200</xdr:rowOff>
    </xdr:from>
    <xdr:to>
      <xdr:col>15</xdr:col>
      <xdr:colOff>59445</xdr:colOff>
      <xdr:row>25</xdr:row>
      <xdr:rowOff>160440</xdr:rowOff>
    </xdr:to>
    <xdr:graphicFrame macro="">
      <xdr:nvGraphicFramePr>
        <xdr:cNvPr id="4" name="Chart 2">
          <a:extLst>
            <a:ext uri="{FF2B5EF4-FFF2-40B4-BE49-F238E27FC236}">
              <a16:creationId xmlns:a16="http://schemas.microsoft.com/office/drawing/2014/main" id="{00000000-0008-0000-0400-000004000000}"/>
            </a:ext>
            <a:ext uri="{147F2762-F138-4A5C-976F-8EAC2B608ADB}">
              <a16:predDERef xmlns:a16="http://schemas.microsoft.com/office/drawing/2014/main" pre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45</xdr:row>
      <xdr:rowOff>0</xdr:rowOff>
    </xdr:from>
    <xdr:to>
      <xdr:col>8</xdr:col>
      <xdr:colOff>1935</xdr:colOff>
      <xdr:row>63</xdr:row>
      <xdr:rowOff>169965</xdr:rowOff>
    </xdr:to>
    <xdr:graphicFrame macro="">
      <xdr:nvGraphicFramePr>
        <xdr:cNvPr id="5" name="Chart 3">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45</xdr:row>
      <xdr:rowOff>0</xdr:rowOff>
    </xdr:from>
    <xdr:to>
      <xdr:col>15</xdr:col>
      <xdr:colOff>2295</xdr:colOff>
      <xdr:row>63</xdr:row>
      <xdr:rowOff>169965</xdr:rowOff>
    </xdr:to>
    <xdr:graphicFrame macro="">
      <xdr:nvGraphicFramePr>
        <xdr:cNvPr id="6" name="Chart 4">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171450</xdr:colOff>
      <xdr:row>65</xdr:row>
      <xdr:rowOff>171450</xdr:rowOff>
    </xdr:from>
    <xdr:to>
      <xdr:col>15</xdr:col>
      <xdr:colOff>311265</xdr:colOff>
      <xdr:row>82</xdr:row>
      <xdr:rowOff>152760</xdr:rowOff>
    </xdr:to>
    <xdr:graphicFrame macro="">
      <xdr:nvGraphicFramePr>
        <xdr:cNvPr id="7" name="Chart 5">
          <a:extLst>
            <a:ext uri="{FF2B5EF4-FFF2-40B4-BE49-F238E27FC236}">
              <a16:creationId xmlns:a16="http://schemas.microsoft.com/office/drawing/2014/main" id="{00000000-0008-0000-0400-000007000000}"/>
            </a:ext>
            <a:ext uri="{147F2762-F138-4A5C-976F-8EAC2B608ADB}">
              <a16:predDERef xmlns:a16="http://schemas.microsoft.com/office/drawing/2014/main" pre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6"/>
        <a:stretch>
          <a:fillRect/>
        </a:stretch>
      </xdr:blipFill>
      <xdr:spPr>
        <a:xfrm>
          <a:off x="409575" y="352425"/>
          <a:ext cx="1444625" cy="295275"/>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D23" sqref="D23"/>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109"/>
      <c r="C3" s="110"/>
      <c r="D3" s="115" t="s">
        <v>0</v>
      </c>
      <c r="E3" s="116"/>
      <c r="F3" s="116"/>
      <c r="G3" s="91"/>
    </row>
    <row r="4" spans="2:7" ht="6.95" customHeight="1">
      <c r="B4" s="111"/>
      <c r="C4" s="112"/>
      <c r="D4" s="7"/>
      <c r="E4" s="8"/>
      <c r="F4" s="8"/>
      <c r="G4" s="92"/>
    </row>
    <row r="5" spans="2:7" ht="15" customHeight="1">
      <c r="B5" s="111"/>
      <c r="C5" s="112"/>
      <c r="D5" s="117" t="s">
        <v>1</v>
      </c>
      <c r="E5" s="118"/>
      <c r="F5" s="118"/>
      <c r="G5" s="94" t="s">
        <v>2</v>
      </c>
    </row>
    <row r="6" spans="2:7" ht="15" customHeight="1">
      <c r="B6" s="113"/>
      <c r="C6" s="114"/>
      <c r="D6" s="2" t="s">
        <v>3</v>
      </c>
      <c r="E6" s="3" t="s">
        <v>4</v>
      </c>
      <c r="F6" s="4"/>
      <c r="G6" s="93" t="s">
        <v>5</v>
      </c>
    </row>
    <row r="7" spans="2:7" ht="15" customHeight="1"/>
    <row r="9" spans="2:7" ht="15.6">
      <c r="B9" s="108" t="s">
        <v>6</v>
      </c>
      <c r="C9" s="108"/>
      <c r="D9" s="108" t="s">
        <v>7</v>
      </c>
      <c r="E9" s="108"/>
      <c r="F9" s="108" t="s">
        <v>8</v>
      </c>
      <c r="G9" s="108"/>
    </row>
    <row r="10" spans="2:7" ht="32.25" customHeight="1">
      <c r="B10" s="119" t="s">
        <v>9</v>
      </c>
      <c r="C10" s="120"/>
      <c r="D10" s="119"/>
      <c r="E10" s="120"/>
      <c r="F10" s="119"/>
      <c r="G10" s="120"/>
    </row>
    <row r="11" spans="2:7" ht="15.6">
      <c r="B11" s="108" t="s">
        <v>10</v>
      </c>
      <c r="C11" s="108"/>
      <c r="D11" s="108" t="s">
        <v>10</v>
      </c>
      <c r="E11" s="108"/>
      <c r="F11" s="108" t="s">
        <v>10</v>
      </c>
      <c r="G11" s="108"/>
    </row>
    <row r="12" spans="2:7" ht="15.6">
      <c r="B12" s="125">
        <v>46206</v>
      </c>
      <c r="C12" s="126"/>
      <c r="D12" s="125"/>
      <c r="E12" s="126"/>
      <c r="F12" s="125"/>
      <c r="G12" s="126"/>
    </row>
    <row r="13" spans="2:7" ht="15.6">
      <c r="B13" s="11"/>
      <c r="C13" s="11"/>
      <c r="D13" s="11"/>
      <c r="E13" s="11"/>
      <c r="F13" s="11"/>
      <c r="G13" s="11"/>
    </row>
    <row r="14" spans="2:7" ht="15.6">
      <c r="B14" s="9" t="s">
        <v>10</v>
      </c>
      <c r="C14" s="9" t="s">
        <v>11</v>
      </c>
      <c r="D14" s="108" t="s">
        <v>12</v>
      </c>
      <c r="E14" s="108"/>
      <c r="F14" s="108"/>
      <c r="G14" s="108"/>
    </row>
    <row r="15" spans="2:7" ht="15.6">
      <c r="B15" s="12" t="s">
        <v>13</v>
      </c>
      <c r="C15" s="10">
        <v>1</v>
      </c>
      <c r="D15" s="127" t="s">
        <v>14</v>
      </c>
      <c r="E15" s="121"/>
      <c r="F15" s="121"/>
      <c r="G15" s="121"/>
    </row>
    <row r="16" spans="2:7" ht="15.6">
      <c r="B16" s="12"/>
      <c r="C16" s="10">
        <v>2</v>
      </c>
      <c r="D16" s="121"/>
      <c r="E16" s="121"/>
      <c r="F16" s="121"/>
      <c r="G16" s="121"/>
    </row>
    <row r="17" spans="2:7" ht="15.6">
      <c r="B17" s="12"/>
      <c r="C17" s="10">
        <v>3</v>
      </c>
      <c r="D17" s="121"/>
      <c r="E17" s="121"/>
      <c r="F17" s="121"/>
      <c r="G17" s="121"/>
    </row>
    <row r="18" spans="2:7" ht="15.6">
      <c r="B18" s="12"/>
      <c r="C18" s="10">
        <v>4</v>
      </c>
      <c r="D18" s="122"/>
      <c r="E18" s="122"/>
      <c r="F18" s="122"/>
      <c r="G18" s="122"/>
    </row>
    <row r="19" spans="2:7" ht="15.6">
      <c r="B19" s="12"/>
      <c r="C19" s="10">
        <v>5</v>
      </c>
      <c r="D19" s="122"/>
      <c r="E19" s="123"/>
      <c r="F19" s="123"/>
      <c r="G19" s="124"/>
    </row>
    <row r="20" spans="2:7" ht="15"/>
  </sheetData>
  <mergeCells count="21">
    <mergeCell ref="D16:G16"/>
    <mergeCell ref="D17:G17"/>
    <mergeCell ref="D18:G18"/>
    <mergeCell ref="D19:G19"/>
    <mergeCell ref="B12:C12"/>
    <mergeCell ref="D12:E12"/>
    <mergeCell ref="F12:G12"/>
    <mergeCell ref="D14:G14"/>
    <mergeCell ref="D15:G15"/>
    <mergeCell ref="B10:C10"/>
    <mergeCell ref="D10:E10"/>
    <mergeCell ref="F10:G10"/>
    <mergeCell ref="B11:C11"/>
    <mergeCell ref="D11:E11"/>
    <mergeCell ref="F11:G11"/>
    <mergeCell ref="B9:C9"/>
    <mergeCell ref="D9:E9"/>
    <mergeCell ref="F9:G9"/>
    <mergeCell ref="B3:C6"/>
    <mergeCell ref="D3:F3"/>
    <mergeCell ref="D5:F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2"/>
  <sheetViews>
    <sheetView showGridLines="0" zoomScaleNormal="100" workbookViewId="0">
      <selection activeCell="E20" sqref="E20"/>
    </sheetView>
  </sheetViews>
  <sheetFormatPr defaultColWidth="8.5703125" defaultRowHeight="15" customHeight="1"/>
  <cols>
    <col min="1" max="1" width="3" style="1" customWidth="1"/>
    <col min="2" max="2" width="11.5703125" style="1" customWidth="1"/>
    <col min="3" max="3" width="36.7109375" style="1" customWidth="1"/>
    <col min="4" max="4" width="32.140625" style="1" customWidth="1"/>
    <col min="5" max="5" width="65.5703125" style="1" customWidth="1"/>
    <col min="6" max="6" width="24.140625" style="1" customWidth="1"/>
    <col min="7" max="16384" width="8.5703125" style="1"/>
  </cols>
  <sheetData>
    <row r="1" spans="2:6" ht="14.25" customHeight="1"/>
    <row r="2" spans="2:6" ht="14.25" customHeight="1">
      <c r="B2" s="128"/>
      <c r="C2" s="129"/>
      <c r="D2" s="134" t="s">
        <v>15</v>
      </c>
      <c r="E2" s="135"/>
      <c r="F2" s="96"/>
    </row>
    <row r="3" spans="2:6" ht="7.5" customHeight="1">
      <c r="B3" s="130"/>
      <c r="C3" s="131"/>
      <c r="D3" s="95"/>
      <c r="F3" s="97"/>
    </row>
    <row r="4" spans="2:6" ht="27" customHeight="1">
      <c r="B4" s="130"/>
      <c r="C4" s="131"/>
      <c r="D4" s="136" t="s">
        <v>16</v>
      </c>
      <c r="E4" s="137"/>
      <c r="F4" s="98" t="s">
        <v>2</v>
      </c>
    </row>
    <row r="5" spans="2:6" ht="14.25" customHeight="1">
      <c r="B5" s="132"/>
      <c r="C5" s="133"/>
      <c r="D5" s="138" t="s">
        <v>17</v>
      </c>
      <c r="E5" s="139"/>
      <c r="F5" s="99" t="s">
        <v>5</v>
      </c>
    </row>
    <row r="6" spans="2:6" ht="14.25" customHeight="1"/>
    <row r="8" spans="2:6" ht="21.75" customHeight="1">
      <c r="B8" s="100" t="s">
        <v>18</v>
      </c>
      <c r="C8" s="100"/>
      <c r="D8" s="100"/>
      <c r="E8" s="100"/>
    </row>
    <row r="9" spans="2:6" ht="21.75" customHeight="1">
      <c r="B9" s="6" t="s">
        <v>19</v>
      </c>
      <c r="C9" s="6" t="s">
        <v>20</v>
      </c>
      <c r="D9" s="6" t="s">
        <v>21</v>
      </c>
      <c r="E9" s="6" t="s">
        <v>22</v>
      </c>
    </row>
    <row r="10" spans="2:6" ht="24" customHeight="1">
      <c r="B10" s="13" t="s">
        <v>23</v>
      </c>
      <c r="C10" s="14" t="s">
        <v>24</v>
      </c>
      <c r="D10" s="15" t="s">
        <v>25</v>
      </c>
      <c r="E10" s="16" t="s">
        <v>26</v>
      </c>
    </row>
    <row r="11" spans="2:6" ht="24" customHeight="1">
      <c r="B11" s="17" t="s">
        <v>27</v>
      </c>
      <c r="C11" s="18" t="s">
        <v>28</v>
      </c>
      <c r="D11" s="19" t="s">
        <v>25</v>
      </c>
      <c r="E11" s="20" t="s">
        <v>29</v>
      </c>
    </row>
    <row r="12" spans="2:6" ht="24" customHeight="1">
      <c r="B12" s="13" t="s">
        <v>30</v>
      </c>
      <c r="C12" s="14" t="s">
        <v>31</v>
      </c>
      <c r="D12" s="15" t="s">
        <v>32</v>
      </c>
      <c r="E12" s="16" t="s">
        <v>33</v>
      </c>
    </row>
    <row r="13" spans="2:6" ht="24" customHeight="1">
      <c r="B13" s="17" t="s">
        <v>34</v>
      </c>
      <c r="C13" s="18" t="s">
        <v>35</v>
      </c>
      <c r="D13" s="19" t="s">
        <v>36</v>
      </c>
      <c r="E13" s="20" t="s">
        <v>37</v>
      </c>
    </row>
    <row r="14" spans="2:6" ht="24" customHeight="1">
      <c r="B14" s="13" t="s">
        <v>38</v>
      </c>
      <c r="C14" s="14" t="s">
        <v>39</v>
      </c>
      <c r="D14" s="15" t="s">
        <v>40</v>
      </c>
      <c r="E14" s="16" t="s">
        <v>41</v>
      </c>
    </row>
    <row r="15" spans="2:6" ht="24" customHeight="1">
      <c r="B15" s="17" t="s">
        <v>42</v>
      </c>
      <c r="C15" s="18" t="s">
        <v>43</v>
      </c>
      <c r="D15" s="19" t="s">
        <v>25</v>
      </c>
      <c r="E15" s="20" t="s">
        <v>44</v>
      </c>
    </row>
    <row r="16" spans="2:6" ht="24" customHeight="1">
      <c r="B16" s="13" t="s">
        <v>45</v>
      </c>
      <c r="C16" s="14" t="s">
        <v>46</v>
      </c>
      <c r="D16" s="15" t="s">
        <v>25</v>
      </c>
      <c r="E16" s="16" t="s">
        <v>47</v>
      </c>
    </row>
    <row r="17" spans="2:5"/>
    <row r="18" spans="2:5" ht="21.75" customHeight="1">
      <c r="B18" s="100" t="s">
        <v>48</v>
      </c>
      <c r="C18" s="100"/>
      <c r="D18" s="100"/>
    </row>
    <row r="19" spans="2:5" ht="21.75" customHeight="1">
      <c r="B19" s="6" t="s">
        <v>49</v>
      </c>
      <c r="C19" s="6" t="s">
        <v>50</v>
      </c>
      <c r="D19" s="6" t="s">
        <v>22</v>
      </c>
    </row>
    <row r="20" spans="2:5" ht="45.75" customHeight="1">
      <c r="B20" s="21" t="s">
        <v>51</v>
      </c>
      <c r="C20" s="22" t="s">
        <v>52</v>
      </c>
      <c r="D20" s="5" t="s">
        <v>53</v>
      </c>
    </row>
    <row r="21" spans="2:5" ht="50.25">
      <c r="B21" s="23" t="s">
        <v>54</v>
      </c>
      <c r="C21" s="22" t="s">
        <v>55</v>
      </c>
      <c r="D21" s="5" t="s">
        <v>56</v>
      </c>
    </row>
    <row r="22" spans="2:5" ht="63.75" customHeight="1">
      <c r="B22" s="24" t="s">
        <v>57</v>
      </c>
      <c r="C22" s="22" t="s">
        <v>58</v>
      </c>
      <c r="D22" s="5" t="s">
        <v>59</v>
      </c>
    </row>
    <row r="23" spans="2:5" ht="50.25">
      <c r="B23" s="25" t="s">
        <v>60</v>
      </c>
      <c r="C23" s="22" t="s">
        <v>61</v>
      </c>
      <c r="D23" s="5" t="s">
        <v>62</v>
      </c>
    </row>
    <row r="24" spans="2:5" ht="45.75" customHeight="1">
      <c r="B24" s="26" t="s">
        <v>63</v>
      </c>
      <c r="C24" s="22" t="s">
        <v>64</v>
      </c>
      <c r="D24" s="5" t="s">
        <v>65</v>
      </c>
    </row>
    <row r="25" spans="2:5" ht="50.25">
      <c r="B25" s="27" t="s">
        <v>66</v>
      </c>
      <c r="C25" s="22" t="s">
        <v>67</v>
      </c>
      <c r="D25" s="5" t="s">
        <v>68</v>
      </c>
    </row>
    <row r="27" spans="2:5" ht="21.75" customHeight="1">
      <c r="B27" s="100" t="s">
        <v>69</v>
      </c>
      <c r="C27" s="100"/>
      <c r="D27" s="100"/>
      <c r="E27" s="100"/>
    </row>
    <row r="28" spans="2:5" ht="21.75" customHeight="1">
      <c r="B28" s="6" t="s">
        <v>70</v>
      </c>
      <c r="C28" s="6" t="s">
        <v>71</v>
      </c>
      <c r="D28" s="6" t="s">
        <v>72</v>
      </c>
      <c r="E28" s="6" t="s">
        <v>73</v>
      </c>
    </row>
    <row r="29" spans="2:5" ht="21.75" customHeight="1">
      <c r="B29" s="28" t="s">
        <v>74</v>
      </c>
      <c r="C29" s="5" t="s">
        <v>75</v>
      </c>
      <c r="D29" s="29" t="s">
        <v>76</v>
      </c>
      <c r="E29" s="30" t="s">
        <v>4</v>
      </c>
    </row>
    <row r="30" spans="2:5" ht="21.75" customHeight="1">
      <c r="B30" s="31" t="s">
        <v>77</v>
      </c>
      <c r="C30" s="5" t="s">
        <v>78</v>
      </c>
      <c r="D30" s="32" t="s">
        <v>79</v>
      </c>
      <c r="E30" s="30" t="s">
        <v>80</v>
      </c>
    </row>
    <row r="31" spans="2:5" ht="21.75" customHeight="1">
      <c r="B31" s="33" t="s">
        <v>81</v>
      </c>
      <c r="C31" s="5" t="s">
        <v>82</v>
      </c>
      <c r="D31" s="34" t="s">
        <v>83</v>
      </c>
      <c r="E31" s="30" t="s">
        <v>84</v>
      </c>
    </row>
    <row r="32" spans="2:5" ht="21.75" customHeight="1">
      <c r="B32" s="35" t="s">
        <v>85</v>
      </c>
      <c r="C32" s="5" t="s">
        <v>86</v>
      </c>
      <c r="D32" s="36" t="s">
        <v>87</v>
      </c>
      <c r="E32" s="30" t="s">
        <v>88</v>
      </c>
    </row>
  </sheetData>
  <mergeCells count="4">
    <mergeCell ref="B2:C5"/>
    <mergeCell ref="D2:E2"/>
    <mergeCell ref="D4:E4"/>
    <mergeCell ref="D5:E5"/>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N10"/>
  <sheetViews>
    <sheetView showGridLines="0" zoomScaleNormal="100" workbookViewId="0">
      <selection activeCell="N9" sqref="N9"/>
    </sheetView>
  </sheetViews>
  <sheetFormatPr defaultColWidth="8.5703125" defaultRowHeight="14.45"/>
  <cols>
    <col min="1" max="1" width="3" style="1" customWidth="1"/>
    <col min="2" max="2" width="14.7109375" style="1" customWidth="1"/>
    <col min="3" max="3" width="8.5703125" style="1"/>
    <col min="4" max="4" width="14.42578125" style="1" customWidth="1"/>
    <col min="5" max="5" width="8.5703125" style="1"/>
    <col min="6" max="6" width="14.85546875" style="1" customWidth="1"/>
    <col min="7" max="7" width="8.5703125" style="1"/>
    <col min="8" max="8" width="13.42578125" style="1" customWidth="1"/>
    <col min="9" max="9" width="8.5703125" style="1"/>
    <col min="10" max="10" width="14.28515625" style="1" customWidth="1"/>
    <col min="11" max="11" width="8.5703125" style="1"/>
    <col min="12" max="12" width="13.140625" style="1" customWidth="1"/>
    <col min="13" max="13" width="8.5703125" style="1"/>
    <col min="14" max="14" width="13.140625" style="1" bestFit="1" customWidth="1"/>
    <col min="15" max="16384" width="8.5703125" style="1"/>
  </cols>
  <sheetData>
    <row r="2" spans="2:14" ht="15" customHeight="1">
      <c r="B2" s="140" t="s">
        <v>89</v>
      </c>
      <c r="C2" s="140"/>
      <c r="D2" s="140"/>
      <c r="E2" s="140"/>
      <c r="F2" s="140"/>
      <c r="G2" s="140"/>
      <c r="H2" s="140"/>
    </row>
    <row r="4" spans="2:14" ht="21.75" customHeight="1">
      <c r="B4" s="37" t="s">
        <v>90</v>
      </c>
      <c r="D4" s="37" t="s">
        <v>91</v>
      </c>
      <c r="F4" s="37" t="s">
        <v>92</v>
      </c>
      <c r="H4" s="37" t="s">
        <v>93</v>
      </c>
      <c r="J4" s="37" t="s">
        <v>94</v>
      </c>
      <c r="L4" s="37" t="s">
        <v>95</v>
      </c>
      <c r="N4" s="37" t="s">
        <v>96</v>
      </c>
    </row>
    <row r="5" spans="2:14" ht="19.5" customHeight="1">
      <c r="B5" s="38" t="s">
        <v>74</v>
      </c>
      <c r="D5" s="38" t="s">
        <v>51</v>
      </c>
      <c r="F5" s="38" t="s">
        <v>97</v>
      </c>
      <c r="H5" s="38" t="s">
        <v>98</v>
      </c>
      <c r="J5" s="38" t="s">
        <v>99</v>
      </c>
      <c r="L5" s="38" t="s">
        <v>100</v>
      </c>
      <c r="N5" s="38" t="s">
        <v>101</v>
      </c>
    </row>
    <row r="6" spans="2:14" ht="19.5" customHeight="1">
      <c r="B6" s="39" t="s">
        <v>77</v>
      </c>
      <c r="D6" s="39" t="s">
        <v>54</v>
      </c>
      <c r="F6" s="39" t="s">
        <v>102</v>
      </c>
      <c r="H6" s="39" t="s">
        <v>103</v>
      </c>
      <c r="J6" s="39" t="s">
        <v>104</v>
      </c>
      <c r="L6" s="39" t="s">
        <v>105</v>
      </c>
      <c r="N6" s="39" t="s">
        <v>106</v>
      </c>
    </row>
    <row r="7" spans="2:14" ht="19.5" customHeight="1">
      <c r="B7" s="38" t="s">
        <v>81</v>
      </c>
      <c r="D7" s="38" t="s">
        <v>57</v>
      </c>
      <c r="F7" s="38" t="s">
        <v>107</v>
      </c>
      <c r="H7" s="38" t="s">
        <v>108</v>
      </c>
      <c r="J7" s="38" t="s">
        <v>109</v>
      </c>
      <c r="L7" s="38" t="s">
        <v>110</v>
      </c>
      <c r="N7" s="38" t="s">
        <v>111</v>
      </c>
    </row>
    <row r="8" spans="2:14" ht="19.5" customHeight="1">
      <c r="B8" s="39" t="s">
        <v>85</v>
      </c>
      <c r="D8" s="39" t="s">
        <v>60</v>
      </c>
      <c r="H8" s="39" t="s">
        <v>112</v>
      </c>
      <c r="J8" s="39" t="s">
        <v>113</v>
      </c>
      <c r="N8" s="38" t="s">
        <v>114</v>
      </c>
    </row>
    <row r="9" spans="2:14" ht="19.5" customHeight="1">
      <c r="D9" s="38" t="s">
        <v>63</v>
      </c>
      <c r="H9" s="38" t="s">
        <v>115</v>
      </c>
      <c r="J9" s="38" t="s">
        <v>116</v>
      </c>
      <c r="N9" s="39" t="s">
        <v>117</v>
      </c>
    </row>
    <row r="10" spans="2:14" ht="19.5" customHeight="1">
      <c r="D10" s="39" t="s">
        <v>66</v>
      </c>
    </row>
  </sheetData>
  <mergeCells count="1">
    <mergeCell ref="B2:H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55"/>
  <sheetViews>
    <sheetView showGridLines="0" zoomScaleNormal="100" workbookViewId="0">
      <pane xSplit="1" ySplit="8" topLeftCell="B14" activePane="bottomRight" state="frozen"/>
      <selection pane="bottomRight" activeCell="B19" sqref="B19:J19"/>
      <selection pane="bottomLeft" activeCell="A7" sqref="A7"/>
      <selection pane="topRight" activeCell="B1" sqref="B1"/>
    </sheetView>
  </sheetViews>
  <sheetFormatPr defaultColWidth="8.5703125" defaultRowHeight="14.45"/>
  <cols>
    <col min="1" max="1" width="3" style="1" customWidth="1"/>
    <col min="2" max="2" width="34.85546875" style="1" customWidth="1"/>
    <col min="3" max="3" width="10" style="1" customWidth="1"/>
    <col min="4" max="4" width="24" style="1" customWidth="1"/>
    <col min="5" max="8" width="12" style="1" customWidth="1"/>
    <col min="9" max="9" width="10" style="1" customWidth="1"/>
    <col min="10" max="10" width="14" style="1" customWidth="1"/>
    <col min="11" max="16384" width="8.5703125" style="1"/>
  </cols>
  <sheetData>
    <row r="1" spans="2:10" ht="15"/>
    <row r="2" spans="2:10" ht="21">
      <c r="B2" s="128"/>
      <c r="C2" s="134" t="s">
        <v>118</v>
      </c>
      <c r="D2" s="135"/>
      <c r="E2" s="135"/>
      <c r="F2" s="135"/>
      <c r="G2" s="135"/>
      <c r="H2" s="149"/>
      <c r="I2" s="147" t="s">
        <v>119</v>
      </c>
      <c r="J2" s="129"/>
    </row>
    <row r="3" spans="2:10" ht="15">
      <c r="B3" s="130"/>
      <c r="C3" s="150" t="s">
        <v>120</v>
      </c>
      <c r="D3" s="151"/>
      <c r="E3" s="151"/>
      <c r="F3" s="151"/>
      <c r="G3" s="151"/>
      <c r="H3" s="152"/>
      <c r="I3" s="148"/>
      <c r="J3" s="131"/>
    </row>
    <row r="4" spans="2:10" ht="15">
      <c r="B4" s="130"/>
      <c r="C4" s="130"/>
      <c r="D4" s="148"/>
      <c r="E4" s="148"/>
      <c r="F4" s="148"/>
      <c r="G4" s="148"/>
      <c r="H4" s="131"/>
      <c r="I4" s="148"/>
      <c r="J4" s="131"/>
    </row>
    <row r="5" spans="2:10" ht="14.45" customHeight="1">
      <c r="B5" s="132"/>
      <c r="C5" s="145" t="s">
        <v>121</v>
      </c>
      <c r="D5" s="146"/>
      <c r="E5" s="146"/>
      <c r="F5" s="146"/>
      <c r="G5" s="146"/>
      <c r="H5" s="133"/>
      <c r="I5" s="146"/>
      <c r="J5" s="133"/>
    </row>
    <row r="6" spans="2:10" ht="15"/>
    <row r="7" spans="2:10" ht="21.75" customHeight="1">
      <c r="B7" s="141" t="s">
        <v>122</v>
      </c>
      <c r="C7" s="141"/>
      <c r="D7" s="141"/>
      <c r="E7" s="141"/>
      <c r="F7" s="141"/>
      <c r="G7" s="141"/>
      <c r="H7" s="141"/>
      <c r="I7" s="141"/>
      <c r="J7" s="141"/>
    </row>
    <row r="8" spans="2:10" ht="27.75" customHeight="1">
      <c r="B8" s="6" t="s">
        <v>123</v>
      </c>
      <c r="C8" s="6" t="s">
        <v>124</v>
      </c>
      <c r="D8" s="6" t="s">
        <v>125</v>
      </c>
      <c r="E8" s="6" t="s">
        <v>126</v>
      </c>
      <c r="F8" s="6" t="s">
        <v>127</v>
      </c>
      <c r="G8" s="6" t="s">
        <v>128</v>
      </c>
      <c r="H8" s="6" t="s">
        <v>129</v>
      </c>
      <c r="I8" s="6" t="s">
        <v>130</v>
      </c>
      <c r="J8" s="6" t="s">
        <v>131</v>
      </c>
    </row>
    <row r="9" spans="2:10" ht="24" customHeight="1">
      <c r="B9" s="14" t="s">
        <v>132</v>
      </c>
      <c r="C9" s="40" t="str">
        <f>IFERROR('SURA Cotizadores'!$C$13,"—")</f>
        <v>N4</v>
      </c>
      <c r="D9" s="41">
        <f>IFERROR('SURA Cotizadores'!$E$42,"")</f>
        <v>0.5</v>
      </c>
      <c r="E9" s="42">
        <f>IFERROR('SURA Cotizadores'!$C$50,"")</f>
        <v>0.68</v>
      </c>
      <c r="F9" s="42">
        <f>IFERROR('SURA Cotizadores'!$C$52,"")</f>
        <v>0.89</v>
      </c>
      <c r="G9" s="43">
        <f>IFERROR('SURA Cotizadores'!$C$72,"")</f>
        <v>22</v>
      </c>
      <c r="H9" s="43">
        <f>IFERROR(IF('SURA Cotizadores'!C56&lt;&gt;"",'SURA Cotizadores'!C56,IF('SURA Cotizadores'!C8&lt;&gt;"",'SURA Cotizadores'!C8,"")),"")</f>
        <v>12</v>
      </c>
      <c r="I9" s="44">
        <f>IFERROR(COUNTIF('SURA Cotizadores'!$C$99:$C$105,"Sí"),"")</f>
        <v>0</v>
      </c>
      <c r="J9" s="45"/>
    </row>
    <row r="10" spans="2:10" ht="24" customHeight="1">
      <c r="B10" s="18" t="s">
        <v>133</v>
      </c>
      <c r="C10" s="46" t="str">
        <f>IFERROR('SURA Venta Digital'!$C$14,"—")</f>
        <v>N1</v>
      </c>
      <c r="D10" s="47">
        <f>IFERROR('SURA Venta Digital'!$E$43,"")</f>
        <v>0.17647058823529413</v>
      </c>
      <c r="E10" s="48">
        <f>IFERROR('SURA Venta Digital'!$C$51,"")</f>
        <v>0.55000000000000004</v>
      </c>
      <c r="F10" s="48">
        <f>IFERROR('SURA Venta Digital'!$C$53,"")</f>
        <v>0.78</v>
      </c>
      <c r="G10" s="49">
        <f>IFERROR('SURA Venta Digital'!$C$73,"")</f>
        <v>8</v>
      </c>
      <c r="H10" s="49">
        <f>IFERROR(IF('SURA Venta Digital'!C57&lt;&gt;"",'SURA Venta Digital'!C57,IF('SURA Venta Digital'!C9&lt;&gt;"",'SURA Venta Digital'!C9,"")),"")</f>
        <v>8</v>
      </c>
      <c r="I10" s="50">
        <f>IFERROR(COUNTIF('SURA Venta Digital'!$C$100:$C$106,"Sí"),"")</f>
        <v>0</v>
      </c>
      <c r="J10" s="45"/>
    </row>
    <row r="11" spans="2:10" ht="24" customHeight="1">
      <c r="B11" s="14" t="s">
        <v>134</v>
      </c>
      <c r="C11" s="40">
        <f>IFERROR('SURA Torre Control'!$C$14,"—")</f>
        <v>0</v>
      </c>
      <c r="D11" s="41">
        <f>IFERROR('SURA Torre Control'!$E$43,"")</f>
        <v>0</v>
      </c>
      <c r="E11" s="42">
        <f>IFERROR('SURA Torre Control'!$C$51,"")</f>
        <v>0</v>
      </c>
      <c r="F11" s="42">
        <f>IFERROR('SURA Torre Control'!$C$53,"")</f>
        <v>0</v>
      </c>
      <c r="G11" s="43">
        <f>IFERROR('SURA Torre Control'!$C$73,"")</f>
        <v>0</v>
      </c>
      <c r="H11" s="43" t="str">
        <f>IFERROR(IF('SURA Torre Control'!C57&lt;&gt;"",'SURA Torre Control'!C57,IF('SURA Torre Control'!C9&lt;&gt;"",'SURA Torre Control'!C9,"")),"")</f>
        <v/>
      </c>
      <c r="I11" s="44">
        <f>IFERROR(COUNTIF('SURA Torre Control'!$C$100:$C$106,"Sí"),"")</f>
        <v>0</v>
      </c>
      <c r="J11" s="45"/>
    </row>
    <row r="12" spans="2:10" ht="24" customHeight="1">
      <c r="B12" s="18" t="s">
        <v>135</v>
      </c>
      <c r="C12" s="46">
        <f>IFERROR('SURA Mesa 4'!$C$14,"—")</f>
        <v>0</v>
      </c>
      <c r="D12" s="47">
        <f>IFERROR('SURA Mesa 4'!$E$43,"")</f>
        <v>0</v>
      </c>
      <c r="E12" s="48">
        <f>IFERROR('SURA Mesa 4'!$C$51,"")</f>
        <v>0</v>
      </c>
      <c r="F12" s="48">
        <f>IFERROR('SURA Mesa 4'!$C$53,"")</f>
        <v>0</v>
      </c>
      <c r="G12" s="49">
        <f>IFERROR('SURA Mesa 4'!$C$73,"")</f>
        <v>0</v>
      </c>
      <c r="H12" s="49" t="str">
        <f>IFERROR(IF('SURA Mesa 4'!C57&lt;&gt;"",'SURA Mesa 4'!C57,IF('SURA Mesa 4'!C9&lt;&gt;"",'SURA Mesa 4'!C9,"")),"")</f>
        <v/>
      </c>
      <c r="I12" s="50">
        <f>IFERROR(COUNTIF('SURA Mesa 4'!$C$100:$C$106,"Sí"),"")</f>
        <v>0</v>
      </c>
      <c r="J12" s="45"/>
    </row>
    <row r="13" spans="2:10" ht="24" customHeight="1">
      <c r="B13" s="14" t="s">
        <v>136</v>
      </c>
      <c r="C13" s="40" t="str">
        <f>IFERROR('BCO Gioti 1'!$C$14,"—")</f>
        <v>N3</v>
      </c>
      <c r="D13" s="41">
        <f>IFERROR('BCO Gioti 1'!$E$43,"")</f>
        <v>0.79411764705882348</v>
      </c>
      <c r="E13" s="42">
        <f>IFERROR('BCO Gioti 1'!$C$51,"")</f>
        <v>0.82</v>
      </c>
      <c r="F13" s="42">
        <f>IFERROR('BCO Gioti 1'!$C$53,"")</f>
        <v>0.96</v>
      </c>
      <c r="G13" s="43">
        <f>IFERROR('BCO Gioti 1'!$C$73,"")</f>
        <v>48</v>
      </c>
      <c r="H13" s="43">
        <f>IFERROR(IF('BCO Gioti 1'!C57&lt;&gt;"",'BCO Gioti 1'!C57,IF('BCO Gioti 1'!C9&lt;&gt;"",'BCO Gioti 1'!C9,"")),"")</f>
        <v>18</v>
      </c>
      <c r="I13" s="44">
        <f>IFERROR(COUNTIF('BCO Gioti 1'!$C$100:$C$106,"Sí"),"")</f>
        <v>0</v>
      </c>
      <c r="J13" s="45"/>
    </row>
    <row r="14" spans="2:10" ht="24" customHeight="1">
      <c r="B14" s="18" t="s">
        <v>137</v>
      </c>
      <c r="C14" s="46">
        <f>IFERROR('BCO Gioti 2'!$C$14,"—")</f>
        <v>0</v>
      </c>
      <c r="D14" s="47">
        <f>IFERROR('BCO Gioti 2'!$E$43,"")</f>
        <v>0</v>
      </c>
      <c r="E14" s="48">
        <f>IFERROR('BCO Gioti 2'!$C$51,"")</f>
        <v>0</v>
      </c>
      <c r="F14" s="48">
        <f>IFERROR('BCO Gioti 2'!$C$53,"")</f>
        <v>0</v>
      </c>
      <c r="G14" s="49">
        <f>IFERROR('BCO Gioti 2'!$C$73,"")</f>
        <v>0</v>
      </c>
      <c r="H14" s="49" t="str">
        <f>IFERROR(IF('BCO Gioti 2'!C57&lt;&gt;"",'BCO Gioti 2'!C57,IF('BCO Gioti 2'!C9&lt;&gt;"",'BCO Gioti 2'!C9,"")),"")</f>
        <v/>
      </c>
      <c r="I14" s="50">
        <f>IFERROR(COUNTIF('BCO Gioti 2'!$C$100:$C$106,"Sí"),"")</f>
        <v>0</v>
      </c>
      <c r="J14" s="45"/>
    </row>
    <row r="15" spans="2:10" ht="24" customHeight="1">
      <c r="B15" s="14" t="s">
        <v>138</v>
      </c>
      <c r="C15" s="40">
        <f>IFERROR('BCO Gioti 3'!$C$14,"—")</f>
        <v>0</v>
      </c>
      <c r="D15" s="41">
        <f>IFERROR('BCO Gioti 3'!$E$43,"")</f>
        <v>0</v>
      </c>
      <c r="E15" s="42">
        <f>IFERROR('BCO Gioti 3'!$C$51,"")</f>
        <v>0</v>
      </c>
      <c r="F15" s="42">
        <f>IFERROR('BCO Gioti 3'!$C$53,"")</f>
        <v>0</v>
      </c>
      <c r="G15" s="43">
        <f>IFERROR('BCO Gioti 3'!$C$73,"")</f>
        <v>0</v>
      </c>
      <c r="H15" s="43" t="str">
        <f>IFERROR(IF('BCO Gioti 3'!C57&lt;&gt;"",'BCO Gioti 3'!C57,IF('BCO Gioti 3'!C9&lt;&gt;"",'BCO Gioti 3'!C9,"")),"")</f>
        <v/>
      </c>
      <c r="I15" s="44">
        <f>IFERROR(COUNTIF('BCO Gioti 3'!$C$100:$C$106,"Sí"),"")</f>
        <v>0</v>
      </c>
      <c r="J15" s="45"/>
    </row>
    <row r="16" spans="2:10" ht="24" customHeight="1">
      <c r="B16" s="18" t="s">
        <v>139</v>
      </c>
      <c r="C16" s="46">
        <f>IFERROR('BCO Gioti 4'!$C$14,"—")</f>
        <v>0</v>
      </c>
      <c r="D16" s="47">
        <f>IFERROR('BCO Gioti 4'!$E$43,"")</f>
        <v>0</v>
      </c>
      <c r="E16" s="48">
        <f>IFERROR('BCO Gioti 4'!$C$51,"")</f>
        <v>0</v>
      </c>
      <c r="F16" s="48">
        <f>IFERROR('BCO Gioti 4'!$C$53,"")</f>
        <v>0</v>
      </c>
      <c r="G16" s="49">
        <f>IFERROR('BCO Gioti 4'!$C$73,"")</f>
        <v>0</v>
      </c>
      <c r="H16" s="49" t="str">
        <f>IFERROR(IF('BCO Gioti 4'!C57&lt;&gt;"",'BCO Gioti 4'!C57,IF('BCO Gioti 4'!C9&lt;&gt;"",'BCO Gioti 4'!C9,"")),"")</f>
        <v/>
      </c>
      <c r="I16" s="50">
        <f>IFERROR(COUNTIF('BCO Gioti 4'!$C$100:$C$106,"Sí"),"")</f>
        <v>0</v>
      </c>
      <c r="J16" s="45"/>
    </row>
    <row r="18" spans="2:10" ht="7.5" customHeight="1"/>
    <row r="19" spans="2:10" ht="21.75" customHeight="1">
      <c r="B19" s="141" t="s">
        <v>140</v>
      </c>
      <c r="C19" s="141"/>
      <c r="D19" s="141"/>
      <c r="E19" s="141"/>
      <c r="F19" s="141"/>
      <c r="G19" s="141"/>
      <c r="H19" s="141"/>
      <c r="I19" s="141"/>
      <c r="J19" s="141"/>
    </row>
    <row r="20" spans="2:10" ht="21.75" customHeight="1">
      <c r="B20" s="142" t="s">
        <v>141</v>
      </c>
      <c r="C20" s="142"/>
      <c r="D20" s="142"/>
      <c r="E20" s="51">
        <f>IFERROR(AVERAGE(D9:D16),0)</f>
        <v>0.18382352941176472</v>
      </c>
    </row>
    <row r="21" spans="2:10" ht="21.75" customHeight="1">
      <c r="B21" s="142" t="s">
        <v>142</v>
      </c>
      <c r="C21" s="142"/>
      <c r="D21" s="142"/>
      <c r="E21" s="52">
        <f>IFERROR(MIN(D9:D16),0)</f>
        <v>0</v>
      </c>
    </row>
    <row r="22" spans="2:10" ht="21.75" customHeight="1">
      <c r="B22" s="142" t="s">
        <v>143</v>
      </c>
      <c r="C22" s="142"/>
      <c r="D22" s="142"/>
      <c r="E22" s="53">
        <f>IFERROR(MAX(D9:D16),0)</f>
        <v>0.79411764705882348</v>
      </c>
    </row>
    <row r="23" spans="2:10" ht="21.75" customHeight="1">
      <c r="B23" s="142" t="s">
        <v>144</v>
      </c>
      <c r="C23" s="142"/>
      <c r="D23" s="142"/>
      <c r="E23" s="54">
        <f>IFERROR(SUM(H9:H16),0)</f>
        <v>38</v>
      </c>
    </row>
    <row r="25" spans="2:10" ht="30" customHeight="1">
      <c r="B25" s="144" t="s">
        <v>145</v>
      </c>
      <c r="C25" s="144"/>
      <c r="D25" s="144"/>
      <c r="E25" s="144"/>
      <c r="F25" s="144"/>
      <c r="G25" s="144"/>
      <c r="H25" s="144"/>
      <c r="I25" s="144"/>
      <c r="J25" s="144"/>
    </row>
    <row r="28" spans="2:10" ht="21.75" customHeight="1">
      <c r="B28" s="140" t="s">
        <v>146</v>
      </c>
      <c r="C28" s="140"/>
      <c r="D28" s="140"/>
      <c r="E28" s="140"/>
      <c r="F28" s="140"/>
      <c r="G28" s="140"/>
      <c r="H28" s="140"/>
      <c r="I28" s="140"/>
      <c r="J28" s="140"/>
    </row>
    <row r="29" spans="2:10" ht="27.75" customHeight="1">
      <c r="B29" s="6" t="s">
        <v>123</v>
      </c>
      <c r="C29" s="6" t="s">
        <v>147</v>
      </c>
      <c r="D29" s="6" t="s">
        <v>148</v>
      </c>
      <c r="E29" s="6" t="s">
        <v>125</v>
      </c>
      <c r="F29" s="6" t="s">
        <v>149</v>
      </c>
      <c r="G29" s="6" t="s">
        <v>150</v>
      </c>
      <c r="H29" s="6" t="s">
        <v>151</v>
      </c>
    </row>
    <row r="30" spans="2:10" ht="25.5" customHeight="1">
      <c r="B30" s="55" t="s">
        <v>132</v>
      </c>
      <c r="C30" s="56">
        <f>IFERROR('SURA Cotizadores'!$C$12,"")</f>
        <v>0</v>
      </c>
      <c r="D30" s="57" t="str">
        <f>IFERROR(CHOOSE(MATCH('SURA Cotizadores'!C12,{"N0","N1","N2","N3","N4","N5"},0),"Reactivo/Sin estructura","Inicial/Ad hoc","Definido","Gestionado","Optimizado","Innovador"),"— Por definir")</f>
        <v>— Por definir</v>
      </c>
      <c r="E30" s="58">
        <f>IFERROR('SURA Cotizadores'!$E$42,"")</f>
        <v>0.5</v>
      </c>
      <c r="F30" s="59"/>
      <c r="G30" s="59"/>
      <c r="H30" s="59"/>
    </row>
    <row r="31" spans="2:10" ht="25.5" customHeight="1">
      <c r="B31" s="60" t="s">
        <v>133</v>
      </c>
      <c r="C31" s="61" t="str">
        <f>IFERROR('SURA Cotizadores'!$C$13,"")</f>
        <v>N4</v>
      </c>
      <c r="D31" s="62" t="str">
        <f>IFERROR(CHOOSE(MATCH('SURA Cotizadores'!C13,{"N0","N1","N2","N3","N4","N5"},0),"Reactivo/Sin estructura","Inicial/Ad hoc","Definido","Gestionado","Optimizado","Innovador"),"— Por definir")</f>
        <v>Optimizado</v>
      </c>
      <c r="E31" s="63">
        <f>IFERROR('SURA Cotizadores'!$E$42,"")</f>
        <v>0.5</v>
      </c>
      <c r="F31" s="64"/>
      <c r="G31" s="64"/>
      <c r="H31" s="64"/>
    </row>
    <row r="32" spans="2:10" ht="25.5" customHeight="1">
      <c r="B32" s="55" t="s">
        <v>134</v>
      </c>
      <c r="C32" s="56" t="str">
        <f>IFERROR('SURA Venta Digital'!$C$14,"")</f>
        <v>N1</v>
      </c>
      <c r="D32" s="57" t="str">
        <f>IFERROR(CHOOSE(MATCH('SURA Venta Digital'!C14,{"N0","N1","N2","N3","N4","N5"},0),"Reactivo/Sin estructura","Inicial/Ad hoc","Definido","Gestionado","Optimizado","Innovador"),"— Por definir")</f>
        <v>Inicial/Ad hoc</v>
      </c>
      <c r="E32" s="58">
        <f>IFERROR('SURA Venta Digital'!$E$43,"")</f>
        <v>0.17647058823529413</v>
      </c>
      <c r="F32" s="59"/>
      <c r="G32" s="59"/>
      <c r="H32" s="59"/>
    </row>
    <row r="33" spans="2:11" ht="25.5" customHeight="1">
      <c r="B33" s="60" t="s">
        <v>135</v>
      </c>
      <c r="C33" s="61">
        <f>IFERROR('SURA Torre Control'!$C$14,"")</f>
        <v>0</v>
      </c>
      <c r="D33" s="62" t="str">
        <f>IFERROR(CHOOSE(MATCH('SURA Torre Control'!C14,{"N0","N1","N2","N3","N4","N5"},0),"Reactivo/Sin estructura","Inicial/Ad hoc","Definido","Gestionado","Optimizado","Innovador"),"— Por definir")</f>
        <v>— Por definir</v>
      </c>
      <c r="E33" s="63">
        <f>IFERROR('SURA Torre Control'!$E$43,"")</f>
        <v>0</v>
      </c>
      <c r="F33" s="64"/>
      <c r="G33" s="64"/>
      <c r="H33" s="64"/>
    </row>
    <row r="34" spans="2:11" ht="25.5" customHeight="1">
      <c r="B34" s="55" t="s">
        <v>136</v>
      </c>
      <c r="C34" s="56">
        <f>IFERROR('SURA Mesa 4'!$C$14,"")</f>
        <v>0</v>
      </c>
      <c r="D34" s="57" t="str">
        <f>IFERROR(CHOOSE(MATCH('SURA Mesa 4'!C14,{"N0","N1","N2","N3","N4","N5"},0),"Reactivo/Sin estructura","Inicial/Ad hoc","Definido","Gestionado","Optimizado","Innovador"),"— Por definir")</f>
        <v>— Por definir</v>
      </c>
      <c r="E34" s="58">
        <f>IFERROR('SURA Mesa 4'!$E$43,"")</f>
        <v>0</v>
      </c>
      <c r="F34" s="59"/>
      <c r="G34" s="59"/>
      <c r="H34" s="59"/>
    </row>
    <row r="35" spans="2:11" ht="25.5" customHeight="1">
      <c r="B35" s="60" t="s">
        <v>137</v>
      </c>
      <c r="C35" s="61" t="str">
        <f>IFERROR('BCO Gioti 1'!$C$14,"")</f>
        <v>N3</v>
      </c>
      <c r="D35" s="62" t="str">
        <f>IFERROR(CHOOSE(MATCH('BCO Gioti 1'!C14,{"N0","N1","N2","N3","N4","N5"},0),"Reactivo/Sin estructura","Inicial/Ad hoc","Definido","Gestionado","Optimizado","Innovador"),"— Por definir")</f>
        <v>Gestionado</v>
      </c>
      <c r="E35" s="63">
        <f>IFERROR('BCO Gioti 1'!$E$43,"")</f>
        <v>0.79411764705882348</v>
      </c>
      <c r="F35" s="64"/>
      <c r="G35" s="64"/>
      <c r="H35" s="64"/>
    </row>
    <row r="36" spans="2:11" ht="25.5" customHeight="1">
      <c r="B36" s="55" t="s">
        <v>138</v>
      </c>
      <c r="C36" s="56">
        <f>IFERROR('BCO Gioti 2'!$C$14,"")</f>
        <v>0</v>
      </c>
      <c r="D36" s="57" t="str">
        <f>IFERROR(CHOOSE(MATCH('BCO Gioti 2'!C14,{"N0","N1","N2","N3","N4","N5"},0),"Reactivo/Sin estructura","Inicial/Ad hoc","Definido","Gestionado","Optimizado","Innovador"),"— Por definir")</f>
        <v>— Por definir</v>
      </c>
      <c r="E36" s="58">
        <f>IFERROR('BCO Gioti 2'!$E$43,"")</f>
        <v>0</v>
      </c>
      <c r="F36" s="59"/>
      <c r="G36" s="59"/>
      <c r="H36" s="59"/>
    </row>
    <row r="37" spans="2:11" ht="25.5" customHeight="1">
      <c r="B37" s="60" t="s">
        <v>139</v>
      </c>
      <c r="C37" s="61">
        <f>IFERROR('BCO Gioti 4'!$C$14,"")</f>
        <v>0</v>
      </c>
      <c r="D37" s="62" t="str">
        <f>IFERROR(CHOOSE(MATCH('BCO Gioti 4'!C14,{"N0","N1","N2","N3","N4","N5"},0),"Reactivo/Sin estructura","Inicial/Ad hoc","Definido","Gestionado","Optimizado","Innovador"),"— Por definir")</f>
        <v>— Por definir</v>
      </c>
      <c r="E37" s="63">
        <f>IFERROR('BCO Gioti 4'!$E$43,"")</f>
        <v>0</v>
      </c>
      <c r="F37" s="64"/>
      <c r="G37" s="64"/>
      <c r="H37" s="64"/>
    </row>
    <row r="39" spans="2:11" ht="21.75" customHeight="1">
      <c r="B39" s="140" t="s">
        <v>152</v>
      </c>
      <c r="C39" s="140"/>
      <c r="D39" s="140"/>
      <c r="E39" s="140"/>
      <c r="F39" s="140"/>
      <c r="G39" s="140"/>
      <c r="H39" s="140"/>
      <c r="I39" s="140"/>
      <c r="J39" s="140"/>
    </row>
    <row r="40" spans="2:11" ht="27.75" customHeight="1">
      <c r="B40" s="6" t="s">
        <v>153</v>
      </c>
      <c r="C40" s="6" t="s">
        <v>154</v>
      </c>
      <c r="D40" s="6" t="s">
        <v>155</v>
      </c>
      <c r="E40" s="6" t="s">
        <v>156</v>
      </c>
      <c r="F40" s="6" t="s">
        <v>157</v>
      </c>
      <c r="G40" s="6" t="s">
        <v>158</v>
      </c>
      <c r="H40" s="6" t="s">
        <v>159</v>
      </c>
      <c r="I40" s="6" t="s">
        <v>160</v>
      </c>
      <c r="J40" s="6" t="s">
        <v>161</v>
      </c>
      <c r="K40" s="6" t="s">
        <v>162</v>
      </c>
    </row>
    <row r="41" spans="2:11" ht="21.75" customHeight="1">
      <c r="B41" s="59" t="s">
        <v>163</v>
      </c>
      <c r="C41" s="65" t="str">
        <f>IFERROR(IF('SURA Cotizadores'!C82="Sí","✓",IF('SURA Cotizadores'!C82="Parcial","~","")),"")</f>
        <v>✓</v>
      </c>
      <c r="D41" s="65" t="str">
        <f>IFERROR(IF('SURA Venta Digital'!C83="Sí","✓",IF('SURA Venta Digital'!C83="Parcial","~","")),"")</f>
        <v>✓</v>
      </c>
      <c r="E41" s="65" t="str">
        <f>IFERROR(IF('SURA Torre Control'!C83="Sí","✓",IF('SURA Torre Control'!C83="Parcial","~","")),"")</f>
        <v/>
      </c>
      <c r="F41" s="65" t="str">
        <f>IFERROR(IF('SURA Mesa 4'!C83="Sí","✓",IF('SURA Mesa 4'!C83="Parcial","~","")),"")</f>
        <v/>
      </c>
      <c r="G41" s="66" t="str">
        <f>IFERROR(IF('BCO Gioti 1'!C83="Sí","✓",IF('BCO Gioti 1'!C83="Parcial","~","")),"")</f>
        <v>~</v>
      </c>
      <c r="H41" s="66" t="str">
        <f>IFERROR(IF('BCO Gioti 2'!C83="Sí","✓",IF('BCO Gioti 2'!C83="Parcial","~","")),"")</f>
        <v/>
      </c>
      <c r="I41" s="66" t="str">
        <f>IFERROR(IF('BCO Gioti 3'!C83="Sí","✓",IF('BCO Gioti 3'!C83="Parcial","~","")),"")</f>
        <v/>
      </c>
      <c r="J41" s="66" t="str">
        <f>IFERROR(IF('BCO Gioti 4'!C83="Sí","✓",IF('BCO Gioti 4'!C83="Parcial","~","")),"")</f>
        <v/>
      </c>
      <c r="K41" s="67">
        <f>IF(IFERROR('SURA Cotizadores'!C82,"")="Sí",1,0)+IF(IFERROR('SURA Venta Digital'!C83,"")="Sí",1,0)+IF(IFERROR('SURA Torre Control'!C83,"")="Sí",1,0)+IF(IFERROR('SURA Mesa 4'!C83,"")="Sí",1,0)+IF(IFERROR('BCO Gioti 1'!C83,"")="Sí",1,0)+IF(IFERROR('BCO Gioti 2'!C83,"")="Sí",1,0)+IF(IFERROR('BCO Gioti 3'!C83,"")="Sí",1,0)+IF(IFERROR('BCO Gioti 4'!C83,"")="Sí",1,0)</f>
        <v>2</v>
      </c>
    </row>
    <row r="42" spans="2:11" ht="21.75" customHeight="1">
      <c r="B42" s="64" t="s">
        <v>164</v>
      </c>
      <c r="C42" s="68" t="str">
        <f>IFERROR(IF('SURA Cotizadores'!C83="Sí","✓",IF('SURA Cotizadores'!C83="Parcial","~","")),"")</f>
        <v>~</v>
      </c>
      <c r="D42" s="68" t="str">
        <f>IFERROR(IF('SURA Venta Digital'!C84="Sí","✓",IF('SURA Venta Digital'!C84="Parcial","~","")),"")</f>
        <v>✓</v>
      </c>
      <c r="E42" s="68" t="str">
        <f>IFERROR(IF('SURA Torre Control'!C84="Sí","✓",IF('SURA Torre Control'!C84="Parcial","~","")),"")</f>
        <v/>
      </c>
      <c r="F42" s="68" t="str">
        <f>IFERROR(IF('SURA Mesa 4'!C84="Sí","✓",IF('SURA Mesa 4'!C84="Parcial","~","")),"")</f>
        <v/>
      </c>
      <c r="G42" s="69" t="str">
        <f>IFERROR(IF('BCO Gioti 1'!C84="Sí","✓",IF('BCO Gioti 1'!C84="Parcial","~","")),"")</f>
        <v/>
      </c>
      <c r="H42" s="69" t="str">
        <f>IFERROR(IF('BCO Gioti 2'!C84="Sí","✓",IF('BCO Gioti 2'!C84="Parcial","~","")),"")</f>
        <v/>
      </c>
      <c r="I42" s="69" t="str">
        <f>IFERROR(IF('BCO Gioti 3'!C84="Sí","✓",IF('BCO Gioti 3'!C84="Parcial","~","")),"")</f>
        <v/>
      </c>
      <c r="J42" s="69" t="str">
        <f>IFERROR(IF('BCO Gioti 4'!C84="Sí","✓",IF('BCO Gioti 4'!C84="Parcial","~","")),"")</f>
        <v/>
      </c>
      <c r="K42" s="67">
        <f>IF(IFERROR('SURA Cotizadores'!C83,"")="Sí",1,0)+IF(IFERROR('SURA Venta Digital'!C84,"")="Sí",1,0)+IF(IFERROR('SURA Torre Control'!C84,"")="Sí",1,0)+IF(IFERROR('SURA Mesa 4'!C84,"")="Sí",1,0)+IF(IFERROR('BCO Gioti 1'!C84,"")="Sí",1,0)+IF(IFERROR('BCO Gioti 2'!C84,"")="Sí",1,0)+IF(IFERROR('BCO Gioti 3'!C84,"")="Sí",1,0)+IF(IFERROR('BCO Gioti 4'!C84,"")="Sí",1,0)</f>
        <v>1</v>
      </c>
    </row>
    <row r="43" spans="2:11" ht="21.75" customHeight="1">
      <c r="B43" s="59" t="s">
        <v>165</v>
      </c>
      <c r="C43" s="65" t="str">
        <f>IFERROR(IF('SURA Cotizadores'!C84="Sí","✓",IF('SURA Cotizadores'!C84="Parcial","~","")),"")</f>
        <v>✓</v>
      </c>
      <c r="D43" s="65" t="str">
        <f>IFERROR(IF('SURA Venta Digital'!C85="Sí","✓",IF('SURA Venta Digital'!C85="Parcial","~","")),"")</f>
        <v>✓</v>
      </c>
      <c r="E43" s="65" t="str">
        <f>IFERROR(IF('SURA Torre Control'!C85="Sí","✓",IF('SURA Torre Control'!C85="Parcial","~","")),"")</f>
        <v/>
      </c>
      <c r="F43" s="65" t="str">
        <f>IFERROR(IF('SURA Mesa 4'!C85="Sí","✓",IF('SURA Mesa 4'!C85="Parcial","~","")),"")</f>
        <v/>
      </c>
      <c r="G43" s="66" t="str">
        <f>IFERROR(IF('BCO Gioti 1'!C85="Sí","✓",IF('BCO Gioti 1'!C85="Parcial","~","")),"")</f>
        <v>~</v>
      </c>
      <c r="H43" s="66" t="str">
        <f>IFERROR(IF('BCO Gioti 2'!C85="Sí","✓",IF('BCO Gioti 2'!C85="Parcial","~","")),"")</f>
        <v/>
      </c>
      <c r="I43" s="66" t="str">
        <f>IFERROR(IF('BCO Gioti 3'!C85="Sí","✓",IF('BCO Gioti 3'!C85="Parcial","~","")),"")</f>
        <v/>
      </c>
      <c r="J43" s="66" t="str">
        <f>IFERROR(IF('BCO Gioti 4'!C85="Sí","✓",IF('BCO Gioti 4'!C85="Parcial","~","")),"")</f>
        <v/>
      </c>
      <c r="K43" s="67">
        <f>IF(IFERROR('SURA Cotizadores'!C84,"")="Sí",1,0)+IF(IFERROR('SURA Venta Digital'!C85,"")="Sí",1,0)+IF(IFERROR('SURA Torre Control'!C85,"")="Sí",1,0)+IF(IFERROR('SURA Mesa 4'!C85,"")="Sí",1,0)+IF(IFERROR('BCO Gioti 1'!C85,"")="Sí",1,0)+IF(IFERROR('BCO Gioti 2'!C85,"")="Sí",1,0)+IF(IFERROR('BCO Gioti 3'!C85,"")="Sí",1,0)+IF(IFERROR('BCO Gioti 4'!C85,"")="Sí",1,0)</f>
        <v>2</v>
      </c>
    </row>
    <row r="44" spans="2:11" ht="21.75" customHeight="1">
      <c r="B44" s="64" t="s">
        <v>166</v>
      </c>
      <c r="C44" s="68" t="str">
        <f>IFERROR(IF('SURA Cotizadores'!C85="Sí","✓",IF('SURA Cotizadores'!C85="Parcial","~","")),"")</f>
        <v>✓</v>
      </c>
      <c r="D44" s="68" t="str">
        <f>IFERROR(IF('SURA Venta Digital'!C86="Sí","✓",IF('SURA Venta Digital'!C86="Parcial","~","")),"")</f>
        <v>✓</v>
      </c>
      <c r="E44" s="68" t="str">
        <f>IFERROR(IF('SURA Torre Control'!C86="Sí","✓",IF('SURA Torre Control'!C86="Parcial","~","")),"")</f>
        <v/>
      </c>
      <c r="F44" s="68" t="str">
        <f>IFERROR(IF('SURA Mesa 4'!C86="Sí","✓",IF('SURA Mesa 4'!C86="Parcial","~","")),"")</f>
        <v/>
      </c>
      <c r="G44" s="69" t="str">
        <f>IFERROR(IF('BCO Gioti 1'!C86="Sí","✓",IF('BCO Gioti 1'!C86="Parcial","~","")),"")</f>
        <v/>
      </c>
      <c r="H44" s="69" t="str">
        <f>IFERROR(IF('BCO Gioti 2'!C86="Sí","✓",IF('BCO Gioti 2'!C86="Parcial","~","")),"")</f>
        <v/>
      </c>
      <c r="I44" s="69" t="str">
        <f>IFERROR(IF('BCO Gioti 3'!C86="Sí","✓",IF('BCO Gioti 3'!C86="Parcial","~","")),"")</f>
        <v/>
      </c>
      <c r="J44" s="69" t="str">
        <f>IFERROR(IF('BCO Gioti 4'!C86="Sí","✓",IF('BCO Gioti 4'!C86="Parcial","~","")),"")</f>
        <v/>
      </c>
      <c r="K44" s="67">
        <f>IF(IFERROR('SURA Cotizadores'!C85,"")="Sí",1,0)+IF(IFERROR('SURA Venta Digital'!C86,"")="Sí",1,0)+IF(IFERROR('SURA Torre Control'!C86,"")="Sí",1,0)+IF(IFERROR('SURA Mesa 4'!C86,"")="Sí",1,0)+IF(IFERROR('BCO Gioti 1'!C86,"")="Sí",1,0)+IF(IFERROR('BCO Gioti 2'!C86,"")="Sí",1,0)+IF(IFERROR('BCO Gioti 3'!C86,"")="Sí",1,0)+IF(IFERROR('BCO Gioti 4'!C86,"")="Sí",1,0)</f>
        <v>2</v>
      </c>
    </row>
    <row r="45" spans="2:11" ht="21.75" customHeight="1">
      <c r="B45" s="59" t="s">
        <v>167</v>
      </c>
      <c r="C45" s="65" t="str">
        <f>IFERROR(IF('SURA Cotizadores'!C86="Sí","✓",IF('SURA Cotizadores'!C86="Parcial","~","")),"")</f>
        <v>✓</v>
      </c>
      <c r="D45" s="65" t="str">
        <f>IFERROR(IF('SURA Venta Digital'!C87="Sí","✓",IF('SURA Venta Digital'!C87="Parcial","~","")),"")</f>
        <v>✓</v>
      </c>
      <c r="E45" s="65" t="str">
        <f>IFERROR(IF('SURA Torre Control'!C87="Sí","✓",IF('SURA Torre Control'!C87="Parcial","~","")),"")</f>
        <v/>
      </c>
      <c r="F45" s="65" t="str">
        <f>IFERROR(IF('SURA Mesa 4'!C87="Sí","✓",IF('SURA Mesa 4'!C87="Parcial","~","")),"")</f>
        <v/>
      </c>
      <c r="G45" s="66" t="str">
        <f>IFERROR(IF('BCO Gioti 1'!C87="Sí","✓",IF('BCO Gioti 1'!C87="Parcial","~","")),"")</f>
        <v/>
      </c>
      <c r="H45" s="66" t="str">
        <f>IFERROR(IF('BCO Gioti 2'!C87="Sí","✓",IF('BCO Gioti 2'!C87="Parcial","~","")),"")</f>
        <v/>
      </c>
      <c r="I45" s="66" t="str">
        <f>IFERROR(IF('BCO Gioti 3'!C87="Sí","✓",IF('BCO Gioti 3'!C87="Parcial","~","")),"")</f>
        <v/>
      </c>
      <c r="J45" s="66" t="str">
        <f>IFERROR(IF('BCO Gioti 4'!C87="Sí","✓",IF('BCO Gioti 4'!C87="Parcial","~","")),"")</f>
        <v/>
      </c>
      <c r="K45" s="67">
        <f>IF(IFERROR('SURA Cotizadores'!C86,"")="Sí",1,0)+IF(IFERROR('SURA Venta Digital'!C87,"")="Sí",1,0)+IF(IFERROR('SURA Torre Control'!C87,"")="Sí",1,0)+IF(IFERROR('SURA Mesa 4'!C87,"")="Sí",1,0)+IF(IFERROR('BCO Gioti 1'!C87,"")="Sí",1,0)+IF(IFERROR('BCO Gioti 2'!C87,"")="Sí",1,0)+IF(IFERROR('BCO Gioti 3'!C87,"")="Sí",1,0)+IF(IFERROR('BCO Gioti 4'!C87,"")="Sí",1,0)</f>
        <v>2</v>
      </c>
    </row>
    <row r="46" spans="2:11" ht="21.75" customHeight="1">
      <c r="B46" s="64" t="s">
        <v>168</v>
      </c>
      <c r="C46" s="68" t="str">
        <f>IFERROR(IF('SURA Cotizadores'!C87="Sí","✓",IF('SURA Cotizadores'!C87="Parcial","~","")),"")</f>
        <v>~</v>
      </c>
      <c r="D46" s="68" t="str">
        <f>IFERROR(IF('SURA Venta Digital'!C88="Sí","✓",IF('SURA Venta Digital'!C88="Parcial","~","")),"")</f>
        <v>✓</v>
      </c>
      <c r="E46" s="68" t="str">
        <f>IFERROR(IF('SURA Torre Control'!C88="Sí","✓",IF('SURA Torre Control'!C88="Parcial","~","")),"")</f>
        <v/>
      </c>
      <c r="F46" s="68" t="str">
        <f>IFERROR(IF('SURA Mesa 4'!C88="Sí","✓",IF('SURA Mesa 4'!C88="Parcial","~","")),"")</f>
        <v/>
      </c>
      <c r="G46" s="69" t="str">
        <f>IFERROR(IF('BCO Gioti 1'!C88="Sí","✓",IF('BCO Gioti 1'!C88="Parcial","~","")),"")</f>
        <v/>
      </c>
      <c r="H46" s="69" t="str">
        <f>IFERROR(IF('BCO Gioti 2'!C88="Sí","✓",IF('BCO Gioti 2'!C88="Parcial","~","")),"")</f>
        <v/>
      </c>
      <c r="I46" s="69" t="str">
        <f>IFERROR(IF('BCO Gioti 3'!C88="Sí","✓",IF('BCO Gioti 3'!C88="Parcial","~","")),"")</f>
        <v/>
      </c>
      <c r="J46" s="69" t="str">
        <f>IFERROR(IF('BCO Gioti 4'!C88="Sí","✓",IF('BCO Gioti 4'!C88="Parcial","~","")),"")</f>
        <v/>
      </c>
      <c r="K46" s="67">
        <f>IF(IFERROR('SURA Cotizadores'!C87,"")="Sí",1,0)+IF(IFERROR('SURA Venta Digital'!C88,"")="Sí",1,0)+IF(IFERROR('SURA Torre Control'!C88,"")="Sí",1,0)+IF(IFERROR('SURA Mesa 4'!C88,"")="Sí",1,0)+IF(IFERROR('BCO Gioti 1'!C88,"")="Sí",1,0)+IF(IFERROR('BCO Gioti 2'!C88,"")="Sí",1,0)+IF(IFERROR('BCO Gioti 3'!C88,"")="Sí",1,0)+IF(IFERROR('BCO Gioti 4'!C88,"")="Sí",1,0)</f>
        <v>1</v>
      </c>
    </row>
    <row r="47" spans="2:11" ht="21.75" customHeight="1">
      <c r="B47" s="59" t="s">
        <v>169</v>
      </c>
      <c r="C47" s="65" t="str">
        <f>IFERROR(IF('SURA Cotizadores'!C88="Sí","✓",IF('SURA Cotizadores'!C88="Parcial","~","")),"")</f>
        <v/>
      </c>
      <c r="D47" s="65" t="str">
        <f>IFERROR(IF('SURA Venta Digital'!C89="Sí","✓",IF('SURA Venta Digital'!C89="Parcial","~","")),"")</f>
        <v>✓</v>
      </c>
      <c r="E47" s="65" t="str">
        <f>IFERROR(IF('SURA Torre Control'!C89="Sí","✓",IF('SURA Torre Control'!C89="Parcial","~","")),"")</f>
        <v/>
      </c>
      <c r="F47" s="65" t="str">
        <f>IFERROR(IF('SURA Mesa 4'!C89="Sí","✓",IF('SURA Mesa 4'!C89="Parcial","~","")),"")</f>
        <v/>
      </c>
      <c r="G47" s="66" t="str">
        <f>IFERROR(IF('BCO Gioti 1'!C89="Sí","✓",IF('BCO Gioti 1'!C89="Parcial","~","")),"")</f>
        <v/>
      </c>
      <c r="H47" s="66" t="str">
        <f>IFERROR(IF('BCO Gioti 2'!C89="Sí","✓",IF('BCO Gioti 2'!C89="Parcial","~","")),"")</f>
        <v/>
      </c>
      <c r="I47" s="66" t="str">
        <f>IFERROR(IF('BCO Gioti 3'!C89="Sí","✓",IF('BCO Gioti 3'!C89="Parcial","~","")),"")</f>
        <v/>
      </c>
      <c r="J47" s="66" t="str">
        <f>IFERROR(IF('BCO Gioti 4'!C89="Sí","✓",IF('BCO Gioti 4'!C89="Parcial","~","")),"")</f>
        <v/>
      </c>
      <c r="K47" s="67">
        <f>IF(IFERROR('SURA Cotizadores'!C88,"")="Sí",1,0)+IF(IFERROR('SURA Venta Digital'!C89,"")="Sí",1,0)+IF(IFERROR('SURA Torre Control'!C89,"")="Sí",1,0)+IF(IFERROR('SURA Mesa 4'!C89,"")="Sí",1,0)+IF(IFERROR('BCO Gioti 1'!C89,"")="Sí",1,0)+IF(IFERROR('BCO Gioti 2'!C89,"")="Sí",1,0)+IF(IFERROR('BCO Gioti 3'!C89,"")="Sí",1,0)+IF(IFERROR('BCO Gioti 4'!C89,"")="Sí",1,0)</f>
        <v>1</v>
      </c>
    </row>
    <row r="50" spans="2:10" ht="21.75" customHeight="1">
      <c r="B50" s="143" t="s">
        <v>170</v>
      </c>
      <c r="C50" s="143"/>
      <c r="D50" s="143"/>
      <c r="E50" s="143"/>
      <c r="F50" s="143"/>
      <c r="G50" s="143"/>
      <c r="H50" s="143"/>
      <c r="I50" s="143"/>
      <c r="J50" s="143"/>
    </row>
    <row r="51" spans="2:10" ht="15"/>
    <row r="52" spans="2:10" ht="15"/>
    <row r="53" spans="2:10" ht="15"/>
    <row r="54" spans="2:10" ht="15"/>
    <row r="55" spans="2:10" ht="15"/>
  </sheetData>
  <mergeCells count="16">
    <mergeCell ref="C5:H5"/>
    <mergeCell ref="I2:J5"/>
    <mergeCell ref="B2:B5"/>
    <mergeCell ref="C2:H2"/>
    <mergeCell ref="C3:H3"/>
    <mergeCell ref="C4:H4"/>
    <mergeCell ref="B7:J7"/>
    <mergeCell ref="B19:J19"/>
    <mergeCell ref="B20:D20"/>
    <mergeCell ref="B39:J39"/>
    <mergeCell ref="B50:J50"/>
    <mergeCell ref="B21:D21"/>
    <mergeCell ref="B22:D22"/>
    <mergeCell ref="B23:D23"/>
    <mergeCell ref="B25:J25"/>
    <mergeCell ref="B28:J28"/>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P73"/>
  <sheetViews>
    <sheetView showGridLines="0" zoomScaleNormal="100" workbookViewId="0">
      <selection activeCell="U23" sqref="U23"/>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153"/>
      <c r="C2" s="154"/>
      <c r="D2" s="154"/>
      <c r="E2" s="162" t="s">
        <v>171</v>
      </c>
      <c r="F2" s="163"/>
      <c r="G2" s="163"/>
      <c r="H2" s="163"/>
      <c r="I2" s="163"/>
      <c r="J2" s="163"/>
      <c r="K2" s="163"/>
      <c r="L2" s="163"/>
      <c r="M2" s="164"/>
      <c r="N2" s="158" t="s">
        <v>119</v>
      </c>
      <c r="O2" s="154"/>
      <c r="P2" s="159"/>
    </row>
    <row r="3" spans="2:16" ht="14.45" customHeight="1">
      <c r="B3" s="155"/>
      <c r="C3" s="148"/>
      <c r="D3" s="148"/>
      <c r="E3" s="165" t="s">
        <v>172</v>
      </c>
      <c r="F3" s="151"/>
      <c r="G3" s="151"/>
      <c r="H3" s="151"/>
      <c r="I3" s="151"/>
      <c r="J3" s="151"/>
      <c r="K3" s="151"/>
      <c r="L3" s="151"/>
      <c r="M3" s="166"/>
      <c r="N3" s="148"/>
      <c r="O3" s="148"/>
      <c r="P3" s="160"/>
    </row>
    <row r="4" spans="2:16" ht="14.45" customHeight="1">
      <c r="B4" s="155"/>
      <c r="C4" s="148"/>
      <c r="D4" s="148"/>
      <c r="E4" s="155"/>
      <c r="F4" s="148"/>
      <c r="G4" s="148"/>
      <c r="H4" s="148"/>
      <c r="I4" s="148"/>
      <c r="J4" s="148"/>
      <c r="K4" s="148"/>
      <c r="L4" s="148"/>
      <c r="M4" s="160"/>
      <c r="N4" s="148"/>
      <c r="O4" s="148"/>
      <c r="P4" s="160"/>
    </row>
    <row r="5" spans="2:16" ht="14.45" customHeight="1">
      <c r="B5" s="156"/>
      <c r="C5" s="157"/>
      <c r="D5" s="157"/>
      <c r="E5" s="167" t="s">
        <v>121</v>
      </c>
      <c r="F5" s="157"/>
      <c r="G5" s="157"/>
      <c r="H5" s="157"/>
      <c r="I5" s="157"/>
      <c r="J5" s="157"/>
      <c r="K5" s="157"/>
      <c r="L5" s="157"/>
      <c r="M5" s="161"/>
      <c r="N5" s="157"/>
      <c r="O5" s="157"/>
      <c r="P5" s="161"/>
    </row>
    <row r="6" spans="2:16" ht="15"/>
    <row r="7" spans="2:16" ht="21.75" customHeight="1">
      <c r="B7" s="168" t="s">
        <v>173</v>
      </c>
      <c r="C7" s="168"/>
      <c r="D7" s="168"/>
      <c r="E7" s="168"/>
      <c r="F7" s="168"/>
      <c r="G7" s="168"/>
      <c r="H7" s="168"/>
      <c r="I7" s="168" t="s">
        <v>174</v>
      </c>
      <c r="J7" s="168"/>
      <c r="K7" s="168"/>
      <c r="L7" s="168"/>
      <c r="M7" s="168"/>
      <c r="N7" s="168"/>
      <c r="O7" s="168"/>
      <c r="P7" s="168"/>
    </row>
    <row r="11" spans="2:16" ht="15"/>
    <row r="17" ht="15"/>
    <row r="18" ht="15"/>
    <row r="19" ht="15"/>
    <row r="20" ht="15"/>
    <row r="21" ht="15"/>
    <row r="22" ht="15"/>
    <row r="23" ht="15"/>
    <row r="24" ht="15"/>
    <row r="25" ht="15"/>
    <row r="26" ht="15"/>
    <row r="27" ht="15"/>
    <row r="28" ht="15"/>
    <row r="29" ht="15"/>
    <row r="30" ht="15"/>
    <row r="31" ht="15"/>
    <row r="32" ht="15"/>
    <row r="33" spans="2:16" ht="15"/>
    <row r="45" spans="2:16" ht="21.75" customHeight="1">
      <c r="B45" s="168" t="s">
        <v>175</v>
      </c>
      <c r="C45" s="168"/>
      <c r="D45" s="168"/>
      <c r="E45" s="168"/>
      <c r="F45" s="168"/>
      <c r="G45" s="168"/>
      <c r="H45" s="168"/>
      <c r="I45" s="168" t="s">
        <v>176</v>
      </c>
      <c r="J45" s="168"/>
      <c r="K45" s="168"/>
      <c r="L45" s="168"/>
      <c r="M45" s="168"/>
      <c r="N45" s="168"/>
      <c r="O45" s="168"/>
      <c r="P45" s="168"/>
    </row>
    <row r="58" ht="15"/>
    <row r="65" spans="2:16" ht="21.75" customHeight="1">
      <c r="B65" s="168" t="s">
        <v>177</v>
      </c>
      <c r="C65" s="168"/>
      <c r="D65" s="168"/>
      <c r="E65" s="168"/>
      <c r="F65" s="168"/>
      <c r="G65" s="168"/>
      <c r="H65" s="168"/>
      <c r="I65" s="168"/>
      <c r="J65" s="168"/>
      <c r="K65" s="168"/>
      <c r="L65" s="168"/>
      <c r="M65" s="168"/>
      <c r="N65" s="168"/>
      <c r="O65" s="168"/>
      <c r="P65" s="168"/>
    </row>
    <row r="67" spans="2:16" ht="15"/>
    <row r="73" spans="2:16" ht="15"/>
  </sheetData>
  <mergeCells count="11">
    <mergeCell ref="B65:P65"/>
    <mergeCell ref="B7:H7"/>
    <mergeCell ref="I7:P7"/>
    <mergeCell ref="B45:H45"/>
    <mergeCell ref="I45:P45"/>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K138"/>
  <sheetViews>
    <sheetView showGridLines="0" zoomScaleNormal="100" workbookViewId="0">
      <pane xSplit="2" ySplit="1" topLeftCell="C2" activePane="bottomRight" state="frozen"/>
      <selection pane="bottomRight" activeCell="C9" sqref="C9:E9"/>
      <selection pane="bottomLeft" activeCell="A3" sqref="A3"/>
      <selection pane="topRight" activeCell="C1" sqref="C1"/>
    </sheetView>
  </sheetViews>
  <sheetFormatPr defaultColWidth="8.5703125" defaultRowHeight="14.45"/>
  <cols>
    <col min="1" max="1" width="3" style="1" customWidth="1"/>
    <col min="2" max="2" width="34.85546875" style="1" customWidth="1"/>
    <col min="3" max="3" width="36" style="1" customWidth="1"/>
    <col min="4" max="4" width="24.7109375" style="1" customWidth="1"/>
    <col min="5" max="5" width="40" style="1" customWidth="1"/>
    <col min="6" max="6" width="14" style="1" customWidth="1"/>
    <col min="7" max="7" width="20" style="1" customWidth="1"/>
    <col min="8" max="9" width="8.5703125" style="1"/>
    <col min="10" max="10" width="21.5703125" style="1" customWidth="1"/>
    <col min="11" max="11" width="52" style="1" customWidth="1"/>
    <col min="12" max="16384" width="8.5703125" style="1"/>
  </cols>
  <sheetData>
    <row r="1" spans="2:11" ht="30" customHeight="1">
      <c r="B1" s="169" t="s">
        <v>178</v>
      </c>
      <c r="C1" s="169"/>
      <c r="D1" s="169"/>
      <c r="E1" s="169"/>
      <c r="F1" s="169"/>
      <c r="G1" s="169"/>
    </row>
    <row r="2" spans="2:11" ht="18" customHeight="1">
      <c r="B2" s="102" t="s">
        <v>179</v>
      </c>
      <c r="C2" s="102"/>
      <c r="D2" s="102"/>
      <c r="E2" s="102"/>
      <c r="F2" s="102"/>
      <c r="G2" s="102"/>
      <c r="I2" s="100" t="s">
        <v>48</v>
      </c>
      <c r="J2" s="100"/>
      <c r="K2" s="100"/>
    </row>
    <row r="3" spans="2:11" ht="24" customHeight="1">
      <c r="B3" s="170" t="s">
        <v>180</v>
      </c>
      <c r="C3" s="170"/>
      <c r="D3" s="170"/>
      <c r="E3" s="170"/>
      <c r="F3" s="170"/>
      <c r="G3" s="170"/>
      <c r="I3" s="6" t="s">
        <v>49</v>
      </c>
      <c r="J3" s="6" t="s">
        <v>50</v>
      </c>
      <c r="K3" s="6" t="s">
        <v>22</v>
      </c>
    </row>
    <row r="4" spans="2:11" ht="19.5" customHeight="1">
      <c r="B4" s="70" t="s">
        <v>181</v>
      </c>
      <c r="C4" s="104" t="s">
        <v>101</v>
      </c>
      <c r="D4" s="104"/>
      <c r="E4" s="104"/>
      <c r="I4" s="21" t="s">
        <v>51</v>
      </c>
      <c r="J4" s="22" t="s">
        <v>52</v>
      </c>
      <c r="K4" s="101" t="s">
        <v>53</v>
      </c>
    </row>
    <row r="5" spans="2:11" ht="19.5" customHeight="1">
      <c r="B5" s="70" t="s">
        <v>182</v>
      </c>
      <c r="C5" s="104" t="s">
        <v>183</v>
      </c>
      <c r="D5" s="104"/>
      <c r="E5" s="104"/>
      <c r="I5" s="23" t="s">
        <v>54</v>
      </c>
      <c r="J5" s="22" t="s">
        <v>55</v>
      </c>
      <c r="K5" s="101" t="s">
        <v>56</v>
      </c>
    </row>
    <row r="6" spans="2:11" ht="19.5" customHeight="1">
      <c r="B6" s="70" t="s">
        <v>184</v>
      </c>
      <c r="C6" s="104"/>
      <c r="D6" s="104"/>
      <c r="E6" s="104"/>
      <c r="I6" s="24" t="s">
        <v>57</v>
      </c>
      <c r="J6" s="22" t="s">
        <v>58</v>
      </c>
      <c r="K6" s="101" t="s">
        <v>59</v>
      </c>
    </row>
    <row r="7" spans="2:11" ht="19.5" customHeight="1">
      <c r="B7" s="70" t="s">
        <v>185</v>
      </c>
      <c r="C7" s="104"/>
      <c r="D7" s="104"/>
      <c r="E7" s="104"/>
      <c r="I7" s="25" t="s">
        <v>60</v>
      </c>
      <c r="J7" s="22" t="s">
        <v>61</v>
      </c>
      <c r="K7" s="101" t="s">
        <v>62</v>
      </c>
    </row>
    <row r="8" spans="2:11" ht="19.5" customHeight="1">
      <c r="B8" s="70" t="s">
        <v>186</v>
      </c>
      <c r="C8" s="104"/>
      <c r="D8" s="104"/>
      <c r="E8" s="104"/>
      <c r="I8" s="26" t="s">
        <v>63</v>
      </c>
      <c r="J8" s="22" t="s">
        <v>64</v>
      </c>
      <c r="K8" s="101" t="s">
        <v>65</v>
      </c>
    </row>
    <row r="9" spans="2:11" ht="19.5" customHeight="1">
      <c r="B9" s="70" t="s">
        <v>187</v>
      </c>
      <c r="C9" s="174"/>
      <c r="D9" s="174"/>
      <c r="E9" s="174"/>
      <c r="I9" s="27" t="s">
        <v>66</v>
      </c>
      <c r="J9" s="22" t="s">
        <v>67</v>
      </c>
      <c r="K9" s="101" t="s">
        <v>68</v>
      </c>
    </row>
    <row r="10" spans="2:11" ht="19.5" customHeight="1">
      <c r="B10" s="70" t="s">
        <v>188</v>
      </c>
      <c r="C10" s="104"/>
      <c r="D10" s="104"/>
      <c r="E10" s="104"/>
    </row>
    <row r="11" spans="2:11" ht="19.5" customHeight="1">
      <c r="B11" s="70" t="s">
        <v>189</v>
      </c>
      <c r="C11" s="104"/>
      <c r="D11" s="104"/>
      <c r="E11" s="104"/>
    </row>
    <row r="12" spans="2:11" ht="19.5" customHeight="1">
      <c r="B12" s="70" t="s">
        <v>190</v>
      </c>
      <c r="C12" s="104"/>
      <c r="D12" s="104"/>
      <c r="E12" s="104"/>
    </row>
    <row r="13" spans="2:11" ht="19.5" customHeight="1">
      <c r="B13" s="70" t="s">
        <v>191</v>
      </c>
      <c r="C13" s="71" t="s">
        <v>63</v>
      </c>
      <c r="D13" s="72" t="s">
        <v>192</v>
      </c>
    </row>
    <row r="15" spans="2:11" ht="24" customHeight="1">
      <c r="B15" s="170" t="s">
        <v>193</v>
      </c>
      <c r="C15" s="170"/>
      <c r="D15" s="170"/>
      <c r="E15" s="170"/>
      <c r="F15" s="170"/>
      <c r="G15" s="170"/>
    </row>
    <row r="16" spans="2:11" ht="27.75" customHeight="1">
      <c r="B16" s="6" t="s">
        <v>19</v>
      </c>
      <c r="C16" s="6" t="s">
        <v>194</v>
      </c>
      <c r="D16" s="6" t="s">
        <v>195</v>
      </c>
      <c r="E16" s="6" t="s">
        <v>196</v>
      </c>
      <c r="F16" s="6" t="s">
        <v>197</v>
      </c>
      <c r="G16" s="6" t="s">
        <v>198</v>
      </c>
    </row>
    <row r="17" spans="2:7" ht="21.75" customHeight="1">
      <c r="B17" s="106" t="s">
        <v>199</v>
      </c>
      <c r="C17" s="106"/>
      <c r="D17" s="106"/>
      <c r="E17" s="106"/>
      <c r="F17" s="106"/>
      <c r="G17" s="106"/>
    </row>
    <row r="18" spans="2:7" ht="27.75" customHeight="1">
      <c r="B18" s="73" t="s">
        <v>200</v>
      </c>
      <c r="C18" s="20" t="s">
        <v>201</v>
      </c>
      <c r="D18" s="30" t="s">
        <v>74</v>
      </c>
      <c r="E18" s="5"/>
      <c r="F18" s="45"/>
      <c r="G18" s="45"/>
    </row>
    <row r="19" spans="2:7" ht="27.75" customHeight="1">
      <c r="B19" s="74" t="s">
        <v>202</v>
      </c>
      <c r="C19" s="16" t="s">
        <v>203</v>
      </c>
      <c r="D19" s="30" t="s">
        <v>74</v>
      </c>
      <c r="E19" s="5"/>
      <c r="F19" s="45"/>
      <c r="G19" s="45"/>
    </row>
    <row r="20" spans="2:7" ht="27.75" customHeight="1">
      <c r="B20" s="73" t="s">
        <v>204</v>
      </c>
      <c r="C20" s="20" t="s">
        <v>205</v>
      </c>
      <c r="D20" s="30" t="s">
        <v>77</v>
      </c>
      <c r="E20" s="5"/>
      <c r="F20" s="45"/>
      <c r="G20" s="45"/>
    </row>
    <row r="21" spans="2:7" ht="27.75" customHeight="1">
      <c r="B21" s="74" t="s">
        <v>206</v>
      </c>
      <c r="C21" s="16" t="s">
        <v>207</v>
      </c>
      <c r="D21" s="30" t="s">
        <v>77</v>
      </c>
      <c r="E21" s="5"/>
      <c r="F21" s="45"/>
      <c r="G21" s="45"/>
    </row>
    <row r="22" spans="2:7" ht="27.75" customHeight="1">
      <c r="B22" s="73" t="s">
        <v>208</v>
      </c>
      <c r="C22" s="20" t="s">
        <v>209</v>
      </c>
      <c r="D22" s="30" t="s">
        <v>81</v>
      </c>
      <c r="E22" s="5"/>
      <c r="F22" s="45"/>
      <c r="G22" s="45"/>
    </row>
    <row r="24" spans="2:7" ht="21.75" customHeight="1">
      <c r="B24" s="106" t="s">
        <v>210</v>
      </c>
      <c r="C24" s="106"/>
      <c r="D24" s="106"/>
      <c r="E24" s="106"/>
      <c r="F24" s="106"/>
      <c r="G24" s="106"/>
    </row>
    <row r="25" spans="2:7" ht="27.75" customHeight="1">
      <c r="B25" s="74" t="s">
        <v>211</v>
      </c>
      <c r="C25" s="16" t="s">
        <v>212</v>
      </c>
      <c r="D25" s="30" t="s">
        <v>74</v>
      </c>
      <c r="E25" s="5"/>
      <c r="F25" s="45"/>
      <c r="G25" s="45"/>
    </row>
    <row r="26" spans="2:7" ht="27.75" customHeight="1">
      <c r="B26" s="73" t="s">
        <v>213</v>
      </c>
      <c r="C26" s="20" t="s">
        <v>214</v>
      </c>
      <c r="D26" s="30" t="s">
        <v>74</v>
      </c>
      <c r="E26" s="5"/>
      <c r="F26" s="45"/>
      <c r="G26" s="45"/>
    </row>
    <row r="27" spans="2:7" ht="27.75" customHeight="1">
      <c r="B27" s="74" t="s">
        <v>215</v>
      </c>
      <c r="C27" s="16" t="s">
        <v>216</v>
      </c>
      <c r="D27" s="30" t="s">
        <v>77</v>
      </c>
      <c r="E27" s="5"/>
      <c r="F27" s="45"/>
      <c r="G27" s="45"/>
    </row>
    <row r="28" spans="2:7" ht="27.75" customHeight="1">
      <c r="B28" s="73" t="s">
        <v>217</v>
      </c>
      <c r="C28" s="20" t="s">
        <v>218</v>
      </c>
      <c r="D28" s="30" t="s">
        <v>77</v>
      </c>
      <c r="E28" s="5"/>
      <c r="F28" s="45"/>
      <c r="G28" s="45"/>
    </row>
    <row r="29" spans="2:7" ht="27.75" customHeight="1">
      <c r="B29" s="74" t="s">
        <v>219</v>
      </c>
      <c r="C29" s="16" t="s">
        <v>220</v>
      </c>
      <c r="D29" s="30" t="s">
        <v>81</v>
      </c>
      <c r="E29" s="5"/>
      <c r="F29" s="45"/>
      <c r="G29" s="45"/>
    </row>
    <row r="30" spans="2:7" ht="27.75" customHeight="1">
      <c r="B30" s="73" t="s">
        <v>221</v>
      </c>
      <c r="C30" s="20" t="s">
        <v>222</v>
      </c>
      <c r="D30" s="30" t="s">
        <v>81</v>
      </c>
      <c r="E30" s="5"/>
      <c r="F30" s="45"/>
      <c r="G30" s="45"/>
    </row>
    <row r="31" spans="2:7" ht="27.75" customHeight="1">
      <c r="B31" s="74" t="s">
        <v>223</v>
      </c>
      <c r="C31" s="16" t="s">
        <v>224</v>
      </c>
      <c r="D31" s="30" t="s">
        <v>77</v>
      </c>
      <c r="E31" s="5"/>
      <c r="F31" s="45"/>
      <c r="G31" s="45"/>
    </row>
    <row r="33" spans="2:7" ht="21.75" customHeight="1">
      <c r="B33" s="106" t="s">
        <v>225</v>
      </c>
      <c r="C33" s="106"/>
      <c r="D33" s="106"/>
      <c r="E33" s="106"/>
      <c r="F33" s="106"/>
      <c r="G33" s="106"/>
    </row>
    <row r="34" spans="2:7" ht="27.75" customHeight="1">
      <c r="B34" s="73" t="s">
        <v>226</v>
      </c>
      <c r="C34" s="20" t="s">
        <v>227</v>
      </c>
      <c r="D34" s="30" t="s">
        <v>74</v>
      </c>
      <c r="E34" s="5"/>
      <c r="F34" s="45"/>
      <c r="G34" s="45"/>
    </row>
    <row r="35" spans="2:7" ht="27.75" customHeight="1">
      <c r="B35" s="74" t="s">
        <v>228</v>
      </c>
      <c r="C35" s="16" t="s">
        <v>229</v>
      </c>
      <c r="D35" s="30" t="s">
        <v>77</v>
      </c>
      <c r="E35" s="5"/>
      <c r="F35" s="45"/>
      <c r="G35" s="45"/>
    </row>
    <row r="36" spans="2:7" ht="27.75" customHeight="1">
      <c r="B36" s="73" t="s">
        <v>230</v>
      </c>
      <c r="C36" s="20" t="s">
        <v>231</v>
      </c>
      <c r="D36" s="30" t="s">
        <v>81</v>
      </c>
      <c r="E36" s="5"/>
      <c r="F36" s="45"/>
      <c r="G36" s="45"/>
    </row>
    <row r="38" spans="2:7" ht="21.75" customHeight="1">
      <c r="B38" s="106" t="s">
        <v>232</v>
      </c>
      <c r="C38" s="106"/>
      <c r="D38" s="106"/>
      <c r="E38" s="106"/>
      <c r="F38" s="106"/>
      <c r="G38" s="106"/>
    </row>
    <row r="39" spans="2:7" ht="27.75" customHeight="1">
      <c r="B39" s="74" t="s">
        <v>233</v>
      </c>
      <c r="C39" s="16" t="s">
        <v>234</v>
      </c>
      <c r="D39" s="30" t="s">
        <v>77</v>
      </c>
      <c r="E39" s="5"/>
      <c r="F39" s="45"/>
      <c r="G39" s="45"/>
    </row>
    <row r="40" spans="2:7" ht="27.75" customHeight="1">
      <c r="B40" s="73" t="s">
        <v>235</v>
      </c>
      <c r="C40" s="20" t="s">
        <v>236</v>
      </c>
      <c r="D40" s="30" t="s">
        <v>81</v>
      </c>
      <c r="E40" s="5"/>
      <c r="F40" s="45"/>
      <c r="G40" s="45"/>
    </row>
    <row r="42" spans="2:7" ht="27.75" customHeight="1">
      <c r="B42" s="103" t="s">
        <v>237</v>
      </c>
      <c r="C42" s="103"/>
      <c r="D42" s="75">
        <f>IF(D18="Sí",1,IF(D18="Parcial",0.5,0))+IF(D19="Sí",1,IF(D19="Parcial",0.5,0))+IF(D20="Sí",1,IF(D20="Parcial",0.5,0))+IF(D21="Sí",1,IF(D21="Parcial",0.5,0))+IF(D22="Sí",1,IF(D22="Parcial",0.5,0))+IF(D25="Sí",1,IF(D25="Parcial",0.5,0))+IF(D26="Sí",1,IF(D26="Parcial",0.5,0))+IF(D27="Sí",1,IF(D27="Parcial",0.5,0))+IF(D28="Sí",1,IF(D28="Parcial",0.5,0))+IF(D29="Sí",1,IF(D29="Parcial",0.5,0))+IF(D30="Sí",1,IF(D30="Parcial",0.5,0))+IF(D31="Sí",1,IF(D31="Parcial",0.5,0))+IF(D34="Sí",1,IF(D34="Parcial",0.5,0))+IF(D35="Sí",1,IF(D35="Parcial",0.5,0))+IF(D36="Sí",1,IF(D36="Parcial",0.5,0))+IF(D39="Sí",1,IF(D39="Parcial",0.5,0))+IF(D40="Sí",1,IF(D40="Parcial",0.5,0))</f>
        <v>8.5</v>
      </c>
      <c r="E42" s="76">
        <f>D42/17</f>
        <v>0.5</v>
      </c>
    </row>
    <row r="44" spans="2:7" ht="24" customHeight="1">
      <c r="B44" s="170" t="s">
        <v>238</v>
      </c>
      <c r="C44" s="170"/>
      <c r="D44" s="170"/>
      <c r="E44" s="170"/>
      <c r="F44" s="170"/>
      <c r="G44" s="170"/>
    </row>
    <row r="45" spans="2:7" ht="21.75" customHeight="1">
      <c r="B45" s="6" t="s">
        <v>239</v>
      </c>
      <c r="C45" s="6" t="s">
        <v>240</v>
      </c>
      <c r="D45" s="6" t="s">
        <v>241</v>
      </c>
      <c r="E45" s="6" t="s">
        <v>242</v>
      </c>
      <c r="F45" s="6" t="s">
        <v>243</v>
      </c>
      <c r="G45" s="6" t="s">
        <v>244</v>
      </c>
    </row>
    <row r="46" spans="2:7" ht="21.75" customHeight="1">
      <c r="B46" s="77" t="s">
        <v>245</v>
      </c>
      <c r="C46" s="78"/>
      <c r="D46" s="78"/>
      <c r="E46" s="78"/>
      <c r="F46" s="78"/>
      <c r="G46" s="78"/>
    </row>
    <row r="47" spans="2:7" ht="21.75" customHeight="1">
      <c r="B47" s="79" t="s">
        <v>246</v>
      </c>
      <c r="C47" s="80"/>
      <c r="D47" s="80"/>
      <c r="E47" s="80"/>
      <c r="F47" s="80"/>
      <c r="G47" s="80"/>
    </row>
    <row r="48" spans="2:7" ht="21.75" customHeight="1">
      <c r="B48" s="77" t="s">
        <v>247</v>
      </c>
      <c r="C48" s="78"/>
      <c r="D48" s="78"/>
      <c r="E48" s="78"/>
      <c r="F48" s="78"/>
      <c r="G48" s="78"/>
    </row>
    <row r="49" spans="2:7" ht="21.75" customHeight="1">
      <c r="B49" s="79" t="s">
        <v>248</v>
      </c>
      <c r="C49" s="80"/>
      <c r="D49" s="80"/>
      <c r="E49" s="80"/>
      <c r="F49" s="80"/>
      <c r="G49" s="80"/>
    </row>
    <row r="50" spans="2:7" ht="21.75" customHeight="1">
      <c r="B50" s="77" t="s">
        <v>249</v>
      </c>
      <c r="C50" s="81">
        <v>0.68</v>
      </c>
      <c r="D50" s="78"/>
      <c r="E50" s="78"/>
      <c r="F50" s="78"/>
      <c r="G50" s="78"/>
    </row>
    <row r="51" spans="2:7" ht="21.75" customHeight="1">
      <c r="B51" s="79" t="s">
        <v>250</v>
      </c>
      <c r="C51" s="80"/>
      <c r="D51" s="80"/>
      <c r="E51" s="80"/>
      <c r="F51" s="80"/>
      <c r="G51" s="80"/>
    </row>
    <row r="52" spans="2:7" ht="21.75" customHeight="1">
      <c r="B52" s="77" t="s">
        <v>251</v>
      </c>
      <c r="C52" s="81">
        <v>0.89</v>
      </c>
      <c r="D52" s="78"/>
      <c r="E52" s="78"/>
      <c r="F52" s="78"/>
      <c r="G52" s="78"/>
    </row>
    <row r="53" spans="2:7" ht="21.75" customHeight="1">
      <c r="B53" s="79" t="s">
        <v>252</v>
      </c>
      <c r="C53" s="80"/>
      <c r="D53" s="80"/>
      <c r="E53" s="80"/>
      <c r="F53" s="80"/>
      <c r="G53" s="80"/>
    </row>
    <row r="54" spans="2:7" ht="21.75" customHeight="1">
      <c r="B54" s="77" t="s">
        <v>253</v>
      </c>
      <c r="C54" s="78"/>
      <c r="D54" s="78"/>
      <c r="E54" s="78"/>
      <c r="F54" s="78"/>
      <c r="G54" s="78"/>
    </row>
    <row r="55" spans="2:7" ht="21.75" customHeight="1">
      <c r="B55" s="79" t="s">
        <v>254</v>
      </c>
      <c r="C55" s="80"/>
      <c r="D55" s="80"/>
      <c r="E55" s="80"/>
      <c r="F55" s="80"/>
      <c r="G55" s="80"/>
    </row>
    <row r="56" spans="2:7" ht="21.75" customHeight="1">
      <c r="B56" s="77" t="s">
        <v>255</v>
      </c>
      <c r="C56" s="78">
        <v>12</v>
      </c>
      <c r="D56" s="78"/>
      <c r="E56" s="78"/>
      <c r="F56" s="78"/>
      <c r="G56" s="78"/>
    </row>
    <row r="57" spans="2:7" ht="21.75" customHeight="1">
      <c r="B57" s="79" t="s">
        <v>256</v>
      </c>
      <c r="C57" s="80"/>
      <c r="D57" s="80"/>
      <c r="E57" s="80"/>
      <c r="F57" s="80"/>
      <c r="G57" s="80"/>
    </row>
    <row r="59" spans="2:7" ht="24" customHeight="1">
      <c r="B59" s="170" t="s">
        <v>257</v>
      </c>
      <c r="C59" s="170"/>
      <c r="D59" s="170"/>
      <c r="E59" s="170"/>
      <c r="F59" s="170"/>
      <c r="G59" s="170"/>
    </row>
    <row r="60" spans="2:7" ht="21.75" customHeight="1">
      <c r="B60" s="6" t="s">
        <v>258</v>
      </c>
      <c r="C60" s="6" t="s">
        <v>259</v>
      </c>
      <c r="D60" s="6" t="s">
        <v>260</v>
      </c>
      <c r="E60" s="6" t="s">
        <v>261</v>
      </c>
      <c r="F60" s="6" t="s">
        <v>262</v>
      </c>
    </row>
    <row r="61" spans="2:7" ht="19.5" customHeight="1">
      <c r="B61" s="77" t="s">
        <v>263</v>
      </c>
      <c r="C61" s="78"/>
      <c r="D61" s="78"/>
      <c r="E61" s="78"/>
      <c r="F61" s="78"/>
    </row>
    <row r="62" spans="2:7" ht="19.5" customHeight="1">
      <c r="B62" s="79" t="s">
        <v>264</v>
      </c>
      <c r="C62" s="80"/>
      <c r="D62" s="80"/>
      <c r="E62" s="80"/>
      <c r="F62" s="80"/>
    </row>
    <row r="63" spans="2:7" ht="19.5" customHeight="1">
      <c r="B63" s="77" t="s">
        <v>265</v>
      </c>
      <c r="C63" s="78"/>
      <c r="D63" s="78"/>
      <c r="E63" s="78"/>
      <c r="F63" s="78"/>
    </row>
    <row r="64" spans="2:7" ht="19.5" customHeight="1">
      <c r="B64" s="79" t="s">
        <v>266</v>
      </c>
      <c r="C64" s="80"/>
      <c r="D64" s="80"/>
      <c r="E64" s="80"/>
      <c r="F64" s="80"/>
    </row>
    <row r="65" spans="2:7" ht="19.5" customHeight="1">
      <c r="B65" s="77" t="s">
        <v>267</v>
      </c>
      <c r="C65" s="78"/>
      <c r="D65" s="78"/>
      <c r="E65" s="78"/>
      <c r="F65" s="78"/>
    </row>
    <row r="66" spans="2:7" ht="19.5" customHeight="1">
      <c r="B66" s="79" t="s">
        <v>268</v>
      </c>
      <c r="C66" s="80"/>
      <c r="D66" s="80"/>
      <c r="E66" s="80"/>
      <c r="F66" s="80"/>
    </row>
    <row r="67" spans="2:7" ht="19.5" customHeight="1">
      <c r="B67" s="77" t="s">
        <v>269</v>
      </c>
      <c r="C67" s="78"/>
      <c r="D67" s="78"/>
      <c r="E67" s="78"/>
      <c r="F67" s="78"/>
    </row>
    <row r="68" spans="2:7" ht="19.5" customHeight="1">
      <c r="B68" s="79" t="s">
        <v>270</v>
      </c>
      <c r="C68" s="80"/>
      <c r="D68" s="80"/>
      <c r="E68" s="80"/>
      <c r="F68" s="80"/>
    </row>
    <row r="70" spans="2:7" ht="24" customHeight="1">
      <c r="B70" s="170" t="s">
        <v>271</v>
      </c>
      <c r="C70" s="170"/>
      <c r="D70" s="170"/>
      <c r="E70" s="170"/>
      <c r="F70" s="170"/>
      <c r="G70" s="170"/>
    </row>
    <row r="71" spans="2:7" ht="21.75" customHeight="1">
      <c r="B71" s="6" t="s">
        <v>272</v>
      </c>
      <c r="C71" s="6" t="s">
        <v>240</v>
      </c>
      <c r="D71" s="6" t="s">
        <v>273</v>
      </c>
      <c r="E71" s="6" t="s">
        <v>274</v>
      </c>
      <c r="F71" s="6" t="s">
        <v>262</v>
      </c>
    </row>
    <row r="72" spans="2:7" ht="21.75" customHeight="1">
      <c r="B72" s="16" t="s">
        <v>275</v>
      </c>
      <c r="C72" s="78">
        <v>22</v>
      </c>
      <c r="D72" s="78"/>
      <c r="E72" s="78"/>
      <c r="F72" s="78"/>
    </row>
    <row r="73" spans="2:7" ht="21.75" customHeight="1">
      <c r="B73" s="20" t="s">
        <v>276</v>
      </c>
      <c r="C73" s="80"/>
      <c r="D73" s="80"/>
      <c r="E73" s="80"/>
      <c r="F73" s="80"/>
    </row>
    <row r="74" spans="2:7" ht="21.75" customHeight="1">
      <c r="B74" s="16" t="s">
        <v>277</v>
      </c>
      <c r="C74" s="78"/>
      <c r="D74" s="78"/>
      <c r="E74" s="78"/>
      <c r="F74" s="78"/>
    </row>
    <row r="75" spans="2:7" ht="21.75" customHeight="1">
      <c r="B75" s="20" t="s">
        <v>278</v>
      </c>
      <c r="C75" s="80"/>
      <c r="D75" s="80"/>
      <c r="E75" s="80"/>
      <c r="F75" s="80"/>
    </row>
    <row r="76" spans="2:7" ht="21.75" customHeight="1">
      <c r="B76" s="16" t="s">
        <v>279</v>
      </c>
      <c r="C76" s="78"/>
      <c r="D76" s="78"/>
      <c r="E76" s="78"/>
      <c r="F76" s="78"/>
    </row>
    <row r="77" spans="2:7" ht="21.75" customHeight="1">
      <c r="B77" s="20" t="s">
        <v>280</v>
      </c>
      <c r="C77" s="80"/>
      <c r="D77" s="80"/>
      <c r="E77" s="80"/>
      <c r="F77" s="80"/>
    </row>
    <row r="78" spans="2:7" ht="21.75" customHeight="1">
      <c r="B78" s="16" t="s">
        <v>281</v>
      </c>
      <c r="C78" s="78"/>
      <c r="D78" s="78"/>
      <c r="E78" s="78"/>
      <c r="F78" s="78"/>
    </row>
    <row r="80" spans="2:7" ht="24" customHeight="1">
      <c r="B80" s="170" t="s">
        <v>282</v>
      </c>
      <c r="C80" s="170"/>
      <c r="D80" s="170"/>
      <c r="E80" s="170"/>
      <c r="F80" s="170"/>
      <c r="G80" s="170"/>
    </row>
    <row r="81" spans="2:7" ht="27.75" customHeight="1">
      <c r="B81" s="6" t="s">
        <v>153</v>
      </c>
      <c r="C81" s="6" t="s">
        <v>283</v>
      </c>
      <c r="D81" s="6" t="s">
        <v>284</v>
      </c>
      <c r="E81" s="6" t="s">
        <v>285</v>
      </c>
      <c r="F81" s="6" t="s">
        <v>286</v>
      </c>
      <c r="G81" s="6" t="s">
        <v>287</v>
      </c>
    </row>
    <row r="82" spans="2:7" ht="25.5" customHeight="1">
      <c r="B82" s="82" t="s">
        <v>288</v>
      </c>
      <c r="C82" s="30" t="s">
        <v>74</v>
      </c>
      <c r="D82" s="16" t="s">
        <v>289</v>
      </c>
      <c r="E82" s="83"/>
      <c r="F82" s="45"/>
      <c r="G82" s="5"/>
    </row>
    <row r="83" spans="2:7" ht="25.5" customHeight="1">
      <c r="B83" s="84" t="s">
        <v>290</v>
      </c>
      <c r="C83" s="30" t="s">
        <v>77</v>
      </c>
      <c r="D83" s="20" t="s">
        <v>291</v>
      </c>
      <c r="E83" s="83"/>
      <c r="F83" s="45"/>
      <c r="G83" s="5"/>
    </row>
    <row r="84" spans="2:7" ht="25.5" customHeight="1">
      <c r="B84" s="82" t="s">
        <v>292</v>
      </c>
      <c r="C84" s="30" t="s">
        <v>74</v>
      </c>
      <c r="D84" s="16" t="s">
        <v>293</v>
      </c>
      <c r="E84" s="83"/>
      <c r="F84" s="45"/>
      <c r="G84" s="5"/>
    </row>
    <row r="85" spans="2:7" ht="25.5" customHeight="1">
      <c r="B85" s="84" t="s">
        <v>294</v>
      </c>
      <c r="C85" s="30" t="s">
        <v>74</v>
      </c>
      <c r="D85" s="20" t="s">
        <v>295</v>
      </c>
      <c r="E85" s="83"/>
      <c r="F85" s="45"/>
      <c r="G85" s="5"/>
    </row>
    <row r="86" spans="2:7" ht="25.5" customHeight="1">
      <c r="B86" s="82" t="s">
        <v>296</v>
      </c>
      <c r="C86" s="30" t="s">
        <v>74</v>
      </c>
      <c r="D86" s="16" t="s">
        <v>297</v>
      </c>
      <c r="E86" s="83"/>
      <c r="F86" s="45"/>
      <c r="G86" s="5"/>
    </row>
    <row r="87" spans="2:7" ht="25.5" customHeight="1">
      <c r="B87" s="84" t="s">
        <v>298</v>
      </c>
      <c r="C87" s="30" t="s">
        <v>77</v>
      </c>
      <c r="D87" s="20" t="s">
        <v>299</v>
      </c>
      <c r="E87" s="83"/>
      <c r="F87" s="45"/>
      <c r="G87" s="5"/>
    </row>
    <row r="88" spans="2:7" ht="25.5" customHeight="1">
      <c r="B88" s="82" t="s">
        <v>300</v>
      </c>
      <c r="C88" s="30" t="s">
        <v>81</v>
      </c>
      <c r="D88" s="16" t="s">
        <v>301</v>
      </c>
      <c r="E88" s="83"/>
      <c r="F88" s="45"/>
      <c r="G88" s="5"/>
    </row>
    <row r="90" spans="2:7" ht="24" customHeight="1">
      <c r="B90" s="170" t="s">
        <v>302</v>
      </c>
      <c r="C90" s="170"/>
      <c r="D90" s="170"/>
      <c r="E90" s="170"/>
      <c r="F90" s="170"/>
      <c r="G90" s="170"/>
    </row>
    <row r="91" spans="2:7" ht="21.75" customHeight="1">
      <c r="B91" s="6" t="s">
        <v>303</v>
      </c>
      <c r="C91" s="6" t="s">
        <v>304</v>
      </c>
    </row>
    <row r="92" spans="2:7" ht="21.75" customHeight="1">
      <c r="B92" s="14" t="s">
        <v>305</v>
      </c>
      <c r="C92" s="107"/>
      <c r="D92" s="107"/>
      <c r="E92" s="107"/>
      <c r="F92" s="107"/>
      <c r="G92" s="107"/>
    </row>
    <row r="93" spans="2:7" ht="21.75" customHeight="1">
      <c r="B93" s="18" t="s">
        <v>306</v>
      </c>
      <c r="C93" s="107"/>
      <c r="D93" s="107"/>
      <c r="E93" s="107"/>
      <c r="F93" s="107"/>
      <c r="G93" s="107"/>
    </row>
    <row r="94" spans="2:7" ht="21.75" customHeight="1">
      <c r="B94" s="14" t="s">
        <v>307</v>
      </c>
      <c r="C94" s="107"/>
      <c r="D94" s="107"/>
      <c r="E94" s="107"/>
      <c r="F94" s="107"/>
      <c r="G94" s="107"/>
    </row>
    <row r="95" spans="2:7" ht="21.75" customHeight="1">
      <c r="B95" s="18" t="s">
        <v>308</v>
      </c>
      <c r="C95" s="107"/>
      <c r="D95" s="107"/>
      <c r="E95" s="107"/>
      <c r="F95" s="107"/>
      <c r="G95" s="107"/>
    </row>
    <row r="96" spans="2:7" ht="21.75" customHeight="1">
      <c r="B96" s="14" t="s">
        <v>309</v>
      </c>
      <c r="C96" s="107"/>
      <c r="D96" s="107"/>
      <c r="E96" s="107"/>
      <c r="F96" s="107"/>
      <c r="G96" s="107"/>
    </row>
    <row r="97" spans="2:7" ht="21.75" customHeight="1">
      <c r="B97" s="18" t="s">
        <v>310</v>
      </c>
      <c r="C97" s="107"/>
      <c r="D97" s="107"/>
      <c r="E97" s="107"/>
      <c r="F97" s="107"/>
      <c r="G97" s="107"/>
    </row>
    <row r="98" spans="2:7" ht="21.75" customHeight="1">
      <c r="B98" s="14" t="s">
        <v>311</v>
      </c>
      <c r="C98" s="107"/>
      <c r="D98" s="107"/>
      <c r="E98" s="107"/>
      <c r="F98" s="107"/>
      <c r="G98" s="107"/>
    </row>
    <row r="100" spans="2:7" ht="24" customHeight="1">
      <c r="B100" s="170" t="s">
        <v>312</v>
      </c>
      <c r="C100" s="170"/>
      <c r="D100" s="170"/>
      <c r="E100" s="170"/>
      <c r="F100" s="170"/>
      <c r="G100" s="170"/>
    </row>
    <row r="101" spans="2:7" ht="21.75" customHeight="1">
      <c r="B101" s="6" t="s">
        <v>313</v>
      </c>
      <c r="C101" s="6" t="s">
        <v>314</v>
      </c>
      <c r="D101" s="6" t="s">
        <v>315</v>
      </c>
      <c r="E101" s="6" t="s">
        <v>316</v>
      </c>
      <c r="F101" s="6" t="s">
        <v>317</v>
      </c>
    </row>
    <row r="102" spans="2:7" ht="21.75" customHeight="1">
      <c r="B102" s="77" t="s">
        <v>318</v>
      </c>
      <c r="C102" s="78"/>
      <c r="D102" s="78"/>
      <c r="E102" s="16"/>
      <c r="F102" s="78"/>
    </row>
    <row r="103" spans="2:7" ht="21.75" customHeight="1">
      <c r="B103" s="79" t="s">
        <v>319</v>
      </c>
      <c r="C103" s="80"/>
      <c r="D103" s="80"/>
      <c r="E103" s="20"/>
      <c r="F103" s="80"/>
    </row>
    <row r="104" spans="2:7" ht="21.75" customHeight="1">
      <c r="B104" s="77" t="s">
        <v>320</v>
      </c>
      <c r="C104" s="78"/>
      <c r="D104" s="78"/>
      <c r="E104" s="16"/>
      <c r="F104" s="78"/>
    </row>
    <row r="105" spans="2:7" ht="21.75" customHeight="1">
      <c r="B105" s="79" t="s">
        <v>321</v>
      </c>
      <c r="C105" s="80"/>
      <c r="D105" s="80"/>
      <c r="E105" s="20"/>
      <c r="F105" s="80"/>
    </row>
    <row r="106" spans="2:7" ht="21.75" customHeight="1">
      <c r="B106" s="77" t="s">
        <v>322</v>
      </c>
      <c r="C106" s="78"/>
      <c r="D106" s="78"/>
      <c r="E106" s="16"/>
      <c r="F106" s="78"/>
    </row>
    <row r="107" spans="2:7" ht="21.75" customHeight="1">
      <c r="B107" s="79" t="s">
        <v>323</v>
      </c>
      <c r="C107" s="80"/>
      <c r="D107" s="80"/>
      <c r="E107" s="20"/>
      <c r="F107" s="80"/>
    </row>
    <row r="108" spans="2:7" ht="21.75" customHeight="1">
      <c r="B108" s="77" t="s">
        <v>324</v>
      </c>
      <c r="C108" s="78"/>
      <c r="D108" s="78"/>
      <c r="E108" s="16"/>
      <c r="F108" s="78"/>
    </row>
    <row r="109" spans="2:7" ht="21.75" customHeight="1">
      <c r="B109" s="79" t="s">
        <v>325</v>
      </c>
      <c r="C109" s="80"/>
      <c r="D109" s="80"/>
      <c r="E109" s="20"/>
      <c r="F109" s="80"/>
    </row>
    <row r="110" spans="2:7" ht="21.75" customHeight="1">
      <c r="B110" s="77" t="s">
        <v>326</v>
      </c>
      <c r="C110" s="78"/>
      <c r="D110" s="78"/>
      <c r="E110" s="16"/>
      <c r="F110" s="78"/>
    </row>
    <row r="111" spans="2:7" ht="21.75" customHeight="1">
      <c r="B111" s="79" t="s">
        <v>327</v>
      </c>
      <c r="C111" s="80"/>
      <c r="D111" s="80"/>
      <c r="E111" s="20"/>
      <c r="F111" s="80"/>
    </row>
    <row r="113" spans="2:7" ht="24" customHeight="1">
      <c r="B113" s="170" t="s">
        <v>328</v>
      </c>
      <c r="C113" s="170"/>
      <c r="D113" s="170"/>
      <c r="E113" s="170"/>
      <c r="F113" s="170"/>
      <c r="G113" s="170"/>
    </row>
    <row r="114" spans="2:7" ht="21.75" customHeight="1">
      <c r="B114" s="6" t="s">
        <v>329</v>
      </c>
      <c r="C114" s="6" t="s">
        <v>330</v>
      </c>
    </row>
    <row r="115" spans="2:7" ht="21.75" customHeight="1">
      <c r="B115" s="14" t="s">
        <v>331</v>
      </c>
      <c r="C115" s="107"/>
      <c r="D115" s="107"/>
      <c r="E115" s="107"/>
      <c r="F115" s="107"/>
      <c r="G115" s="107"/>
    </row>
    <row r="116" spans="2:7" ht="21.75" customHeight="1">
      <c r="B116" s="18" t="s">
        <v>332</v>
      </c>
      <c r="C116" s="107"/>
      <c r="D116" s="107"/>
      <c r="E116" s="107"/>
      <c r="F116" s="107"/>
      <c r="G116" s="107"/>
    </row>
    <row r="117" spans="2:7" ht="21.75" customHeight="1">
      <c r="B117" s="14" t="s">
        <v>333</v>
      </c>
      <c r="C117" s="107"/>
      <c r="D117" s="107"/>
      <c r="E117" s="107"/>
      <c r="F117" s="107"/>
      <c r="G117" s="107"/>
    </row>
    <row r="118" spans="2:7" ht="21.75" customHeight="1">
      <c r="B118" s="18" t="s">
        <v>334</v>
      </c>
      <c r="C118" s="107"/>
      <c r="D118" s="107"/>
      <c r="E118" s="107"/>
      <c r="F118" s="107"/>
      <c r="G118" s="107"/>
    </row>
    <row r="119" spans="2:7" ht="21.75" customHeight="1">
      <c r="B119" s="14" t="s">
        <v>335</v>
      </c>
      <c r="C119" s="107"/>
      <c r="D119" s="107"/>
      <c r="E119" s="107"/>
      <c r="F119" s="107"/>
      <c r="G119" s="107"/>
    </row>
    <row r="120" spans="2:7" ht="21.75" customHeight="1">
      <c r="B120" s="18" t="s">
        <v>336</v>
      </c>
      <c r="C120" s="107"/>
      <c r="D120" s="107"/>
      <c r="E120" s="107"/>
      <c r="F120" s="107"/>
      <c r="G120" s="107"/>
    </row>
    <row r="121" spans="2:7" ht="21.75" customHeight="1">
      <c r="B121" s="14" t="s">
        <v>337</v>
      </c>
      <c r="C121" s="107"/>
      <c r="D121" s="107"/>
      <c r="E121" s="107"/>
      <c r="F121" s="107"/>
      <c r="G121" s="107"/>
    </row>
    <row r="123" spans="2:7" ht="24" customHeight="1">
      <c r="B123" s="170" t="s">
        <v>338</v>
      </c>
      <c r="C123" s="170"/>
      <c r="D123" s="170"/>
      <c r="E123" s="170"/>
      <c r="F123" s="170"/>
      <c r="G123" s="170"/>
    </row>
    <row r="124" spans="2:7" ht="21.75" customHeight="1">
      <c r="B124" s="6" t="s">
        <v>339</v>
      </c>
      <c r="C124" s="6" t="s">
        <v>340</v>
      </c>
    </row>
    <row r="125" spans="2:7" ht="30" customHeight="1">
      <c r="B125" s="85" t="s">
        <v>341</v>
      </c>
      <c r="C125" s="107"/>
      <c r="D125" s="107"/>
      <c r="E125" s="107"/>
      <c r="F125" s="107"/>
      <c r="G125" s="107"/>
    </row>
    <row r="126" spans="2:7" ht="30" customHeight="1">
      <c r="B126" s="86" t="s">
        <v>342</v>
      </c>
      <c r="C126" s="107"/>
      <c r="D126" s="107"/>
      <c r="E126" s="107"/>
      <c r="F126" s="107"/>
      <c r="G126" s="107"/>
    </row>
    <row r="127" spans="2:7" ht="30" customHeight="1">
      <c r="B127" s="85" t="s">
        <v>343</v>
      </c>
      <c r="C127" s="107"/>
      <c r="D127" s="107"/>
      <c r="E127" s="107"/>
      <c r="F127" s="107"/>
      <c r="G127" s="107"/>
    </row>
    <row r="128" spans="2:7" ht="30" customHeight="1">
      <c r="B128" s="86" t="s">
        <v>344</v>
      </c>
      <c r="C128" s="107"/>
      <c r="D128" s="107"/>
      <c r="E128" s="107"/>
      <c r="F128" s="107"/>
      <c r="G128" s="107"/>
    </row>
    <row r="129" spans="2:7" ht="30" customHeight="1">
      <c r="B129" s="85" t="s">
        <v>345</v>
      </c>
      <c r="C129" s="107"/>
      <c r="D129" s="107"/>
      <c r="E129" s="107"/>
      <c r="F129" s="107"/>
      <c r="G129" s="107"/>
    </row>
    <row r="130" spans="2:7" ht="30" customHeight="1">
      <c r="B130" s="86" t="s">
        <v>346</v>
      </c>
      <c r="C130" s="107"/>
      <c r="D130" s="107"/>
      <c r="E130" s="107"/>
      <c r="F130" s="107"/>
      <c r="G130" s="107"/>
    </row>
    <row r="131" spans="2:7" ht="30" customHeight="1">
      <c r="B131" s="85" t="s">
        <v>347</v>
      </c>
      <c r="C131" s="107"/>
      <c r="D131" s="107"/>
      <c r="E131" s="107"/>
      <c r="F131" s="107"/>
      <c r="G131" s="107"/>
    </row>
    <row r="133" spans="2:7" ht="15"/>
    <row r="134" spans="2:7" ht="15"/>
    <row r="135" spans="2:7" ht="15"/>
    <row r="136" spans="2:7" ht="15"/>
    <row r="137" spans="2:7" ht="15"/>
    <row r="138" spans="2:7" ht="15"/>
  </sheetData>
  <mergeCells count="47">
    <mergeCell ref="C130:G130"/>
    <mergeCell ref="C131:G131"/>
    <mergeCell ref="C125:G125"/>
    <mergeCell ref="C126:G126"/>
    <mergeCell ref="C127:G127"/>
    <mergeCell ref="C128:G128"/>
    <mergeCell ref="C129:G129"/>
    <mergeCell ref="C118:G118"/>
    <mergeCell ref="C119:G119"/>
    <mergeCell ref="C120:G120"/>
    <mergeCell ref="C121:G121"/>
    <mergeCell ref="B123:G123"/>
    <mergeCell ref="B100:G100"/>
    <mergeCell ref="B113:G113"/>
    <mergeCell ref="C115:G115"/>
    <mergeCell ref="C116:G116"/>
    <mergeCell ref="C117:G117"/>
    <mergeCell ref="C94:G94"/>
    <mergeCell ref="C95:G95"/>
    <mergeCell ref="C96:G96"/>
    <mergeCell ref="C97:G97"/>
    <mergeCell ref="C98:G98"/>
    <mergeCell ref="B70:G70"/>
    <mergeCell ref="B80:G80"/>
    <mergeCell ref="B90:G90"/>
    <mergeCell ref="C92:G92"/>
    <mergeCell ref="C93:G93"/>
    <mergeCell ref="B33:G33"/>
    <mergeCell ref="B38:G38"/>
    <mergeCell ref="B42:C42"/>
    <mergeCell ref="B44:G44"/>
    <mergeCell ref="B59:G59"/>
    <mergeCell ref="C11:E11"/>
    <mergeCell ref="C12:E12"/>
    <mergeCell ref="B15:G15"/>
    <mergeCell ref="B17:G17"/>
    <mergeCell ref="B24:G24"/>
    <mergeCell ref="C6:E6"/>
    <mergeCell ref="C7:E7"/>
    <mergeCell ref="C8:E8"/>
    <mergeCell ref="C9:E9"/>
    <mergeCell ref="C10:E10"/>
    <mergeCell ref="B1:G1"/>
    <mergeCell ref="B2:G2"/>
    <mergeCell ref="B3:G3"/>
    <mergeCell ref="C4:E4"/>
    <mergeCell ref="C5:E5"/>
  </mergeCells>
  <dataValidations count="3">
    <dataValidation type="list" allowBlank="1" sqref="G18:G22 G25:G31 G34:G36 G39:G40" xr:uid="{00000000-0002-0000-0500-000003000000}">
      <formula1>"Alta,Media,Baja,Sin mejora"</formula1>
      <formula2>0</formula2>
    </dataValidation>
    <dataValidation type="list" allowBlank="1" sqref="C82:C88" xr:uid="{00000000-0002-0000-0500-000004000000}">
      <formula1>"Sí,No,Parcial"</formula1>
      <formula2>0</formula2>
    </dataValidation>
    <dataValidation type="date" allowBlank="1" showInputMessage="1" showErrorMessage="1" sqref="C9:E9" xr:uid="{C787EA7B-A1F0-451D-B9D8-AFD67539D467}">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xr:uid="{00000000-0002-0000-0500-000000000000}">
          <x14:formula1>
            <xm:f>Listas!$H$5:$H$9</xm:f>
          </x14:formula1>
          <x14:formula2>
            <xm:f>0</xm:f>
          </x14:formula2>
          <xm:sqref>C11</xm:sqref>
        </x14:dataValidation>
        <x14:dataValidation type="list" allowBlank="1" xr:uid="{00000000-0002-0000-0500-000001000000}">
          <x14:formula1>
            <xm:f>Listas!$D$5:$D$10</xm:f>
          </x14:formula1>
          <x14:formula2>
            <xm:f>0</xm:f>
          </x14:formula2>
          <xm:sqref>C13</xm:sqref>
        </x14:dataValidation>
        <x14:dataValidation type="list" allowBlank="1" xr:uid="{00000000-0002-0000-0500-000002000000}">
          <x14:formula1>
            <xm:f>Listas!$B$5:$B$8</xm:f>
          </x14:formula1>
          <x14:formula2>
            <xm:f>0</xm:f>
          </x14:formula2>
          <xm:sqref>D18:D22 D25:D31 D34:D36 D39:D40</xm:sqref>
        </x14:dataValidation>
        <x14:dataValidation type="list" allowBlank="1" xr:uid="{00000000-0002-0000-0500-000005000000}">
          <x14:formula1>
            <xm:f>Listas!$F$5:$F$7</xm:f>
          </x14:formula1>
          <x14:formula2>
            <xm:f>0</xm:f>
          </x14:formula2>
          <xm:sqref>F82:F88</xm:sqref>
        </x14:dataValidation>
        <x14:dataValidation type="list" allowBlank="1" xr:uid="{00000000-0002-0000-0500-000006000000}">
          <x14:formula1>
            <xm:f>Listas!$L$5:$L$7</xm:f>
          </x14:formula1>
          <x14:formula2>
            <xm:f>0</xm:f>
          </x14:formula2>
          <xm:sqref>C129</xm:sqref>
        </x14:dataValidation>
        <x14:dataValidation type="list" allowBlank="1" showInputMessage="1" showErrorMessage="1" xr:uid="{73CA7FB8-F182-4DE9-98F6-3F6C4F3FD78F}">
          <x14:formula1>
            <xm:f>Listas!$N$5:$N$10</xm:f>
          </x14:formula1>
          <xm:sqref>C4:E4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32"/>
  <sheetViews>
    <sheetView showGridLines="0" tabSelected="1" zoomScaleNormal="100" workbookViewId="0">
      <pane xSplit="2" ySplit="2" topLeftCell="C120" activePane="bottomRight" state="frozen"/>
      <selection pane="bottomRight" activeCell="B140" sqref="B140"/>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8.7109375" style="1" customWidth="1"/>
    <col min="4" max="4" width="28.42578125" style="1" customWidth="1"/>
    <col min="5" max="5" width="40" style="1" customWidth="1"/>
    <col min="6" max="6" width="15.7109375" style="1" customWidth="1"/>
    <col min="7" max="7" width="20" style="1" customWidth="1"/>
    <col min="8" max="8" width="8.5703125" style="1"/>
    <col min="9" max="9" width="9.140625" style="1" customWidth="1"/>
    <col min="10" max="10" width="23" style="1" customWidth="1"/>
    <col min="11" max="11" width="53" style="1" customWidth="1"/>
    <col min="12" max="16384" width="8.5703125" style="1"/>
  </cols>
  <sheetData>
    <row r="1" spans="2:11" ht="7.5" customHeight="1"/>
    <row r="2" spans="2:11" ht="30" customHeight="1">
      <c r="B2" s="169" t="s">
        <v>348</v>
      </c>
      <c r="C2" s="169"/>
      <c r="D2" s="169"/>
      <c r="E2" s="169"/>
      <c r="F2" s="169"/>
      <c r="G2" s="169"/>
    </row>
    <row r="3" spans="2:11" ht="18" customHeight="1">
      <c r="B3" s="102" t="s">
        <v>179</v>
      </c>
      <c r="C3" s="102"/>
      <c r="D3" s="102"/>
      <c r="E3" s="102"/>
      <c r="F3" s="102"/>
      <c r="G3" s="102"/>
      <c r="I3" s="100" t="s">
        <v>48</v>
      </c>
      <c r="J3" s="100"/>
      <c r="K3" s="100"/>
    </row>
    <row r="4" spans="2:11" ht="24" customHeight="1">
      <c r="B4" s="170" t="s">
        <v>180</v>
      </c>
      <c r="C4" s="170"/>
      <c r="D4" s="170"/>
      <c r="E4" s="170"/>
      <c r="F4" s="170"/>
      <c r="G4" s="170"/>
      <c r="I4" s="6" t="s">
        <v>49</v>
      </c>
      <c r="J4" s="6" t="s">
        <v>50</v>
      </c>
      <c r="K4" s="6" t="s">
        <v>22</v>
      </c>
    </row>
    <row r="5" spans="2:11" ht="19.5" customHeight="1">
      <c r="B5" s="70" t="s">
        <v>181</v>
      </c>
      <c r="C5" s="104" t="s">
        <v>101</v>
      </c>
      <c r="D5" s="104"/>
      <c r="E5" s="104"/>
      <c r="I5" s="21" t="s">
        <v>51</v>
      </c>
      <c r="J5" s="22" t="s">
        <v>52</v>
      </c>
      <c r="K5" s="101" t="s">
        <v>53</v>
      </c>
    </row>
    <row r="6" spans="2:11" ht="19.5" customHeight="1">
      <c r="B6" s="70" t="s">
        <v>182</v>
      </c>
      <c r="C6" s="104" t="s">
        <v>349</v>
      </c>
      <c r="D6" s="104"/>
      <c r="E6" s="104"/>
      <c r="I6" s="23" t="s">
        <v>54</v>
      </c>
      <c r="J6" s="22" t="s">
        <v>55</v>
      </c>
      <c r="K6" s="101" t="s">
        <v>56</v>
      </c>
    </row>
    <row r="7" spans="2:11" ht="19.5" customHeight="1">
      <c r="B7" s="70" t="s">
        <v>184</v>
      </c>
      <c r="C7" s="104"/>
      <c r="D7" s="104"/>
      <c r="E7" s="104"/>
      <c r="I7" s="24" t="s">
        <v>57</v>
      </c>
      <c r="J7" s="22" t="s">
        <v>58</v>
      </c>
      <c r="K7" s="101" t="s">
        <v>59</v>
      </c>
    </row>
    <row r="8" spans="2:11" ht="19.5" customHeight="1">
      <c r="B8" s="70" t="s">
        <v>185</v>
      </c>
      <c r="C8" s="104"/>
      <c r="D8" s="104"/>
      <c r="E8" s="104"/>
      <c r="I8" s="25" t="s">
        <v>60</v>
      </c>
      <c r="J8" s="22" t="s">
        <v>61</v>
      </c>
      <c r="K8" s="101" t="s">
        <v>62</v>
      </c>
    </row>
    <row r="9" spans="2:11" ht="19.5" customHeight="1">
      <c r="B9" s="70" t="s">
        <v>186</v>
      </c>
      <c r="C9" s="104"/>
      <c r="D9" s="104"/>
      <c r="E9" s="104"/>
      <c r="I9" s="26" t="s">
        <v>63</v>
      </c>
      <c r="J9" s="22" t="s">
        <v>64</v>
      </c>
      <c r="K9" s="101" t="s">
        <v>65</v>
      </c>
    </row>
    <row r="10" spans="2:11" ht="19.5" customHeight="1">
      <c r="B10" s="70" t="s">
        <v>187</v>
      </c>
      <c r="C10" s="174"/>
      <c r="D10" s="174"/>
      <c r="E10" s="174"/>
      <c r="I10" s="27" t="s">
        <v>66</v>
      </c>
      <c r="J10" s="22" t="s">
        <v>67</v>
      </c>
      <c r="K10" s="101" t="s">
        <v>68</v>
      </c>
    </row>
    <row r="11" spans="2:11" ht="19.5" customHeight="1">
      <c r="B11" s="70" t="s">
        <v>188</v>
      </c>
      <c r="C11" s="104"/>
      <c r="D11" s="104"/>
      <c r="E11" s="104"/>
    </row>
    <row r="12" spans="2:11" ht="19.5" customHeight="1">
      <c r="B12" s="70" t="s">
        <v>189</v>
      </c>
      <c r="C12" s="104"/>
      <c r="D12" s="104"/>
      <c r="E12" s="104"/>
    </row>
    <row r="13" spans="2:11" ht="19.5" customHeight="1">
      <c r="B13" s="70" t="s">
        <v>190</v>
      </c>
      <c r="C13" s="104"/>
      <c r="D13" s="104"/>
      <c r="E13" s="104"/>
    </row>
    <row r="14" spans="2:11" ht="19.5" customHeight="1">
      <c r="B14" s="70" t="s">
        <v>191</v>
      </c>
      <c r="C14" s="71" t="s">
        <v>54</v>
      </c>
      <c r="D14" s="72" t="s">
        <v>192</v>
      </c>
    </row>
    <row r="16" spans="2:11" ht="24" customHeight="1">
      <c r="B16" s="170" t="s">
        <v>193</v>
      </c>
      <c r="C16" s="170"/>
      <c r="D16" s="170"/>
      <c r="E16" s="170"/>
      <c r="F16" s="170"/>
      <c r="G16" s="170"/>
    </row>
    <row r="17" spans="2:7" ht="27.75" customHeight="1">
      <c r="B17" s="6" t="s">
        <v>19</v>
      </c>
      <c r="C17" s="6" t="s">
        <v>194</v>
      </c>
      <c r="D17" s="6" t="s">
        <v>195</v>
      </c>
      <c r="E17" s="6" t="s">
        <v>196</v>
      </c>
      <c r="F17" s="6" t="s">
        <v>197</v>
      </c>
      <c r="G17" s="6" t="s">
        <v>198</v>
      </c>
    </row>
    <row r="18" spans="2:7" ht="21.75" customHeight="1">
      <c r="B18" s="106" t="s">
        <v>199</v>
      </c>
      <c r="C18" s="106"/>
      <c r="D18" s="106"/>
      <c r="E18" s="106"/>
      <c r="F18" s="106"/>
      <c r="G18" s="106"/>
    </row>
    <row r="19" spans="2:7" ht="27.75" customHeight="1">
      <c r="B19" s="73" t="s">
        <v>200</v>
      </c>
      <c r="C19" s="175" t="s">
        <v>350</v>
      </c>
      <c r="D19" s="30" t="s">
        <v>77</v>
      </c>
      <c r="E19" s="5"/>
      <c r="F19" s="45"/>
      <c r="G19" s="45"/>
    </row>
    <row r="20" spans="2:7" ht="27.75" customHeight="1">
      <c r="B20" s="74" t="s">
        <v>202</v>
      </c>
      <c r="C20" s="176" t="s">
        <v>351</v>
      </c>
      <c r="D20" s="30" t="s">
        <v>77</v>
      </c>
      <c r="E20" s="5"/>
      <c r="F20" s="45"/>
      <c r="G20" s="45"/>
    </row>
    <row r="21" spans="2:7" ht="27.75" customHeight="1">
      <c r="B21" s="73" t="s">
        <v>204</v>
      </c>
      <c r="C21" s="175" t="s">
        <v>352</v>
      </c>
      <c r="D21" s="30" t="s">
        <v>81</v>
      </c>
      <c r="E21" s="5"/>
      <c r="F21" s="45"/>
      <c r="G21" s="45"/>
    </row>
    <row r="22" spans="2:7" ht="27.75" customHeight="1">
      <c r="B22" s="74" t="s">
        <v>206</v>
      </c>
      <c r="C22" s="176" t="s">
        <v>353</v>
      </c>
      <c r="D22" s="30" t="s">
        <v>81</v>
      </c>
      <c r="E22" s="5"/>
      <c r="F22" s="45"/>
      <c r="G22" s="45"/>
    </row>
    <row r="23" spans="2:7" ht="27.75" customHeight="1">
      <c r="B23" s="73" t="s">
        <v>208</v>
      </c>
      <c r="C23" s="175" t="s">
        <v>354</v>
      </c>
      <c r="D23" s="30" t="s">
        <v>81</v>
      </c>
      <c r="E23" s="5"/>
      <c r="F23" s="45"/>
      <c r="G23" s="45"/>
    </row>
    <row r="25" spans="2:7" ht="21.75" customHeight="1">
      <c r="B25" s="106" t="s">
        <v>210</v>
      </c>
      <c r="C25" s="106"/>
      <c r="D25" s="106"/>
      <c r="E25" s="106"/>
      <c r="F25" s="106"/>
      <c r="G25" s="106"/>
    </row>
    <row r="26" spans="2:7" ht="27.75" customHeight="1">
      <c r="B26" s="74" t="s">
        <v>211</v>
      </c>
      <c r="C26" s="176" t="s">
        <v>355</v>
      </c>
      <c r="D26" s="30" t="s">
        <v>74</v>
      </c>
      <c r="E26" s="5"/>
      <c r="F26" s="45"/>
      <c r="G26" s="45"/>
    </row>
    <row r="27" spans="2:7" ht="27.75" customHeight="1">
      <c r="B27" s="73" t="s">
        <v>213</v>
      </c>
      <c r="C27" s="175" t="s">
        <v>356</v>
      </c>
      <c r="D27" s="30" t="s">
        <v>77</v>
      </c>
      <c r="E27" s="5"/>
      <c r="F27" s="45"/>
      <c r="G27" s="45"/>
    </row>
    <row r="28" spans="2:7" ht="27.75" customHeight="1">
      <c r="B28" s="74" t="s">
        <v>215</v>
      </c>
      <c r="C28" s="176" t="s">
        <v>357</v>
      </c>
      <c r="D28" s="30" t="s">
        <v>81</v>
      </c>
      <c r="E28" s="5"/>
      <c r="F28" s="45"/>
      <c r="G28" s="45"/>
    </row>
    <row r="29" spans="2:7" ht="27.75" customHeight="1">
      <c r="B29" s="73" t="s">
        <v>217</v>
      </c>
      <c r="C29" s="175" t="s">
        <v>358</v>
      </c>
      <c r="D29" s="30" t="s">
        <v>81</v>
      </c>
      <c r="E29" s="5"/>
      <c r="F29" s="45"/>
      <c r="G29" s="45"/>
    </row>
    <row r="30" spans="2:7" ht="39" customHeight="1">
      <c r="B30" s="74" t="s">
        <v>219</v>
      </c>
      <c r="C30" s="176" t="s">
        <v>359</v>
      </c>
      <c r="D30" s="30" t="s">
        <v>81</v>
      </c>
      <c r="E30" s="5"/>
      <c r="F30" s="45"/>
      <c r="G30" s="45"/>
    </row>
    <row r="31" spans="2:7" ht="27.75" customHeight="1">
      <c r="B31" s="73" t="s">
        <v>221</v>
      </c>
      <c r="C31" s="175" t="s">
        <v>360</v>
      </c>
      <c r="D31" s="30" t="s">
        <v>81</v>
      </c>
      <c r="E31" s="5"/>
      <c r="F31" s="45"/>
      <c r="G31" s="45"/>
    </row>
    <row r="32" spans="2:7" ht="27.75" customHeight="1">
      <c r="B32" s="74" t="s">
        <v>223</v>
      </c>
      <c r="C32" s="176" t="s">
        <v>361</v>
      </c>
      <c r="D32" s="30" t="s">
        <v>81</v>
      </c>
      <c r="E32" s="5"/>
      <c r="F32" s="45"/>
      <c r="G32" s="45"/>
    </row>
    <row r="34" spans="2:7" ht="21.75" customHeight="1">
      <c r="B34" s="106" t="s">
        <v>225</v>
      </c>
      <c r="C34" s="106"/>
      <c r="D34" s="106"/>
      <c r="E34" s="106"/>
      <c r="F34" s="106"/>
      <c r="G34" s="106"/>
    </row>
    <row r="35" spans="2:7" ht="27.75" customHeight="1">
      <c r="B35" s="73" t="s">
        <v>226</v>
      </c>
      <c r="C35" s="175" t="s">
        <v>362</v>
      </c>
      <c r="D35" s="30" t="s">
        <v>77</v>
      </c>
      <c r="E35" s="5"/>
      <c r="F35" s="45"/>
      <c r="G35" s="45"/>
    </row>
    <row r="36" spans="2:7" ht="42.75" customHeight="1">
      <c r="B36" s="74" t="s">
        <v>228</v>
      </c>
      <c r="C36" s="176" t="s">
        <v>363</v>
      </c>
      <c r="D36" s="30" t="s">
        <v>81</v>
      </c>
      <c r="E36" s="5"/>
      <c r="F36" s="45"/>
      <c r="G36" s="45"/>
    </row>
    <row r="37" spans="2:7" ht="30.75" customHeight="1">
      <c r="B37" s="73" t="s">
        <v>230</v>
      </c>
      <c r="C37" s="175" t="s">
        <v>364</v>
      </c>
      <c r="D37" s="30" t="s">
        <v>81</v>
      </c>
      <c r="E37" s="5"/>
      <c r="F37" s="45"/>
      <c r="G37" s="45"/>
    </row>
    <row r="39" spans="2:7" ht="21.75" customHeight="1">
      <c r="B39" s="106" t="s">
        <v>232</v>
      </c>
      <c r="C39" s="106"/>
      <c r="D39" s="106"/>
      <c r="E39" s="106"/>
      <c r="F39" s="106"/>
      <c r="G39" s="106"/>
    </row>
    <row r="40" spans="2:7" ht="27.75" customHeight="1">
      <c r="B40" s="74" t="s">
        <v>233</v>
      </c>
      <c r="C40" s="176" t="s">
        <v>365</v>
      </c>
      <c r="D40" s="30" t="s">
        <v>81</v>
      </c>
      <c r="E40" s="5"/>
      <c r="F40" s="45"/>
      <c r="G40" s="45"/>
    </row>
    <row r="41" spans="2:7" ht="27.75" customHeight="1">
      <c r="B41" s="73" t="s">
        <v>235</v>
      </c>
      <c r="C41" s="175" t="s">
        <v>366</v>
      </c>
      <c r="D41" s="30" t="s">
        <v>81</v>
      </c>
      <c r="E41" s="5"/>
      <c r="F41" s="45"/>
      <c r="G41" s="45"/>
    </row>
    <row r="43" spans="2:7" ht="27.75" customHeight="1">
      <c r="B43" s="103" t="s">
        <v>237</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3</v>
      </c>
      <c r="E43" s="76">
        <f>D43/17</f>
        <v>0.17647058823529413</v>
      </c>
    </row>
    <row r="45" spans="2:7" ht="24" customHeight="1">
      <c r="B45" s="170" t="s">
        <v>238</v>
      </c>
      <c r="C45" s="170"/>
      <c r="D45" s="170"/>
      <c r="E45" s="170"/>
      <c r="F45" s="170"/>
      <c r="G45" s="170"/>
    </row>
    <row r="46" spans="2:7" ht="21.75" customHeight="1">
      <c r="B46" s="6" t="s">
        <v>239</v>
      </c>
      <c r="C46" s="6" t="s">
        <v>240</v>
      </c>
      <c r="D46" s="6" t="s">
        <v>241</v>
      </c>
      <c r="E46" s="6" t="s">
        <v>242</v>
      </c>
      <c r="F46" s="6" t="s">
        <v>243</v>
      </c>
      <c r="G46" s="6" t="s">
        <v>244</v>
      </c>
    </row>
    <row r="47" spans="2:7" ht="21.75" customHeight="1">
      <c r="B47" s="77" t="s">
        <v>245</v>
      </c>
      <c r="C47" s="78"/>
      <c r="D47" s="78"/>
      <c r="E47" s="78"/>
      <c r="F47" s="78"/>
      <c r="G47" s="78"/>
    </row>
    <row r="48" spans="2:7" ht="21.75" customHeight="1">
      <c r="B48" s="79" t="s">
        <v>246</v>
      </c>
      <c r="C48" s="80"/>
      <c r="D48" s="80"/>
      <c r="E48" s="80"/>
      <c r="F48" s="80"/>
      <c r="G48" s="80"/>
    </row>
    <row r="49" spans="2:7" ht="21.75" customHeight="1">
      <c r="B49" s="77" t="s">
        <v>247</v>
      </c>
      <c r="C49" s="78"/>
      <c r="D49" s="78"/>
      <c r="E49" s="78"/>
      <c r="F49" s="78"/>
      <c r="G49" s="78"/>
    </row>
    <row r="50" spans="2:7" ht="21.75" customHeight="1">
      <c r="B50" s="79" t="s">
        <v>248</v>
      </c>
      <c r="C50" s="80"/>
      <c r="D50" s="80"/>
      <c r="E50" s="80"/>
      <c r="F50" s="80"/>
      <c r="G50" s="80"/>
    </row>
    <row r="51" spans="2:7" ht="21.75" customHeight="1">
      <c r="B51" s="77" t="s">
        <v>249</v>
      </c>
      <c r="C51" s="81">
        <v>0.55000000000000004</v>
      </c>
      <c r="D51" s="78"/>
      <c r="E51" s="78"/>
      <c r="F51" s="78"/>
      <c r="G51" s="78"/>
    </row>
    <row r="52" spans="2:7" ht="21.75" customHeight="1">
      <c r="B52" s="79" t="s">
        <v>250</v>
      </c>
      <c r="C52" s="80"/>
      <c r="D52" s="80"/>
      <c r="E52" s="80"/>
      <c r="F52" s="80"/>
      <c r="G52" s="80"/>
    </row>
    <row r="53" spans="2:7" ht="21.75" customHeight="1">
      <c r="B53" s="77" t="s">
        <v>251</v>
      </c>
      <c r="C53" s="81">
        <v>0.78</v>
      </c>
      <c r="D53" s="78"/>
      <c r="E53" s="78"/>
      <c r="F53" s="78"/>
      <c r="G53" s="78"/>
    </row>
    <row r="54" spans="2:7" ht="21.75" customHeight="1">
      <c r="B54" s="79" t="s">
        <v>252</v>
      </c>
      <c r="C54" s="80"/>
      <c r="D54" s="80"/>
      <c r="E54" s="80"/>
      <c r="F54" s="80"/>
      <c r="G54" s="80"/>
    </row>
    <row r="55" spans="2:7" ht="21.75" customHeight="1">
      <c r="B55" s="77" t="s">
        <v>253</v>
      </c>
      <c r="C55" s="78"/>
      <c r="D55" s="78"/>
      <c r="E55" s="78"/>
      <c r="F55" s="78"/>
      <c r="G55" s="78"/>
    </row>
    <row r="56" spans="2:7" ht="21.75" customHeight="1">
      <c r="B56" s="79" t="s">
        <v>254</v>
      </c>
      <c r="C56" s="80"/>
      <c r="D56" s="80"/>
      <c r="E56" s="80"/>
      <c r="F56" s="80"/>
      <c r="G56" s="80"/>
    </row>
    <row r="57" spans="2:7" ht="21.75" customHeight="1">
      <c r="B57" s="77" t="s">
        <v>255</v>
      </c>
      <c r="C57" s="78">
        <v>8</v>
      </c>
      <c r="D57" s="78"/>
      <c r="E57" s="78"/>
      <c r="F57" s="78"/>
      <c r="G57" s="78"/>
    </row>
    <row r="58" spans="2:7" ht="21.75" customHeight="1">
      <c r="B58" s="79" t="s">
        <v>256</v>
      </c>
      <c r="C58" s="80"/>
      <c r="D58" s="80"/>
      <c r="E58" s="80"/>
      <c r="F58" s="80"/>
      <c r="G58" s="80"/>
    </row>
    <row r="60" spans="2:7" ht="24" customHeight="1">
      <c r="B60" s="170" t="s">
        <v>257</v>
      </c>
      <c r="C60" s="170"/>
      <c r="D60" s="170"/>
      <c r="E60" s="170"/>
      <c r="F60" s="170"/>
      <c r="G60" s="170"/>
    </row>
    <row r="61" spans="2:7" ht="21.75" customHeight="1">
      <c r="B61" s="6" t="s">
        <v>258</v>
      </c>
      <c r="C61" s="6" t="s">
        <v>259</v>
      </c>
      <c r="D61" s="6" t="s">
        <v>260</v>
      </c>
      <c r="E61" s="6" t="s">
        <v>261</v>
      </c>
      <c r="F61" s="6" t="s">
        <v>262</v>
      </c>
    </row>
    <row r="62" spans="2:7" ht="19.5" customHeight="1">
      <c r="B62" s="77" t="s">
        <v>263</v>
      </c>
      <c r="C62" s="78"/>
      <c r="D62" s="78"/>
      <c r="E62" s="78"/>
      <c r="F62" s="78"/>
    </row>
    <row r="63" spans="2:7" ht="19.5" customHeight="1">
      <c r="B63" s="79" t="s">
        <v>264</v>
      </c>
      <c r="C63" s="80"/>
      <c r="D63" s="80"/>
      <c r="E63" s="80"/>
      <c r="F63" s="80"/>
    </row>
    <row r="64" spans="2:7" ht="19.5" customHeight="1">
      <c r="B64" s="77" t="s">
        <v>265</v>
      </c>
      <c r="C64" s="78"/>
      <c r="D64" s="78"/>
      <c r="E64" s="78"/>
      <c r="F64" s="78"/>
    </row>
    <row r="65" spans="2:7" ht="19.5" customHeight="1">
      <c r="B65" s="79" t="s">
        <v>266</v>
      </c>
      <c r="C65" s="80"/>
      <c r="D65" s="80"/>
      <c r="E65" s="80"/>
      <c r="F65" s="80"/>
    </row>
    <row r="66" spans="2:7" ht="19.5" customHeight="1">
      <c r="B66" s="77" t="s">
        <v>267</v>
      </c>
      <c r="C66" s="78"/>
      <c r="D66" s="78"/>
      <c r="E66" s="78"/>
      <c r="F66" s="78"/>
    </row>
    <row r="67" spans="2:7" ht="44.25" customHeight="1">
      <c r="B67" s="20" t="s">
        <v>367</v>
      </c>
      <c r="C67" s="80"/>
      <c r="D67" s="80"/>
      <c r="E67" s="80"/>
      <c r="F67" s="80"/>
    </row>
    <row r="68" spans="2:7" ht="19.5" customHeight="1">
      <c r="B68" s="77" t="s">
        <v>269</v>
      </c>
      <c r="C68" s="78"/>
      <c r="D68" s="78"/>
      <c r="E68" s="78"/>
      <c r="F68" s="78"/>
    </row>
    <row r="69" spans="2:7" ht="19.5" customHeight="1">
      <c r="B69" s="79" t="s">
        <v>270</v>
      </c>
      <c r="C69" s="80"/>
      <c r="D69" s="80"/>
      <c r="E69" s="80"/>
      <c r="F69" s="80"/>
    </row>
    <row r="71" spans="2:7" ht="24" customHeight="1">
      <c r="B71" s="170" t="s">
        <v>368</v>
      </c>
      <c r="C71" s="170"/>
      <c r="D71" s="170"/>
      <c r="E71" s="170"/>
      <c r="F71" s="170"/>
      <c r="G71" s="170"/>
    </row>
    <row r="72" spans="2:7" ht="21.75" customHeight="1">
      <c r="B72" s="6" t="s">
        <v>272</v>
      </c>
      <c r="C72" s="6" t="s">
        <v>240</v>
      </c>
      <c r="D72" s="6" t="s">
        <v>273</v>
      </c>
      <c r="E72" s="6" t="s">
        <v>274</v>
      </c>
      <c r="F72" s="6" t="s">
        <v>262</v>
      </c>
    </row>
    <row r="73" spans="2:7" ht="21.75" customHeight="1">
      <c r="B73" s="16" t="s">
        <v>275</v>
      </c>
      <c r="C73" s="78">
        <v>8</v>
      </c>
      <c r="D73" s="78"/>
      <c r="E73" s="78"/>
      <c r="F73" s="78"/>
    </row>
    <row r="74" spans="2:7" ht="33">
      <c r="B74" s="20" t="s">
        <v>276</v>
      </c>
      <c r="C74" s="80"/>
      <c r="D74" s="80"/>
      <c r="E74" s="80"/>
      <c r="F74" s="80"/>
    </row>
    <row r="75" spans="2:7" ht="21.75" customHeight="1">
      <c r="B75" s="16" t="s">
        <v>277</v>
      </c>
      <c r="C75" s="78"/>
      <c r="D75" s="78"/>
      <c r="E75" s="78"/>
      <c r="F75" s="78"/>
    </row>
    <row r="76" spans="2:7" ht="33">
      <c r="B76" s="20" t="s">
        <v>278</v>
      </c>
      <c r="C76" s="80"/>
      <c r="D76" s="80"/>
      <c r="E76" s="80"/>
      <c r="F76" s="80"/>
    </row>
    <row r="77" spans="2:7" ht="33">
      <c r="B77" s="16" t="s">
        <v>279</v>
      </c>
      <c r="C77" s="78"/>
      <c r="D77" s="78"/>
      <c r="E77" s="78"/>
      <c r="F77" s="78"/>
    </row>
    <row r="78" spans="2:7" ht="21.75" customHeight="1">
      <c r="B78" s="20" t="s">
        <v>280</v>
      </c>
      <c r="C78" s="80"/>
      <c r="D78" s="80"/>
      <c r="E78" s="80"/>
      <c r="F78" s="80"/>
    </row>
    <row r="79" spans="2:7" ht="33">
      <c r="B79" s="16" t="s">
        <v>281</v>
      </c>
      <c r="C79" s="78"/>
      <c r="D79" s="78"/>
      <c r="E79" s="78"/>
      <c r="F79" s="78"/>
    </row>
    <row r="81" spans="2:7" ht="24" customHeight="1">
      <c r="B81" s="170" t="s">
        <v>282</v>
      </c>
      <c r="C81" s="170"/>
      <c r="D81" s="170"/>
      <c r="E81" s="170"/>
      <c r="F81" s="170"/>
      <c r="G81" s="170"/>
    </row>
    <row r="82" spans="2:7" ht="27.75" customHeight="1">
      <c r="B82" s="6" t="s">
        <v>153</v>
      </c>
      <c r="C82" s="6" t="s">
        <v>283</v>
      </c>
      <c r="D82" s="6" t="s">
        <v>284</v>
      </c>
      <c r="E82" s="6" t="s">
        <v>285</v>
      </c>
      <c r="F82" s="6" t="s">
        <v>286</v>
      </c>
      <c r="G82" s="6" t="s">
        <v>287</v>
      </c>
    </row>
    <row r="83" spans="2:7" ht="25.5" customHeight="1">
      <c r="B83" s="82" t="s">
        <v>288</v>
      </c>
      <c r="C83" s="30" t="s">
        <v>74</v>
      </c>
      <c r="D83" s="177" t="s">
        <v>289</v>
      </c>
      <c r="E83" s="83"/>
      <c r="F83" s="45"/>
      <c r="G83" s="5"/>
    </row>
    <row r="84" spans="2:7" ht="25.5" customHeight="1">
      <c r="B84" s="84" t="s">
        <v>290</v>
      </c>
      <c r="C84" s="30" t="s">
        <v>74</v>
      </c>
      <c r="D84" s="178" t="s">
        <v>291</v>
      </c>
      <c r="E84" s="83"/>
      <c r="F84" s="45"/>
      <c r="G84" s="5"/>
    </row>
    <row r="85" spans="2:7" ht="25.5" customHeight="1">
      <c r="B85" s="82" t="s">
        <v>292</v>
      </c>
      <c r="C85" s="30" t="s">
        <v>74</v>
      </c>
      <c r="D85" s="177" t="s">
        <v>293</v>
      </c>
      <c r="E85" s="83"/>
      <c r="F85" s="45"/>
      <c r="G85" s="5"/>
    </row>
    <row r="86" spans="2:7" ht="25.5" customHeight="1">
      <c r="B86" s="84" t="s">
        <v>294</v>
      </c>
      <c r="C86" s="30" t="s">
        <v>74</v>
      </c>
      <c r="D86" s="178" t="s">
        <v>295</v>
      </c>
      <c r="E86" s="83"/>
      <c r="F86" s="45"/>
      <c r="G86" s="5"/>
    </row>
    <row r="87" spans="2:7" ht="25.5" customHeight="1">
      <c r="B87" s="82" t="s">
        <v>296</v>
      </c>
      <c r="C87" s="30" t="s">
        <v>74</v>
      </c>
      <c r="D87" s="177" t="s">
        <v>297</v>
      </c>
      <c r="E87" s="83"/>
      <c r="F87" s="45"/>
      <c r="G87" s="5"/>
    </row>
    <row r="88" spans="2:7" ht="25.5" customHeight="1">
      <c r="B88" s="84" t="s">
        <v>298</v>
      </c>
      <c r="C88" s="30" t="s">
        <v>74</v>
      </c>
      <c r="D88" s="178" t="s">
        <v>299</v>
      </c>
      <c r="E88" s="83"/>
      <c r="F88" s="45"/>
      <c r="G88" s="5"/>
    </row>
    <row r="89" spans="2:7" ht="25.5" customHeight="1">
      <c r="B89" s="82" t="s">
        <v>300</v>
      </c>
      <c r="C89" s="30" t="s">
        <v>74</v>
      </c>
      <c r="D89" s="177" t="s">
        <v>301</v>
      </c>
      <c r="E89" s="83"/>
      <c r="F89" s="45"/>
      <c r="G89" s="5"/>
    </row>
    <row r="91" spans="2:7" ht="24" customHeight="1">
      <c r="B91" s="170" t="s">
        <v>302</v>
      </c>
      <c r="C91" s="170"/>
      <c r="D91" s="170"/>
      <c r="E91" s="170"/>
      <c r="F91" s="170"/>
      <c r="G91" s="170"/>
    </row>
    <row r="92" spans="2:7" ht="21.75" customHeight="1">
      <c r="B92" s="6" t="s">
        <v>303</v>
      </c>
      <c r="C92" s="6" t="s">
        <v>304</v>
      </c>
    </row>
    <row r="93" spans="2:7" ht="21.75" customHeight="1">
      <c r="B93" s="14" t="s">
        <v>305</v>
      </c>
      <c r="C93" s="107"/>
      <c r="D93" s="107"/>
      <c r="E93" s="107"/>
      <c r="F93" s="107"/>
      <c r="G93" s="107"/>
    </row>
    <row r="94" spans="2:7" ht="21.75" customHeight="1">
      <c r="B94" s="18" t="s">
        <v>306</v>
      </c>
      <c r="C94" s="107"/>
      <c r="D94" s="107"/>
      <c r="E94" s="107"/>
      <c r="F94" s="107"/>
      <c r="G94" s="107"/>
    </row>
    <row r="95" spans="2:7" ht="21.75" customHeight="1">
      <c r="B95" s="14" t="s">
        <v>307</v>
      </c>
      <c r="C95" s="107"/>
      <c r="D95" s="107"/>
      <c r="E95" s="107"/>
      <c r="F95" s="107"/>
      <c r="G95" s="107"/>
    </row>
    <row r="96" spans="2:7" ht="21.75" customHeight="1">
      <c r="B96" s="18" t="s">
        <v>308</v>
      </c>
      <c r="C96" s="107"/>
      <c r="D96" s="107"/>
      <c r="E96" s="107"/>
      <c r="F96" s="107"/>
      <c r="G96" s="107"/>
    </row>
    <row r="97" spans="2:7" ht="21.75" customHeight="1">
      <c r="B97" s="85" t="s">
        <v>369</v>
      </c>
      <c r="C97" s="107"/>
      <c r="D97" s="107"/>
      <c r="E97" s="107"/>
      <c r="F97" s="107"/>
      <c r="G97" s="107"/>
    </row>
    <row r="98" spans="2:7" ht="21.75" customHeight="1">
      <c r="B98" s="18" t="s">
        <v>310</v>
      </c>
      <c r="C98" s="107"/>
      <c r="D98" s="107"/>
      <c r="E98" s="107"/>
      <c r="F98" s="107"/>
      <c r="G98" s="107"/>
    </row>
    <row r="99" spans="2:7" ht="21.75" customHeight="1">
      <c r="B99" s="14" t="s">
        <v>311</v>
      </c>
      <c r="C99" s="107"/>
      <c r="D99" s="107"/>
      <c r="E99" s="107"/>
      <c r="F99" s="107"/>
      <c r="G99" s="107"/>
    </row>
    <row r="101" spans="2:7" ht="24" customHeight="1">
      <c r="B101" s="170" t="s">
        <v>312</v>
      </c>
      <c r="C101" s="170"/>
      <c r="D101" s="170"/>
      <c r="E101" s="170"/>
      <c r="F101" s="170"/>
      <c r="G101" s="170"/>
    </row>
    <row r="102" spans="2:7" ht="21.75" customHeight="1">
      <c r="B102" s="6" t="s">
        <v>313</v>
      </c>
      <c r="C102" s="6" t="s">
        <v>314</v>
      </c>
      <c r="D102" s="6" t="s">
        <v>315</v>
      </c>
      <c r="E102" s="6" t="s">
        <v>316</v>
      </c>
      <c r="F102" s="6" t="s">
        <v>317</v>
      </c>
    </row>
    <row r="103" spans="2:7" ht="21.75" customHeight="1">
      <c r="B103" s="77" t="s">
        <v>318</v>
      </c>
      <c r="C103" s="78"/>
      <c r="D103" s="78"/>
      <c r="E103" s="16"/>
      <c r="F103" s="78"/>
    </row>
    <row r="104" spans="2:7" ht="21.75" customHeight="1">
      <c r="B104" s="79" t="s">
        <v>319</v>
      </c>
      <c r="C104" s="80"/>
      <c r="D104" s="80"/>
      <c r="E104" s="20"/>
      <c r="F104" s="80"/>
    </row>
    <row r="105" spans="2:7" ht="21.75" customHeight="1">
      <c r="B105" s="77" t="s">
        <v>320</v>
      </c>
      <c r="C105" s="78"/>
      <c r="D105" s="78"/>
      <c r="E105" s="16"/>
      <c r="F105" s="78"/>
    </row>
    <row r="106" spans="2:7" ht="21.75" customHeight="1">
      <c r="B106" s="79" t="s">
        <v>321</v>
      </c>
      <c r="C106" s="80"/>
      <c r="D106" s="80"/>
      <c r="E106" s="20"/>
      <c r="F106" s="80"/>
    </row>
    <row r="107" spans="2:7" ht="21.75" customHeight="1">
      <c r="B107" s="77" t="s">
        <v>322</v>
      </c>
      <c r="C107" s="78"/>
      <c r="D107" s="78"/>
      <c r="E107" s="16"/>
      <c r="F107" s="78"/>
    </row>
    <row r="108" spans="2:7" ht="30" customHeight="1">
      <c r="B108" s="20" t="s">
        <v>370</v>
      </c>
      <c r="C108" s="80"/>
      <c r="D108" s="80"/>
      <c r="E108" s="20"/>
      <c r="F108" s="80"/>
    </row>
    <row r="109" spans="2:7" ht="21.75" customHeight="1">
      <c r="B109" s="77" t="s">
        <v>324</v>
      </c>
      <c r="C109" s="78"/>
      <c r="D109" s="78"/>
      <c r="E109" s="16"/>
      <c r="F109" s="78"/>
    </row>
    <row r="110" spans="2:7" ht="21.75" customHeight="1">
      <c r="B110" s="79" t="s">
        <v>325</v>
      </c>
      <c r="C110" s="80"/>
      <c r="D110" s="80"/>
      <c r="E110" s="20"/>
      <c r="F110" s="80"/>
    </row>
    <row r="111" spans="2:7" ht="21.75" customHeight="1">
      <c r="B111" s="77" t="s">
        <v>326</v>
      </c>
      <c r="C111" s="78"/>
      <c r="D111" s="78"/>
      <c r="E111" s="16"/>
      <c r="F111" s="78"/>
    </row>
    <row r="112" spans="2:7" ht="21.75" customHeight="1">
      <c r="B112" s="79" t="s">
        <v>327</v>
      </c>
      <c r="C112" s="80"/>
      <c r="D112" s="80"/>
      <c r="E112" s="20"/>
      <c r="F112" s="80"/>
    </row>
    <row r="114" spans="2:7" ht="24" customHeight="1">
      <c r="B114" s="170" t="s">
        <v>328</v>
      </c>
      <c r="C114" s="170"/>
      <c r="D114" s="170"/>
      <c r="E114" s="170"/>
      <c r="F114" s="170"/>
      <c r="G114" s="170"/>
    </row>
    <row r="115" spans="2:7" ht="21.75" customHeight="1">
      <c r="B115" s="6" t="s">
        <v>329</v>
      </c>
      <c r="C115" s="6" t="s">
        <v>330</v>
      </c>
    </row>
    <row r="116" spans="2:7" ht="21.75" customHeight="1">
      <c r="B116" s="14" t="s">
        <v>331</v>
      </c>
      <c r="C116" s="107"/>
      <c r="D116" s="107"/>
      <c r="E116" s="107"/>
      <c r="F116" s="107"/>
      <c r="G116" s="107"/>
    </row>
    <row r="117" spans="2:7" ht="21.75" customHeight="1">
      <c r="B117" s="18" t="s">
        <v>332</v>
      </c>
      <c r="C117" s="107"/>
      <c r="D117" s="107"/>
      <c r="E117" s="107"/>
      <c r="F117" s="107"/>
      <c r="G117" s="107"/>
    </row>
    <row r="118" spans="2:7" ht="21.75" customHeight="1">
      <c r="B118" s="14" t="s">
        <v>333</v>
      </c>
      <c r="C118" s="107"/>
      <c r="D118" s="107"/>
      <c r="E118" s="107"/>
      <c r="F118" s="107"/>
      <c r="G118" s="107"/>
    </row>
    <row r="119" spans="2:7" ht="21.75" customHeight="1">
      <c r="B119" s="18" t="s">
        <v>334</v>
      </c>
      <c r="C119" s="107"/>
      <c r="D119" s="107"/>
      <c r="E119" s="107"/>
      <c r="F119" s="107"/>
      <c r="G119" s="107"/>
    </row>
    <row r="120" spans="2:7" ht="21.75" customHeight="1">
      <c r="B120" s="14" t="s">
        <v>335</v>
      </c>
      <c r="C120" s="107"/>
      <c r="D120" s="107"/>
      <c r="E120" s="107"/>
      <c r="F120" s="107"/>
      <c r="G120" s="107"/>
    </row>
    <row r="121" spans="2:7" ht="21.75" customHeight="1">
      <c r="B121" s="18" t="s">
        <v>336</v>
      </c>
      <c r="C121" s="107"/>
      <c r="D121" s="107"/>
      <c r="E121" s="107"/>
      <c r="F121" s="107"/>
      <c r="G121" s="107"/>
    </row>
    <row r="122" spans="2:7" ht="21.75" customHeight="1">
      <c r="B122" s="14" t="s">
        <v>337</v>
      </c>
      <c r="C122" s="107"/>
      <c r="D122" s="107"/>
      <c r="E122" s="107"/>
      <c r="F122" s="107"/>
      <c r="G122" s="107"/>
    </row>
    <row r="124" spans="2:7" ht="24" customHeight="1">
      <c r="B124" s="170" t="s">
        <v>338</v>
      </c>
      <c r="C124" s="170"/>
      <c r="D124" s="170"/>
      <c r="E124" s="170"/>
      <c r="F124" s="170"/>
      <c r="G124" s="170"/>
    </row>
    <row r="125" spans="2:7" ht="21.75" customHeight="1">
      <c r="B125" s="6" t="s">
        <v>339</v>
      </c>
      <c r="C125" s="6" t="s">
        <v>340</v>
      </c>
    </row>
    <row r="126" spans="2:7" ht="30" customHeight="1">
      <c r="B126" s="85" t="s">
        <v>341</v>
      </c>
      <c r="C126" s="107"/>
      <c r="D126" s="107"/>
      <c r="E126" s="107"/>
      <c r="F126" s="107"/>
      <c r="G126" s="107"/>
    </row>
    <row r="127" spans="2:7" ht="30" customHeight="1">
      <c r="B127" s="86" t="s">
        <v>342</v>
      </c>
      <c r="C127" s="107"/>
      <c r="D127" s="107"/>
      <c r="E127" s="107"/>
      <c r="F127" s="107"/>
      <c r="G127" s="107"/>
    </row>
    <row r="128" spans="2:7" ht="30" customHeight="1">
      <c r="B128" s="85" t="s">
        <v>343</v>
      </c>
      <c r="C128" s="107"/>
      <c r="D128" s="107"/>
      <c r="E128" s="107"/>
      <c r="F128" s="107"/>
      <c r="G128" s="107"/>
    </row>
    <row r="129" spans="2:7" ht="30" customHeight="1">
      <c r="B129" s="86" t="s">
        <v>344</v>
      </c>
      <c r="C129" s="107"/>
      <c r="D129" s="107"/>
      <c r="E129" s="107"/>
      <c r="F129" s="107"/>
      <c r="G129" s="107"/>
    </row>
    <row r="130" spans="2:7" ht="30" customHeight="1">
      <c r="B130" s="85" t="s">
        <v>345</v>
      </c>
      <c r="C130" s="107"/>
      <c r="D130" s="107"/>
      <c r="E130" s="107"/>
      <c r="F130" s="107"/>
      <c r="G130" s="107"/>
    </row>
    <row r="131" spans="2:7" ht="30" customHeight="1">
      <c r="B131" s="86" t="s">
        <v>346</v>
      </c>
      <c r="C131" s="107"/>
      <c r="D131" s="107"/>
      <c r="E131" s="107"/>
      <c r="F131" s="107"/>
      <c r="G131" s="107"/>
    </row>
    <row r="132" spans="2:7" ht="30" customHeight="1">
      <c r="B132" s="85" t="s">
        <v>371</v>
      </c>
      <c r="C132" s="107"/>
      <c r="D132" s="107"/>
      <c r="E132" s="107"/>
      <c r="F132" s="107"/>
      <c r="G132" s="107"/>
    </row>
  </sheetData>
  <mergeCells count="47">
    <mergeCell ref="C131:G131"/>
    <mergeCell ref="C132:G132"/>
    <mergeCell ref="C126:G126"/>
    <mergeCell ref="C127:G127"/>
    <mergeCell ref="C128:G128"/>
    <mergeCell ref="C129:G129"/>
    <mergeCell ref="C130:G130"/>
    <mergeCell ref="C119:G119"/>
    <mergeCell ref="C120:G120"/>
    <mergeCell ref="C121:G121"/>
    <mergeCell ref="C122:G122"/>
    <mergeCell ref="B124:G124"/>
    <mergeCell ref="B101:G101"/>
    <mergeCell ref="B114:G114"/>
    <mergeCell ref="C116:G116"/>
    <mergeCell ref="C117:G117"/>
    <mergeCell ref="C118:G118"/>
    <mergeCell ref="C95:G95"/>
    <mergeCell ref="C96:G96"/>
    <mergeCell ref="C97:G97"/>
    <mergeCell ref="C98:G98"/>
    <mergeCell ref="C99:G99"/>
    <mergeCell ref="B71:G71"/>
    <mergeCell ref="B81:G81"/>
    <mergeCell ref="B91:G91"/>
    <mergeCell ref="C93:G93"/>
    <mergeCell ref="C94:G94"/>
    <mergeCell ref="B34:G34"/>
    <mergeCell ref="B39:G39"/>
    <mergeCell ref="B43:C43"/>
    <mergeCell ref="B45:G45"/>
    <mergeCell ref="B60:G60"/>
    <mergeCell ref="C12:E12"/>
    <mergeCell ref="C13:E13"/>
    <mergeCell ref="B16:G16"/>
    <mergeCell ref="B18:G18"/>
    <mergeCell ref="B25:G25"/>
    <mergeCell ref="C7:E7"/>
    <mergeCell ref="C8:E8"/>
    <mergeCell ref="C9:E9"/>
    <mergeCell ref="C10:E10"/>
    <mergeCell ref="C11:E11"/>
    <mergeCell ref="B2:G2"/>
    <mergeCell ref="B3:G3"/>
    <mergeCell ref="B4:G4"/>
    <mergeCell ref="C5:E5"/>
    <mergeCell ref="C6:E6"/>
  </mergeCells>
  <dataValidations count="3">
    <dataValidation type="list" allowBlank="1" sqref="G19:G23 G26:G32 G35:G37 G40:G41" xr:uid="{00000000-0002-0000-0600-000003000000}">
      <formula1>"Alta,Media,Baja,Sin mejora"</formula1>
      <formula2>0</formula2>
    </dataValidation>
    <dataValidation type="list" allowBlank="1" sqref="C83:C89" xr:uid="{00000000-0002-0000-0600-000004000000}">
      <formula1>"Sí,No,Parcial"</formula1>
      <formula2>0</formula2>
    </dataValidation>
    <dataValidation type="date" allowBlank="1" showInputMessage="1" showErrorMessage="1" sqref="C10:E10" xr:uid="{04212934-4817-4F7E-B1DD-2D5502AE4AEE}">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xr:uid="{00000000-0002-0000-0600-000000000000}">
          <x14:formula1>
            <xm:f>Listas!$H$5:$H$9</xm:f>
          </x14:formula1>
          <x14:formula2>
            <xm:f>0</xm:f>
          </x14:formula2>
          <xm:sqref>C12</xm:sqref>
        </x14:dataValidation>
        <x14:dataValidation type="list" allowBlank="1" xr:uid="{00000000-0002-0000-0600-000001000000}">
          <x14:formula1>
            <xm:f>Listas!$D$5:$D$10</xm:f>
          </x14:formula1>
          <x14:formula2>
            <xm:f>0</xm:f>
          </x14:formula2>
          <xm:sqref>C14</xm:sqref>
        </x14:dataValidation>
        <x14:dataValidation type="list" allowBlank="1" xr:uid="{00000000-0002-0000-0600-000002000000}">
          <x14:formula1>
            <xm:f>Listas!$B$5:$B$8</xm:f>
          </x14:formula1>
          <x14:formula2>
            <xm:f>0</xm:f>
          </x14:formula2>
          <xm:sqref>D19:D23 D26:D32 D35:D37 D40:D41</xm:sqref>
        </x14:dataValidation>
        <x14:dataValidation type="list" allowBlank="1" xr:uid="{00000000-0002-0000-0600-000005000000}">
          <x14:formula1>
            <xm:f>Listas!$F$5:$F$7</xm:f>
          </x14:formula1>
          <x14:formula2>
            <xm:f>0</xm:f>
          </x14:formula2>
          <xm:sqref>F83:F89</xm:sqref>
        </x14:dataValidation>
        <x14:dataValidation type="list" allowBlank="1" xr:uid="{00000000-0002-0000-0600-000006000000}">
          <x14:formula1>
            <xm:f>Listas!$L$5:$L$7</xm:f>
          </x14:formula1>
          <x14:formula2>
            <xm:f>0</xm:f>
          </x14:formula2>
          <xm:sqref>C130</xm:sqref>
        </x14:dataValidation>
        <x14:dataValidation type="list" allowBlank="1" showInputMessage="1" showErrorMessage="1" xr:uid="{E436F660-24C9-4730-A28F-2C260ABC23B6}">
          <x14:formula1>
            <xm:f>Listas!$N$5:$N$10</xm:f>
          </x14:formula1>
          <xm:sqref>C5:E5</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32"/>
  <sheetViews>
    <sheetView showGridLines="0" zoomScaleNormal="100" workbookViewId="0">
      <pane xSplit="2" ySplit="2" topLeftCell="C3" activePane="bottomRight" state="frozen"/>
      <selection pane="bottomRight" activeCell="C10" sqref="C10:E10"/>
      <selection pane="bottomLeft" activeCell="A3" sqref="A3"/>
      <selection pane="topRight" activeCell="C1" sqref="C1"/>
    </sheetView>
  </sheetViews>
  <sheetFormatPr defaultColWidth="8.5703125" defaultRowHeight="14.45"/>
  <cols>
    <col min="1" max="1" width="3" style="1" customWidth="1"/>
    <col min="2" max="2" width="34.140625" style="1" customWidth="1"/>
    <col min="3" max="3" width="36" style="1" customWidth="1"/>
    <col min="4" max="4" width="26.28515625" style="1" customWidth="1"/>
    <col min="5" max="5" width="40" style="1" customWidth="1"/>
    <col min="6" max="6" width="14" style="1" customWidth="1"/>
    <col min="7" max="7" width="20" style="1" customWidth="1"/>
    <col min="8" max="9" width="8.5703125" style="1"/>
    <col min="10" max="10" width="24.140625" style="1" customWidth="1"/>
    <col min="11" max="11" width="40.5703125" style="1" customWidth="1"/>
    <col min="12" max="16384" width="8.5703125" style="1"/>
  </cols>
  <sheetData>
    <row r="1" spans="2:11" ht="7.5" customHeight="1"/>
    <row r="2" spans="2:11" ht="30" customHeight="1">
      <c r="B2" s="169" t="s">
        <v>372</v>
      </c>
      <c r="C2" s="169"/>
      <c r="D2" s="169"/>
      <c r="E2" s="169"/>
      <c r="F2" s="169"/>
      <c r="G2" s="169"/>
    </row>
    <row r="3" spans="2:11" ht="15.75">
      <c r="I3" s="100" t="s">
        <v>48</v>
      </c>
      <c r="J3" s="100"/>
      <c r="K3" s="100"/>
    </row>
    <row r="4" spans="2:11" ht="24" customHeight="1">
      <c r="B4" s="170" t="s">
        <v>180</v>
      </c>
      <c r="C4" s="170"/>
      <c r="D4" s="170"/>
      <c r="E4" s="170"/>
      <c r="F4" s="170"/>
      <c r="G4" s="170"/>
      <c r="I4" s="6" t="s">
        <v>49</v>
      </c>
      <c r="J4" s="6" t="s">
        <v>50</v>
      </c>
      <c r="K4" s="6" t="s">
        <v>22</v>
      </c>
    </row>
    <row r="5" spans="2:11" ht="19.5" customHeight="1">
      <c r="B5" s="70" t="s">
        <v>181</v>
      </c>
      <c r="C5" s="104" t="s">
        <v>101</v>
      </c>
      <c r="D5" s="104"/>
      <c r="E5" s="104"/>
      <c r="I5" s="21" t="s">
        <v>51</v>
      </c>
      <c r="J5" s="22" t="s">
        <v>52</v>
      </c>
      <c r="K5" s="101" t="s">
        <v>53</v>
      </c>
    </row>
    <row r="6" spans="2:11" ht="19.5" customHeight="1">
      <c r="B6" s="70" t="s">
        <v>182</v>
      </c>
      <c r="C6" s="104" t="s">
        <v>373</v>
      </c>
      <c r="D6" s="104"/>
      <c r="E6" s="104"/>
      <c r="I6" s="23" t="s">
        <v>54</v>
      </c>
      <c r="J6" s="22" t="s">
        <v>55</v>
      </c>
      <c r="K6" s="101" t="s">
        <v>56</v>
      </c>
    </row>
    <row r="7" spans="2:11" ht="19.5" customHeight="1">
      <c r="B7" s="70" t="s">
        <v>184</v>
      </c>
      <c r="C7" s="104"/>
      <c r="D7" s="104"/>
      <c r="E7" s="104"/>
      <c r="I7" s="24" t="s">
        <v>57</v>
      </c>
      <c r="J7" s="22" t="s">
        <v>58</v>
      </c>
      <c r="K7" s="101" t="s">
        <v>59</v>
      </c>
    </row>
    <row r="8" spans="2:11" ht="19.5" customHeight="1">
      <c r="B8" s="70" t="s">
        <v>185</v>
      </c>
      <c r="C8" s="104"/>
      <c r="D8" s="104"/>
      <c r="E8" s="104"/>
      <c r="I8" s="25" t="s">
        <v>60</v>
      </c>
      <c r="J8" s="22" t="s">
        <v>61</v>
      </c>
      <c r="K8" s="101" t="s">
        <v>62</v>
      </c>
    </row>
    <row r="9" spans="2:11" ht="19.5" customHeight="1">
      <c r="B9" s="70" t="s">
        <v>186</v>
      </c>
      <c r="C9" s="104"/>
      <c r="D9" s="104"/>
      <c r="E9" s="104"/>
      <c r="I9" s="26" t="s">
        <v>63</v>
      </c>
      <c r="J9" s="22" t="s">
        <v>64</v>
      </c>
      <c r="K9" s="101" t="s">
        <v>65</v>
      </c>
    </row>
    <row r="10" spans="2:11" ht="19.5" customHeight="1">
      <c r="B10" s="70" t="s">
        <v>187</v>
      </c>
      <c r="C10" s="174"/>
      <c r="D10" s="174"/>
      <c r="E10" s="174"/>
      <c r="I10" s="27" t="s">
        <v>66</v>
      </c>
      <c r="J10" s="22" t="s">
        <v>67</v>
      </c>
      <c r="K10" s="101" t="s">
        <v>68</v>
      </c>
    </row>
    <row r="11" spans="2:11" ht="19.5" customHeight="1">
      <c r="B11" s="70" t="s">
        <v>188</v>
      </c>
      <c r="C11" s="104"/>
      <c r="D11" s="104"/>
      <c r="E11" s="104"/>
    </row>
    <row r="12" spans="2:11" ht="19.5" customHeight="1">
      <c r="B12" s="70" t="s">
        <v>189</v>
      </c>
      <c r="C12" s="104"/>
      <c r="D12" s="104"/>
      <c r="E12" s="104"/>
    </row>
    <row r="13" spans="2:11" ht="19.5" customHeight="1">
      <c r="B13" s="70" t="s">
        <v>190</v>
      </c>
      <c r="C13" s="104"/>
      <c r="D13" s="104"/>
      <c r="E13" s="104"/>
    </row>
    <row r="14" spans="2:11" ht="19.5" customHeight="1">
      <c r="B14" s="70" t="s">
        <v>191</v>
      </c>
      <c r="C14" s="71"/>
      <c r="D14" s="72" t="s">
        <v>192</v>
      </c>
    </row>
    <row r="16" spans="2:11" ht="24" customHeight="1">
      <c r="B16" s="170" t="s">
        <v>193</v>
      </c>
      <c r="C16" s="170"/>
      <c r="D16" s="170"/>
      <c r="E16" s="170"/>
      <c r="F16" s="170"/>
      <c r="G16" s="170"/>
    </row>
    <row r="17" spans="2:7" ht="27.75" customHeight="1">
      <c r="B17" s="6" t="s">
        <v>19</v>
      </c>
      <c r="C17" s="6" t="s">
        <v>194</v>
      </c>
      <c r="D17" s="6" t="s">
        <v>195</v>
      </c>
      <c r="E17" s="6" t="s">
        <v>196</v>
      </c>
      <c r="F17" s="6" t="s">
        <v>197</v>
      </c>
      <c r="G17" s="6" t="s">
        <v>198</v>
      </c>
    </row>
    <row r="18" spans="2:7" ht="21.75" customHeight="1">
      <c r="B18" s="106" t="s">
        <v>199</v>
      </c>
      <c r="C18" s="106"/>
      <c r="D18" s="106"/>
      <c r="E18" s="106"/>
      <c r="F18" s="106"/>
      <c r="G18" s="106"/>
    </row>
    <row r="19" spans="2:7" ht="27.75" customHeight="1">
      <c r="B19" s="73" t="s">
        <v>200</v>
      </c>
      <c r="C19" s="20" t="s">
        <v>201</v>
      </c>
      <c r="D19" s="30"/>
      <c r="E19" s="5"/>
      <c r="F19" s="45"/>
      <c r="G19" s="45"/>
    </row>
    <row r="20" spans="2:7" ht="27.75" customHeight="1">
      <c r="B20" s="74" t="s">
        <v>202</v>
      </c>
      <c r="C20" s="16" t="s">
        <v>203</v>
      </c>
      <c r="D20" s="30"/>
      <c r="E20" s="5"/>
      <c r="F20" s="45"/>
      <c r="G20" s="45"/>
    </row>
    <row r="21" spans="2:7" ht="27.75" customHeight="1">
      <c r="B21" s="73" t="s">
        <v>204</v>
      </c>
      <c r="C21" s="20" t="s">
        <v>205</v>
      </c>
      <c r="D21" s="30"/>
      <c r="E21" s="5"/>
      <c r="F21" s="45"/>
      <c r="G21" s="45"/>
    </row>
    <row r="22" spans="2:7" ht="27.75" customHeight="1">
      <c r="B22" s="74" t="s">
        <v>206</v>
      </c>
      <c r="C22" s="16" t="s">
        <v>207</v>
      </c>
      <c r="D22" s="30"/>
      <c r="E22" s="5"/>
      <c r="F22" s="45"/>
      <c r="G22" s="45"/>
    </row>
    <row r="23" spans="2:7" ht="27.75" customHeight="1">
      <c r="B23" s="73" t="s">
        <v>208</v>
      </c>
      <c r="C23" s="20" t="s">
        <v>209</v>
      </c>
      <c r="D23" s="30"/>
      <c r="E23" s="5"/>
      <c r="F23" s="45"/>
      <c r="G23" s="45"/>
    </row>
    <row r="25" spans="2:7" ht="21.75" customHeight="1">
      <c r="B25" s="106" t="s">
        <v>210</v>
      </c>
      <c r="C25" s="106"/>
      <c r="D25" s="106"/>
      <c r="E25" s="106"/>
      <c r="F25" s="106"/>
      <c r="G25" s="106"/>
    </row>
    <row r="26" spans="2:7" ht="27.75" customHeight="1">
      <c r="B26" s="74" t="s">
        <v>211</v>
      </c>
      <c r="C26" s="16" t="s">
        <v>212</v>
      </c>
      <c r="D26" s="30"/>
      <c r="E26" s="5"/>
      <c r="F26" s="45"/>
      <c r="G26" s="45"/>
    </row>
    <row r="27" spans="2:7" ht="27.75" customHeight="1">
      <c r="B27" s="73" t="s">
        <v>213</v>
      </c>
      <c r="C27" s="20" t="s">
        <v>214</v>
      </c>
      <c r="D27" s="30"/>
      <c r="E27" s="5"/>
      <c r="F27" s="45"/>
      <c r="G27" s="45"/>
    </row>
    <row r="28" spans="2:7" ht="27.75" customHeight="1">
      <c r="B28" s="74" t="s">
        <v>215</v>
      </c>
      <c r="C28" s="16" t="s">
        <v>216</v>
      </c>
      <c r="D28" s="30"/>
      <c r="E28" s="5"/>
      <c r="F28" s="45"/>
      <c r="G28" s="45"/>
    </row>
    <row r="29" spans="2:7" ht="27.75" customHeight="1">
      <c r="B29" s="73" t="s">
        <v>217</v>
      </c>
      <c r="C29" s="20" t="s">
        <v>218</v>
      </c>
      <c r="D29" s="30"/>
      <c r="E29" s="5"/>
      <c r="F29" s="45"/>
      <c r="G29" s="45"/>
    </row>
    <row r="30" spans="2:7" ht="27.75" customHeight="1">
      <c r="B30" s="74" t="s">
        <v>219</v>
      </c>
      <c r="C30" s="16" t="s">
        <v>220</v>
      </c>
      <c r="D30" s="30"/>
      <c r="E30" s="5"/>
      <c r="F30" s="45"/>
      <c r="G30" s="45"/>
    </row>
    <row r="31" spans="2:7" ht="27.75" customHeight="1">
      <c r="B31" s="73" t="s">
        <v>221</v>
      </c>
      <c r="C31" s="20" t="s">
        <v>222</v>
      </c>
      <c r="D31" s="30"/>
      <c r="E31" s="5"/>
      <c r="F31" s="45"/>
      <c r="G31" s="45"/>
    </row>
    <row r="32" spans="2:7" ht="27.75" customHeight="1">
      <c r="B32" s="74" t="s">
        <v>223</v>
      </c>
      <c r="C32" s="16" t="s">
        <v>224</v>
      </c>
      <c r="D32" s="30"/>
      <c r="E32" s="5"/>
      <c r="F32" s="45"/>
      <c r="G32" s="45"/>
    </row>
    <row r="34" spans="2:7" ht="21.75" customHeight="1">
      <c r="B34" s="106" t="s">
        <v>225</v>
      </c>
      <c r="C34" s="106"/>
      <c r="D34" s="106"/>
      <c r="E34" s="106"/>
      <c r="F34" s="106"/>
      <c r="G34" s="106"/>
    </row>
    <row r="35" spans="2:7" ht="27.75" customHeight="1">
      <c r="B35" s="73" t="s">
        <v>226</v>
      </c>
      <c r="C35" s="20" t="s">
        <v>227</v>
      </c>
      <c r="D35" s="30"/>
      <c r="E35" s="5"/>
      <c r="F35" s="45"/>
      <c r="G35" s="45"/>
    </row>
    <row r="36" spans="2:7" ht="27.75" customHeight="1">
      <c r="B36" s="74" t="s">
        <v>228</v>
      </c>
      <c r="C36" s="16" t="s">
        <v>229</v>
      </c>
      <c r="D36" s="30"/>
      <c r="E36" s="5"/>
      <c r="F36" s="45"/>
      <c r="G36" s="45"/>
    </row>
    <row r="37" spans="2:7" ht="27.75" customHeight="1">
      <c r="B37" s="73" t="s">
        <v>230</v>
      </c>
      <c r="C37" s="20" t="s">
        <v>231</v>
      </c>
      <c r="D37" s="30"/>
      <c r="E37" s="5"/>
      <c r="F37" s="45"/>
      <c r="G37" s="45"/>
    </row>
    <row r="39" spans="2:7" ht="21.75" customHeight="1">
      <c r="B39" s="106" t="s">
        <v>232</v>
      </c>
      <c r="C39" s="106"/>
      <c r="D39" s="106"/>
      <c r="E39" s="106"/>
      <c r="F39" s="106"/>
      <c r="G39" s="106"/>
    </row>
    <row r="40" spans="2:7" ht="27.75" customHeight="1">
      <c r="B40" s="74" t="s">
        <v>233</v>
      </c>
      <c r="C40" s="16" t="s">
        <v>234</v>
      </c>
      <c r="D40" s="30"/>
      <c r="E40" s="5"/>
      <c r="F40" s="45"/>
      <c r="G40" s="45"/>
    </row>
    <row r="41" spans="2:7" ht="27.75" customHeight="1">
      <c r="B41" s="73" t="s">
        <v>235</v>
      </c>
      <c r="C41" s="20" t="s">
        <v>236</v>
      </c>
      <c r="D41" s="30"/>
      <c r="E41" s="5"/>
      <c r="F41" s="45"/>
      <c r="G41" s="45"/>
    </row>
    <row r="43" spans="2:7" ht="27.75" customHeight="1">
      <c r="B43" s="103" t="s">
        <v>237</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238</v>
      </c>
      <c r="C45" s="170"/>
      <c r="D45" s="170"/>
      <c r="E45" s="170"/>
      <c r="F45" s="170"/>
      <c r="G45" s="170"/>
    </row>
    <row r="46" spans="2:7" ht="21.75" customHeight="1">
      <c r="B46" s="6" t="s">
        <v>239</v>
      </c>
      <c r="C46" s="6" t="s">
        <v>240</v>
      </c>
      <c r="D46" s="6" t="s">
        <v>241</v>
      </c>
      <c r="E46" s="6" t="s">
        <v>242</v>
      </c>
      <c r="F46" s="6" t="s">
        <v>243</v>
      </c>
      <c r="G46" s="6" t="s">
        <v>244</v>
      </c>
    </row>
    <row r="47" spans="2:7" ht="21.75" customHeight="1">
      <c r="B47" s="77" t="s">
        <v>245</v>
      </c>
      <c r="C47" s="78"/>
      <c r="D47" s="78"/>
      <c r="E47" s="78"/>
      <c r="F47" s="78"/>
      <c r="G47" s="78"/>
    </row>
    <row r="48" spans="2:7" ht="21.75" customHeight="1">
      <c r="B48" s="79" t="s">
        <v>246</v>
      </c>
      <c r="C48" s="80"/>
      <c r="D48" s="80"/>
      <c r="E48" s="80"/>
      <c r="F48" s="80"/>
      <c r="G48" s="80"/>
    </row>
    <row r="49" spans="2:7" ht="21.75" customHeight="1">
      <c r="B49" s="77" t="s">
        <v>247</v>
      </c>
      <c r="C49" s="78"/>
      <c r="D49" s="78"/>
      <c r="E49" s="78"/>
      <c r="F49" s="78"/>
      <c r="G49" s="78"/>
    </row>
    <row r="50" spans="2:7" ht="21.75" customHeight="1">
      <c r="B50" s="79" t="s">
        <v>248</v>
      </c>
      <c r="C50" s="80"/>
      <c r="D50" s="80"/>
      <c r="E50" s="80"/>
      <c r="F50" s="80"/>
      <c r="G50" s="80"/>
    </row>
    <row r="51" spans="2:7" ht="21.75" customHeight="1">
      <c r="B51" s="77" t="s">
        <v>249</v>
      </c>
      <c r="C51" s="78"/>
      <c r="D51" s="78"/>
      <c r="E51" s="78"/>
      <c r="F51" s="78"/>
      <c r="G51" s="78"/>
    </row>
    <row r="52" spans="2:7" ht="21.75" customHeight="1">
      <c r="B52" s="79" t="s">
        <v>250</v>
      </c>
      <c r="C52" s="80"/>
      <c r="D52" s="80"/>
      <c r="E52" s="80"/>
      <c r="F52" s="80"/>
      <c r="G52" s="80"/>
    </row>
    <row r="53" spans="2:7" ht="21.75" customHeight="1">
      <c r="B53" s="77" t="s">
        <v>251</v>
      </c>
      <c r="C53" s="78"/>
      <c r="D53" s="78"/>
      <c r="E53" s="78"/>
      <c r="F53" s="78"/>
      <c r="G53" s="78"/>
    </row>
    <row r="54" spans="2:7" ht="21.75" customHeight="1">
      <c r="B54" s="79" t="s">
        <v>252</v>
      </c>
      <c r="C54" s="80"/>
      <c r="D54" s="80"/>
      <c r="E54" s="80"/>
      <c r="F54" s="80"/>
      <c r="G54" s="80"/>
    </row>
    <row r="55" spans="2:7" ht="21.75" customHeight="1">
      <c r="B55" s="77" t="s">
        <v>253</v>
      </c>
      <c r="C55" s="78"/>
      <c r="D55" s="78"/>
      <c r="E55" s="78"/>
      <c r="F55" s="78"/>
      <c r="G55" s="78"/>
    </row>
    <row r="56" spans="2:7" ht="21.75" customHeight="1">
      <c r="B56" s="79" t="s">
        <v>254</v>
      </c>
      <c r="C56" s="80"/>
      <c r="D56" s="80"/>
      <c r="E56" s="80"/>
      <c r="F56" s="80"/>
      <c r="G56" s="80"/>
    </row>
    <row r="57" spans="2:7" ht="21.75" customHeight="1">
      <c r="B57" s="77" t="s">
        <v>255</v>
      </c>
      <c r="C57" s="78"/>
      <c r="D57" s="78"/>
      <c r="E57" s="78"/>
      <c r="F57" s="78"/>
      <c r="G57" s="78"/>
    </row>
    <row r="58" spans="2:7" ht="21.75" customHeight="1">
      <c r="B58" s="79" t="s">
        <v>256</v>
      </c>
      <c r="C58" s="80"/>
      <c r="D58" s="80"/>
      <c r="E58" s="80"/>
      <c r="F58" s="80"/>
      <c r="G58" s="80"/>
    </row>
    <row r="60" spans="2:7" ht="24" customHeight="1">
      <c r="B60" s="170" t="s">
        <v>257</v>
      </c>
      <c r="C60" s="170"/>
      <c r="D60" s="170"/>
      <c r="E60" s="170"/>
      <c r="F60" s="170"/>
      <c r="G60" s="170"/>
    </row>
    <row r="61" spans="2:7" ht="21.75" customHeight="1">
      <c r="B61" s="6" t="s">
        <v>258</v>
      </c>
      <c r="C61" s="6" t="s">
        <v>259</v>
      </c>
      <c r="D61" s="6" t="s">
        <v>260</v>
      </c>
      <c r="E61" s="6" t="s">
        <v>261</v>
      </c>
      <c r="F61" s="6" t="s">
        <v>262</v>
      </c>
    </row>
    <row r="62" spans="2:7" ht="19.5" customHeight="1">
      <c r="B62" s="77" t="s">
        <v>263</v>
      </c>
      <c r="C62" s="78"/>
      <c r="D62" s="78"/>
      <c r="E62" s="78"/>
      <c r="F62" s="78"/>
    </row>
    <row r="63" spans="2:7" ht="19.5" customHeight="1">
      <c r="B63" s="79" t="s">
        <v>264</v>
      </c>
      <c r="C63" s="80"/>
      <c r="D63" s="80"/>
      <c r="E63" s="80"/>
      <c r="F63" s="80"/>
    </row>
    <row r="64" spans="2:7" ht="19.5" customHeight="1">
      <c r="B64" s="77" t="s">
        <v>265</v>
      </c>
      <c r="C64" s="78"/>
      <c r="D64" s="78"/>
      <c r="E64" s="78"/>
      <c r="F64" s="78"/>
    </row>
    <row r="65" spans="2:7" ht="19.5" customHeight="1">
      <c r="B65" s="79" t="s">
        <v>266</v>
      </c>
      <c r="C65" s="80"/>
      <c r="D65" s="80"/>
      <c r="E65" s="80"/>
      <c r="F65" s="80"/>
    </row>
    <row r="66" spans="2:7" ht="19.5" customHeight="1">
      <c r="B66" s="77" t="s">
        <v>267</v>
      </c>
      <c r="C66" s="78"/>
      <c r="D66" s="78"/>
      <c r="E66" s="78"/>
      <c r="F66" s="78"/>
    </row>
    <row r="67" spans="2:7" ht="19.5" customHeight="1">
      <c r="B67" s="79" t="s">
        <v>268</v>
      </c>
      <c r="C67" s="80"/>
      <c r="D67" s="80"/>
      <c r="E67" s="80"/>
      <c r="F67" s="80"/>
    </row>
    <row r="68" spans="2:7" ht="19.5" customHeight="1">
      <c r="B68" s="77" t="s">
        <v>269</v>
      </c>
      <c r="C68" s="78"/>
      <c r="D68" s="78"/>
      <c r="E68" s="78"/>
      <c r="F68" s="78"/>
    </row>
    <row r="69" spans="2:7" ht="19.5" customHeight="1">
      <c r="B69" s="79" t="s">
        <v>270</v>
      </c>
      <c r="C69" s="80"/>
      <c r="D69" s="80"/>
      <c r="E69" s="80"/>
      <c r="F69" s="80"/>
    </row>
    <row r="71" spans="2:7" ht="24" customHeight="1">
      <c r="B71" s="170" t="s">
        <v>271</v>
      </c>
      <c r="C71" s="170"/>
      <c r="D71" s="170"/>
      <c r="E71" s="170"/>
      <c r="F71" s="170"/>
      <c r="G71" s="170"/>
    </row>
    <row r="72" spans="2:7" ht="21.75" customHeight="1">
      <c r="B72" s="6" t="s">
        <v>272</v>
      </c>
      <c r="C72" s="6" t="s">
        <v>240</v>
      </c>
      <c r="D72" s="6" t="s">
        <v>273</v>
      </c>
      <c r="E72" s="6" t="s">
        <v>274</v>
      </c>
      <c r="F72" s="6" t="s">
        <v>262</v>
      </c>
    </row>
    <row r="73" spans="2:7" ht="21.75" customHeight="1">
      <c r="B73" s="16" t="s">
        <v>275</v>
      </c>
      <c r="C73" s="78"/>
      <c r="D73" s="78"/>
      <c r="E73" s="78"/>
      <c r="F73" s="78"/>
    </row>
    <row r="74" spans="2:7" ht="21.75" customHeight="1">
      <c r="B74" s="20" t="s">
        <v>276</v>
      </c>
      <c r="C74" s="80"/>
      <c r="D74" s="80"/>
      <c r="E74" s="80"/>
      <c r="F74" s="80"/>
    </row>
    <row r="75" spans="2:7" ht="21.75" customHeight="1">
      <c r="B75" s="16" t="s">
        <v>277</v>
      </c>
      <c r="C75" s="78"/>
      <c r="D75" s="78"/>
      <c r="E75" s="78"/>
      <c r="F75" s="78"/>
    </row>
    <row r="76" spans="2:7" ht="21.75" customHeight="1">
      <c r="B76" s="20" t="s">
        <v>278</v>
      </c>
      <c r="C76" s="80"/>
      <c r="D76" s="80"/>
      <c r="E76" s="80"/>
      <c r="F76" s="80"/>
    </row>
    <row r="77" spans="2:7" ht="21.75" customHeight="1">
      <c r="B77" s="16" t="s">
        <v>279</v>
      </c>
      <c r="C77" s="78"/>
      <c r="D77" s="78"/>
      <c r="E77" s="78"/>
      <c r="F77" s="78"/>
    </row>
    <row r="78" spans="2:7" ht="21.75" customHeight="1">
      <c r="B78" s="20" t="s">
        <v>280</v>
      </c>
      <c r="C78" s="80"/>
      <c r="D78" s="80"/>
      <c r="E78" s="80"/>
      <c r="F78" s="80"/>
    </row>
    <row r="79" spans="2:7" ht="21.75" customHeight="1">
      <c r="B79" s="16" t="s">
        <v>281</v>
      </c>
      <c r="C79" s="78"/>
      <c r="D79" s="78"/>
      <c r="E79" s="78"/>
      <c r="F79" s="78"/>
    </row>
    <row r="81" spans="2:7" ht="24" customHeight="1">
      <c r="B81" s="170" t="s">
        <v>282</v>
      </c>
      <c r="C81" s="170"/>
      <c r="D81" s="170"/>
      <c r="E81" s="170"/>
      <c r="F81" s="170"/>
      <c r="G81" s="170"/>
    </row>
    <row r="82" spans="2:7" ht="27.75" customHeight="1">
      <c r="B82" s="6" t="s">
        <v>153</v>
      </c>
      <c r="C82" s="6" t="s">
        <v>283</v>
      </c>
      <c r="D82" s="6" t="s">
        <v>284</v>
      </c>
      <c r="E82" s="6" t="s">
        <v>285</v>
      </c>
      <c r="F82" s="6" t="s">
        <v>286</v>
      </c>
      <c r="G82" s="6" t="s">
        <v>287</v>
      </c>
    </row>
    <row r="83" spans="2:7" ht="25.5" customHeight="1">
      <c r="B83" s="82" t="s">
        <v>288</v>
      </c>
      <c r="C83" s="30"/>
      <c r="D83" s="16" t="s">
        <v>289</v>
      </c>
      <c r="E83" s="83"/>
      <c r="F83" s="45"/>
      <c r="G83" s="5"/>
    </row>
    <row r="84" spans="2:7" ht="25.5" customHeight="1">
      <c r="B84" s="84" t="s">
        <v>290</v>
      </c>
      <c r="C84" s="30"/>
      <c r="D84" s="20" t="s">
        <v>291</v>
      </c>
      <c r="E84" s="83"/>
      <c r="F84" s="45"/>
      <c r="G84" s="5"/>
    </row>
    <row r="85" spans="2:7" ht="25.5" customHeight="1">
      <c r="B85" s="82" t="s">
        <v>292</v>
      </c>
      <c r="C85" s="30"/>
      <c r="D85" s="16" t="s">
        <v>293</v>
      </c>
      <c r="E85" s="83"/>
      <c r="F85" s="45"/>
      <c r="G85" s="5"/>
    </row>
    <row r="86" spans="2:7" ht="25.5" customHeight="1">
      <c r="B86" s="84" t="s">
        <v>294</v>
      </c>
      <c r="C86" s="30"/>
      <c r="D86" s="20" t="s">
        <v>295</v>
      </c>
      <c r="E86" s="83"/>
      <c r="F86" s="45"/>
      <c r="G86" s="5"/>
    </row>
    <row r="87" spans="2:7" ht="25.5" customHeight="1">
      <c r="B87" s="82" t="s">
        <v>296</v>
      </c>
      <c r="C87" s="30"/>
      <c r="D87" s="16" t="s">
        <v>297</v>
      </c>
      <c r="E87" s="83"/>
      <c r="F87" s="45"/>
      <c r="G87" s="5"/>
    </row>
    <row r="88" spans="2:7" ht="25.5" customHeight="1">
      <c r="B88" s="84" t="s">
        <v>298</v>
      </c>
      <c r="C88" s="30"/>
      <c r="D88" s="20" t="s">
        <v>299</v>
      </c>
      <c r="E88" s="83"/>
      <c r="F88" s="45"/>
      <c r="G88" s="5"/>
    </row>
    <row r="89" spans="2:7" ht="25.5" customHeight="1">
      <c r="B89" s="82" t="s">
        <v>300</v>
      </c>
      <c r="C89" s="30"/>
      <c r="D89" s="16" t="s">
        <v>301</v>
      </c>
      <c r="E89" s="83"/>
      <c r="F89" s="45"/>
      <c r="G89" s="5"/>
    </row>
    <row r="91" spans="2:7" ht="24" customHeight="1">
      <c r="B91" s="170" t="s">
        <v>302</v>
      </c>
      <c r="C91" s="170"/>
      <c r="D91" s="170"/>
      <c r="E91" s="170"/>
      <c r="F91" s="170"/>
      <c r="G91" s="170"/>
    </row>
    <row r="92" spans="2:7" ht="21.75" customHeight="1">
      <c r="B92" s="6" t="s">
        <v>303</v>
      </c>
      <c r="C92" s="6" t="s">
        <v>304</v>
      </c>
    </row>
    <row r="93" spans="2:7" ht="21.75" customHeight="1">
      <c r="B93" s="14" t="s">
        <v>305</v>
      </c>
      <c r="C93" s="107"/>
      <c r="D93" s="107"/>
      <c r="E93" s="107"/>
      <c r="F93" s="107"/>
      <c r="G93" s="107"/>
    </row>
    <row r="94" spans="2:7" ht="21.75" customHeight="1">
      <c r="B94" s="18" t="s">
        <v>306</v>
      </c>
      <c r="C94" s="107"/>
      <c r="D94" s="107"/>
      <c r="E94" s="107"/>
      <c r="F94" s="107"/>
      <c r="G94" s="107"/>
    </row>
    <row r="95" spans="2:7" ht="21.75" customHeight="1">
      <c r="B95" s="14" t="s">
        <v>307</v>
      </c>
      <c r="C95" s="107"/>
      <c r="D95" s="107"/>
      <c r="E95" s="107"/>
      <c r="F95" s="107"/>
      <c r="G95" s="107"/>
    </row>
    <row r="96" spans="2:7" ht="21.75" customHeight="1">
      <c r="B96" s="18" t="s">
        <v>308</v>
      </c>
      <c r="C96" s="107"/>
      <c r="D96" s="107"/>
      <c r="E96" s="107"/>
      <c r="F96" s="107"/>
      <c r="G96" s="107"/>
    </row>
    <row r="97" spans="2:7" ht="21.75" customHeight="1">
      <c r="B97" s="14" t="s">
        <v>309</v>
      </c>
      <c r="C97" s="107"/>
      <c r="D97" s="107"/>
      <c r="E97" s="107"/>
      <c r="F97" s="107"/>
      <c r="G97" s="107"/>
    </row>
    <row r="98" spans="2:7" ht="21.75" customHeight="1">
      <c r="B98" s="18" t="s">
        <v>310</v>
      </c>
      <c r="C98" s="107"/>
      <c r="D98" s="107"/>
      <c r="E98" s="107"/>
      <c r="F98" s="107"/>
      <c r="G98" s="107"/>
    </row>
    <row r="99" spans="2:7" ht="21.75" customHeight="1">
      <c r="B99" s="14" t="s">
        <v>311</v>
      </c>
      <c r="C99" s="107"/>
      <c r="D99" s="107"/>
      <c r="E99" s="107"/>
      <c r="F99" s="107"/>
      <c r="G99" s="107"/>
    </row>
    <row r="101" spans="2:7" ht="24" customHeight="1">
      <c r="B101" s="170" t="s">
        <v>312</v>
      </c>
      <c r="C101" s="170"/>
      <c r="D101" s="170"/>
      <c r="E101" s="170"/>
      <c r="F101" s="170"/>
      <c r="G101" s="170"/>
    </row>
    <row r="102" spans="2:7" ht="21.75" customHeight="1">
      <c r="B102" s="6" t="s">
        <v>313</v>
      </c>
      <c r="C102" s="6" t="s">
        <v>314</v>
      </c>
      <c r="D102" s="6" t="s">
        <v>315</v>
      </c>
      <c r="E102" s="6" t="s">
        <v>316</v>
      </c>
      <c r="F102" s="6" t="s">
        <v>317</v>
      </c>
    </row>
    <row r="103" spans="2:7" ht="21.75" customHeight="1">
      <c r="B103" s="77" t="s">
        <v>318</v>
      </c>
      <c r="C103" s="78"/>
      <c r="D103" s="78"/>
      <c r="E103" s="16"/>
      <c r="F103" s="78"/>
    </row>
    <row r="104" spans="2:7" ht="21.75" customHeight="1">
      <c r="B104" s="79" t="s">
        <v>319</v>
      </c>
      <c r="C104" s="80"/>
      <c r="D104" s="80"/>
      <c r="E104" s="20"/>
      <c r="F104" s="80"/>
    </row>
    <row r="105" spans="2:7" ht="21.75" customHeight="1">
      <c r="B105" s="77" t="s">
        <v>320</v>
      </c>
      <c r="C105" s="78"/>
      <c r="D105" s="78"/>
      <c r="E105" s="16"/>
      <c r="F105" s="78"/>
    </row>
    <row r="106" spans="2:7" ht="21.75" customHeight="1">
      <c r="B106" s="79" t="s">
        <v>321</v>
      </c>
      <c r="C106" s="80"/>
      <c r="D106" s="80"/>
      <c r="E106" s="20"/>
      <c r="F106" s="80"/>
    </row>
    <row r="107" spans="2:7" ht="21.75" customHeight="1">
      <c r="B107" s="77" t="s">
        <v>322</v>
      </c>
      <c r="C107" s="78"/>
      <c r="D107" s="78"/>
      <c r="E107" s="16"/>
      <c r="F107" s="78"/>
    </row>
    <row r="108" spans="2:7" ht="21.75" customHeight="1">
      <c r="B108" s="79" t="s">
        <v>323</v>
      </c>
      <c r="C108" s="80"/>
      <c r="D108" s="80"/>
      <c r="E108" s="20"/>
      <c r="F108" s="80"/>
    </row>
    <row r="109" spans="2:7" ht="21.75" customHeight="1">
      <c r="B109" s="77" t="s">
        <v>324</v>
      </c>
      <c r="C109" s="78"/>
      <c r="D109" s="78"/>
      <c r="E109" s="16"/>
      <c r="F109" s="78"/>
    </row>
    <row r="110" spans="2:7" ht="21.75" customHeight="1">
      <c r="B110" s="79" t="s">
        <v>325</v>
      </c>
      <c r="C110" s="80"/>
      <c r="D110" s="80"/>
      <c r="E110" s="20"/>
      <c r="F110" s="80"/>
    </row>
    <row r="111" spans="2:7" ht="21.75" customHeight="1">
      <c r="B111" s="77" t="s">
        <v>326</v>
      </c>
      <c r="C111" s="78"/>
      <c r="D111" s="78"/>
      <c r="E111" s="16"/>
      <c r="F111" s="78"/>
    </row>
    <row r="112" spans="2:7" ht="21.75" customHeight="1">
      <c r="B112" s="79" t="s">
        <v>327</v>
      </c>
      <c r="C112" s="80"/>
      <c r="D112" s="80"/>
      <c r="E112" s="20"/>
      <c r="F112" s="80"/>
    </row>
    <row r="114" spans="2:7" ht="24" customHeight="1">
      <c r="B114" s="170" t="s">
        <v>328</v>
      </c>
      <c r="C114" s="170"/>
      <c r="D114" s="170"/>
      <c r="E114" s="170"/>
      <c r="F114" s="170"/>
      <c r="G114" s="170"/>
    </row>
    <row r="115" spans="2:7" ht="21.75" customHeight="1">
      <c r="B115" s="6" t="s">
        <v>329</v>
      </c>
      <c r="C115" s="6" t="s">
        <v>330</v>
      </c>
    </row>
    <row r="116" spans="2:7" ht="21.75" customHeight="1">
      <c r="B116" s="14" t="s">
        <v>331</v>
      </c>
      <c r="C116" s="107"/>
      <c r="D116" s="107"/>
      <c r="E116" s="107"/>
      <c r="F116" s="107"/>
      <c r="G116" s="107"/>
    </row>
    <row r="117" spans="2:7" ht="21.75" customHeight="1">
      <c r="B117" s="18" t="s">
        <v>332</v>
      </c>
      <c r="C117" s="107"/>
      <c r="D117" s="107"/>
      <c r="E117" s="107"/>
      <c r="F117" s="107"/>
      <c r="G117" s="107"/>
    </row>
    <row r="118" spans="2:7" ht="21.75" customHeight="1">
      <c r="B118" s="14" t="s">
        <v>333</v>
      </c>
      <c r="C118" s="107"/>
      <c r="D118" s="107"/>
      <c r="E118" s="107"/>
      <c r="F118" s="107"/>
      <c r="G118" s="107"/>
    </row>
    <row r="119" spans="2:7" ht="21.75" customHeight="1">
      <c r="B119" s="18" t="s">
        <v>334</v>
      </c>
      <c r="C119" s="107"/>
      <c r="D119" s="107"/>
      <c r="E119" s="107"/>
      <c r="F119" s="107"/>
      <c r="G119" s="107"/>
    </row>
    <row r="120" spans="2:7" ht="21.75" customHeight="1">
      <c r="B120" s="14" t="s">
        <v>335</v>
      </c>
      <c r="C120" s="107"/>
      <c r="D120" s="107"/>
      <c r="E120" s="107"/>
      <c r="F120" s="107"/>
      <c r="G120" s="107"/>
    </row>
    <row r="121" spans="2:7" ht="21.75" customHeight="1">
      <c r="B121" s="18" t="s">
        <v>336</v>
      </c>
      <c r="C121" s="107"/>
      <c r="D121" s="107"/>
      <c r="E121" s="107"/>
      <c r="F121" s="107"/>
      <c r="G121" s="107"/>
    </row>
    <row r="122" spans="2:7" ht="21.75" customHeight="1">
      <c r="B122" s="14" t="s">
        <v>337</v>
      </c>
      <c r="C122" s="107"/>
      <c r="D122" s="107"/>
      <c r="E122" s="107"/>
      <c r="F122" s="107"/>
      <c r="G122" s="107"/>
    </row>
    <row r="124" spans="2:7" ht="24" customHeight="1">
      <c r="B124" s="170" t="s">
        <v>338</v>
      </c>
      <c r="C124" s="170"/>
      <c r="D124" s="170"/>
      <c r="E124" s="170"/>
      <c r="F124" s="170"/>
      <c r="G124" s="170"/>
    </row>
    <row r="125" spans="2:7" ht="21.75" customHeight="1">
      <c r="B125" s="6" t="s">
        <v>339</v>
      </c>
      <c r="C125" s="6" t="s">
        <v>340</v>
      </c>
    </row>
    <row r="126" spans="2:7" ht="30" customHeight="1">
      <c r="B126" s="85" t="s">
        <v>341</v>
      </c>
      <c r="C126" s="107"/>
      <c r="D126" s="107"/>
      <c r="E126" s="107"/>
      <c r="F126" s="107"/>
      <c r="G126" s="107"/>
    </row>
    <row r="127" spans="2:7" ht="30" customHeight="1">
      <c r="B127" s="86" t="s">
        <v>342</v>
      </c>
      <c r="C127" s="107"/>
      <c r="D127" s="107"/>
      <c r="E127" s="107"/>
      <c r="F127" s="107"/>
      <c r="G127" s="107"/>
    </row>
    <row r="128" spans="2:7" ht="30" customHeight="1">
      <c r="B128" s="85" t="s">
        <v>343</v>
      </c>
      <c r="C128" s="107"/>
      <c r="D128" s="107"/>
      <c r="E128" s="107"/>
      <c r="F128" s="107"/>
      <c r="G128" s="107"/>
    </row>
    <row r="129" spans="2:7" ht="30" customHeight="1">
      <c r="B129" s="86" t="s">
        <v>344</v>
      </c>
      <c r="C129" s="107"/>
      <c r="D129" s="107"/>
      <c r="E129" s="107"/>
      <c r="F129" s="107"/>
      <c r="G129" s="107"/>
    </row>
    <row r="130" spans="2:7" ht="30" customHeight="1">
      <c r="B130" s="85" t="s">
        <v>345</v>
      </c>
      <c r="C130" s="107"/>
      <c r="D130" s="107"/>
      <c r="E130" s="107"/>
      <c r="F130" s="107"/>
      <c r="G130" s="107"/>
    </row>
    <row r="131" spans="2:7" ht="30" customHeight="1">
      <c r="B131" s="86" t="s">
        <v>346</v>
      </c>
      <c r="C131" s="107"/>
      <c r="D131" s="107"/>
      <c r="E131" s="107"/>
      <c r="F131" s="107"/>
      <c r="G131" s="107"/>
    </row>
    <row r="132" spans="2:7" ht="30" customHeight="1">
      <c r="B132" s="85" t="s">
        <v>347</v>
      </c>
      <c r="C132" s="107"/>
      <c r="D132" s="107"/>
      <c r="E132" s="107"/>
      <c r="F132" s="107"/>
      <c r="G132" s="107"/>
    </row>
  </sheetData>
  <mergeCells count="46">
    <mergeCell ref="C132:G132"/>
    <mergeCell ref="C127:G127"/>
    <mergeCell ref="C128:G128"/>
    <mergeCell ref="C129:G129"/>
    <mergeCell ref="C130:G130"/>
    <mergeCell ref="C131:G131"/>
    <mergeCell ref="C120:G120"/>
    <mergeCell ref="C121:G121"/>
    <mergeCell ref="C122:G122"/>
    <mergeCell ref="B124:G124"/>
    <mergeCell ref="C126:G126"/>
    <mergeCell ref="B114:G114"/>
    <mergeCell ref="C116:G116"/>
    <mergeCell ref="C117:G117"/>
    <mergeCell ref="C118:G118"/>
    <mergeCell ref="C119:G119"/>
    <mergeCell ref="C96:G96"/>
    <mergeCell ref="C97:G97"/>
    <mergeCell ref="C98:G98"/>
    <mergeCell ref="C99:G99"/>
    <mergeCell ref="B101:G101"/>
    <mergeCell ref="B81:G81"/>
    <mergeCell ref="B91:G91"/>
    <mergeCell ref="C93:G93"/>
    <mergeCell ref="C94:G94"/>
    <mergeCell ref="C95:G95"/>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700-000003000000}">
      <formula1>"Alta,Media,Baja,Sin mejora"</formula1>
      <formula2>0</formula2>
    </dataValidation>
    <dataValidation type="list" allowBlank="1" sqref="C83:C89" xr:uid="{00000000-0002-0000-0700-000004000000}">
      <formula1>"Sí,No,Parcial"</formula1>
      <formula2>0</formula2>
    </dataValidation>
    <dataValidation type="date" allowBlank="1" showInputMessage="1" showErrorMessage="1" sqref="C10:E10" xr:uid="{C59D5785-8CBB-46D2-A178-74C5550C4EDD}">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xr:uid="{00000000-0002-0000-0700-000000000000}">
          <x14:formula1>
            <xm:f>Listas!$H$5:$H$9</xm:f>
          </x14:formula1>
          <x14:formula2>
            <xm:f>0</xm:f>
          </x14:formula2>
          <xm:sqref>C12</xm:sqref>
        </x14:dataValidation>
        <x14:dataValidation type="list" allowBlank="1" xr:uid="{00000000-0002-0000-0700-000001000000}">
          <x14:formula1>
            <xm:f>Listas!$D$5:$D$10</xm:f>
          </x14:formula1>
          <x14:formula2>
            <xm:f>0</xm:f>
          </x14:formula2>
          <xm:sqref>C14</xm:sqref>
        </x14:dataValidation>
        <x14:dataValidation type="list" allowBlank="1" xr:uid="{00000000-0002-0000-0700-000002000000}">
          <x14:formula1>
            <xm:f>Listas!$B$5:$B$8</xm:f>
          </x14:formula1>
          <x14:formula2>
            <xm:f>0</xm:f>
          </x14:formula2>
          <xm:sqref>D19:D23 D26:D32 D35:D37 D40:D41</xm:sqref>
        </x14:dataValidation>
        <x14:dataValidation type="list" allowBlank="1" xr:uid="{00000000-0002-0000-0700-000005000000}">
          <x14:formula1>
            <xm:f>Listas!$F$5:$F$7</xm:f>
          </x14:formula1>
          <x14:formula2>
            <xm:f>0</xm:f>
          </x14:formula2>
          <xm:sqref>F83:F89</xm:sqref>
        </x14:dataValidation>
        <x14:dataValidation type="list" allowBlank="1" xr:uid="{00000000-0002-0000-0700-000006000000}">
          <x14:formula1>
            <xm:f>Listas!$L$5:$L$7</xm:f>
          </x14:formula1>
          <x14:formula2>
            <xm:f>0</xm:f>
          </x14:formula2>
          <xm:sqref>C130</xm:sqref>
        </x14:dataValidation>
        <x14:dataValidation type="list" allowBlank="1" showInputMessage="1" showErrorMessage="1" xr:uid="{3CD2A876-FB89-4CD2-B9B9-499D42B8D5CE}">
          <x14:formula1>
            <xm:f>Listas!$N$5:$N$10</xm:f>
          </x14:formula1>
          <xm:sqref>C5:E5</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32"/>
  <sheetViews>
    <sheetView showGridLines="0" zoomScaleNormal="100" workbookViewId="0">
      <pane xSplit="2" ySplit="2" topLeftCell="C3" activePane="bottomRight" state="frozen"/>
      <selection pane="bottomRight" activeCell="C9" sqref="C9:E9"/>
      <selection pane="bottomLeft" activeCell="A3" sqref="A3"/>
      <selection pane="topRight" activeCell="C1" sqref="C1"/>
    </sheetView>
  </sheetViews>
  <sheetFormatPr defaultColWidth="8.5703125" defaultRowHeight="14.45"/>
  <cols>
    <col min="1" max="1" width="3" style="1" customWidth="1"/>
    <col min="2" max="2" width="30.5703125" style="1" customWidth="1"/>
    <col min="3" max="3" width="36" style="1" customWidth="1"/>
    <col min="4" max="4" width="25.140625" style="1" customWidth="1"/>
    <col min="5" max="5" width="40" style="1" customWidth="1"/>
    <col min="6" max="6" width="14" style="1" customWidth="1"/>
    <col min="7" max="7" width="20" style="1" customWidth="1"/>
    <col min="8" max="9" width="8.5703125" style="1"/>
    <col min="10" max="10" width="20.7109375" style="1" customWidth="1"/>
    <col min="11" max="11" width="40.42578125" style="1" customWidth="1"/>
    <col min="12" max="16384" width="8.5703125" style="1"/>
  </cols>
  <sheetData>
    <row r="1" spans="2:11" ht="7.5" customHeight="1"/>
    <row r="2" spans="2:11" ht="30" customHeight="1">
      <c r="B2" s="169" t="s">
        <v>374</v>
      </c>
      <c r="C2" s="169"/>
      <c r="D2" s="169"/>
      <c r="E2" s="169"/>
      <c r="F2" s="169"/>
      <c r="G2" s="169"/>
    </row>
    <row r="3" spans="2:11" ht="15.75">
      <c r="I3" s="100" t="s">
        <v>48</v>
      </c>
      <c r="J3" s="100"/>
      <c r="K3" s="100"/>
    </row>
    <row r="4" spans="2:11" ht="24" customHeight="1">
      <c r="B4" s="170" t="s">
        <v>180</v>
      </c>
      <c r="C4" s="170"/>
      <c r="D4" s="170"/>
      <c r="E4" s="170"/>
      <c r="F4" s="170"/>
      <c r="G4" s="170"/>
      <c r="I4" s="6" t="s">
        <v>49</v>
      </c>
      <c r="J4" s="6" t="s">
        <v>50</v>
      </c>
      <c r="K4" s="6" t="s">
        <v>22</v>
      </c>
    </row>
    <row r="5" spans="2:11" ht="19.5" customHeight="1">
      <c r="B5" s="70" t="s">
        <v>181</v>
      </c>
      <c r="C5" s="104" t="s">
        <v>101</v>
      </c>
      <c r="D5" s="104"/>
      <c r="E5" s="104"/>
      <c r="I5" s="21" t="s">
        <v>51</v>
      </c>
      <c r="J5" s="22" t="s">
        <v>52</v>
      </c>
      <c r="K5" s="101" t="s">
        <v>53</v>
      </c>
    </row>
    <row r="6" spans="2:11" ht="19.5" customHeight="1">
      <c r="B6" s="70" t="s">
        <v>182</v>
      </c>
      <c r="C6" s="104" t="s">
        <v>375</v>
      </c>
      <c r="D6" s="104"/>
      <c r="E6" s="104"/>
      <c r="I6" s="23" t="s">
        <v>54</v>
      </c>
      <c r="J6" s="22" t="s">
        <v>55</v>
      </c>
      <c r="K6" s="101" t="s">
        <v>56</v>
      </c>
    </row>
    <row r="7" spans="2:11" ht="19.5" customHeight="1">
      <c r="B7" s="70" t="s">
        <v>184</v>
      </c>
      <c r="C7" s="104"/>
      <c r="D7" s="104"/>
      <c r="E7" s="104"/>
      <c r="I7" s="24" t="s">
        <v>57</v>
      </c>
      <c r="J7" s="22" t="s">
        <v>58</v>
      </c>
      <c r="K7" s="101" t="s">
        <v>59</v>
      </c>
    </row>
    <row r="8" spans="2:11" ht="19.5" customHeight="1">
      <c r="B8" s="70" t="s">
        <v>185</v>
      </c>
      <c r="C8" s="104"/>
      <c r="D8" s="104"/>
      <c r="E8" s="104"/>
      <c r="I8" s="25" t="s">
        <v>60</v>
      </c>
      <c r="J8" s="22" t="s">
        <v>61</v>
      </c>
      <c r="K8" s="101" t="s">
        <v>62</v>
      </c>
    </row>
    <row r="9" spans="2:11" ht="19.5" customHeight="1">
      <c r="B9" s="70" t="s">
        <v>186</v>
      </c>
      <c r="C9" s="174"/>
      <c r="D9" s="174"/>
      <c r="E9" s="174"/>
      <c r="I9" s="26" t="s">
        <v>63</v>
      </c>
      <c r="J9" s="22" t="s">
        <v>64</v>
      </c>
      <c r="K9" s="101" t="s">
        <v>65</v>
      </c>
    </row>
    <row r="10" spans="2:11" ht="19.5" customHeight="1">
      <c r="B10" s="70" t="s">
        <v>187</v>
      </c>
      <c r="C10" s="104"/>
      <c r="D10" s="104"/>
      <c r="E10" s="104"/>
      <c r="I10" s="27" t="s">
        <v>66</v>
      </c>
      <c r="J10" s="22" t="s">
        <v>67</v>
      </c>
      <c r="K10" s="101" t="s">
        <v>68</v>
      </c>
    </row>
    <row r="11" spans="2:11" ht="19.5" customHeight="1">
      <c r="B11" s="70" t="s">
        <v>188</v>
      </c>
      <c r="C11" s="104"/>
      <c r="D11" s="104"/>
      <c r="E11" s="104"/>
    </row>
    <row r="12" spans="2:11" ht="19.5" customHeight="1">
      <c r="B12" s="70" t="s">
        <v>189</v>
      </c>
      <c r="C12" s="104"/>
      <c r="D12" s="104"/>
      <c r="E12" s="104"/>
    </row>
    <row r="13" spans="2:11" ht="19.5" customHeight="1">
      <c r="B13" s="70" t="s">
        <v>190</v>
      </c>
      <c r="C13" s="104"/>
      <c r="D13" s="104"/>
      <c r="E13" s="104"/>
    </row>
    <row r="14" spans="2:11" ht="19.5" customHeight="1">
      <c r="B14" s="70" t="s">
        <v>191</v>
      </c>
      <c r="C14" s="71"/>
      <c r="D14" s="72" t="s">
        <v>192</v>
      </c>
    </row>
    <row r="16" spans="2:11" ht="24" customHeight="1">
      <c r="B16" s="170" t="s">
        <v>193</v>
      </c>
      <c r="C16" s="170"/>
      <c r="D16" s="170"/>
      <c r="E16" s="170"/>
      <c r="F16" s="170"/>
      <c r="G16" s="170"/>
    </row>
    <row r="17" spans="2:7" ht="27.75" customHeight="1">
      <c r="B17" s="6" t="s">
        <v>19</v>
      </c>
      <c r="C17" s="6" t="s">
        <v>194</v>
      </c>
      <c r="D17" s="6" t="s">
        <v>195</v>
      </c>
      <c r="E17" s="6" t="s">
        <v>196</v>
      </c>
      <c r="F17" s="6" t="s">
        <v>197</v>
      </c>
      <c r="G17" s="6" t="s">
        <v>198</v>
      </c>
    </row>
    <row r="18" spans="2:7" ht="21.75" customHeight="1">
      <c r="B18" s="106" t="s">
        <v>199</v>
      </c>
      <c r="C18" s="106"/>
      <c r="D18" s="106"/>
      <c r="E18" s="106"/>
      <c r="F18" s="106"/>
      <c r="G18" s="106"/>
    </row>
    <row r="19" spans="2:7" ht="27.75" customHeight="1">
      <c r="B19" s="73" t="s">
        <v>200</v>
      </c>
      <c r="C19" s="20" t="s">
        <v>201</v>
      </c>
      <c r="D19" s="30"/>
      <c r="E19" s="5"/>
      <c r="F19" s="45"/>
      <c r="G19" s="45"/>
    </row>
    <row r="20" spans="2:7" ht="27.75" customHeight="1">
      <c r="B20" s="74" t="s">
        <v>202</v>
      </c>
      <c r="C20" s="16" t="s">
        <v>203</v>
      </c>
      <c r="D20" s="30"/>
      <c r="E20" s="5"/>
      <c r="F20" s="45"/>
      <c r="G20" s="45"/>
    </row>
    <row r="21" spans="2:7" ht="27.75" customHeight="1">
      <c r="B21" s="73" t="s">
        <v>204</v>
      </c>
      <c r="C21" s="20" t="s">
        <v>205</v>
      </c>
      <c r="D21" s="30"/>
      <c r="E21" s="5"/>
      <c r="F21" s="45"/>
      <c r="G21" s="45"/>
    </row>
    <row r="22" spans="2:7" ht="27.75" customHeight="1">
      <c r="B22" s="74" t="s">
        <v>206</v>
      </c>
      <c r="C22" s="16" t="s">
        <v>207</v>
      </c>
      <c r="D22" s="30"/>
      <c r="E22" s="5"/>
      <c r="F22" s="45"/>
      <c r="G22" s="45"/>
    </row>
    <row r="23" spans="2:7" ht="27.75" customHeight="1">
      <c r="B23" s="73" t="s">
        <v>208</v>
      </c>
      <c r="C23" s="20" t="s">
        <v>209</v>
      </c>
      <c r="D23" s="30"/>
      <c r="E23" s="5"/>
      <c r="F23" s="45"/>
      <c r="G23" s="45"/>
    </row>
    <row r="25" spans="2:7" ht="21.75" customHeight="1">
      <c r="B25" s="106" t="s">
        <v>210</v>
      </c>
      <c r="C25" s="106"/>
      <c r="D25" s="106"/>
      <c r="E25" s="106"/>
      <c r="F25" s="106"/>
      <c r="G25" s="106"/>
    </row>
    <row r="26" spans="2:7" ht="27.75" customHeight="1">
      <c r="B26" s="74" t="s">
        <v>211</v>
      </c>
      <c r="C26" s="16" t="s">
        <v>212</v>
      </c>
      <c r="D26" s="30"/>
      <c r="E26" s="5"/>
      <c r="F26" s="45"/>
      <c r="G26" s="45"/>
    </row>
    <row r="27" spans="2:7" ht="27.75" customHeight="1">
      <c r="B27" s="73" t="s">
        <v>213</v>
      </c>
      <c r="C27" s="20" t="s">
        <v>214</v>
      </c>
      <c r="D27" s="30"/>
      <c r="E27" s="5"/>
      <c r="F27" s="45"/>
      <c r="G27" s="45"/>
    </row>
    <row r="28" spans="2:7" ht="27.75" customHeight="1">
      <c r="B28" s="74" t="s">
        <v>215</v>
      </c>
      <c r="C28" s="16" t="s">
        <v>216</v>
      </c>
      <c r="D28" s="30"/>
      <c r="E28" s="5"/>
      <c r="F28" s="45"/>
      <c r="G28" s="45"/>
    </row>
    <row r="29" spans="2:7" ht="27.75" customHeight="1">
      <c r="B29" s="73" t="s">
        <v>217</v>
      </c>
      <c r="C29" s="20" t="s">
        <v>218</v>
      </c>
      <c r="D29" s="30"/>
      <c r="E29" s="5"/>
      <c r="F29" s="45"/>
      <c r="G29" s="45"/>
    </row>
    <row r="30" spans="2:7" ht="27.75" customHeight="1">
      <c r="B30" s="74" t="s">
        <v>219</v>
      </c>
      <c r="C30" s="16" t="s">
        <v>220</v>
      </c>
      <c r="D30" s="30"/>
      <c r="E30" s="5"/>
      <c r="F30" s="45"/>
      <c r="G30" s="45"/>
    </row>
    <row r="31" spans="2:7" ht="27.75" customHeight="1">
      <c r="B31" s="73" t="s">
        <v>221</v>
      </c>
      <c r="C31" s="20" t="s">
        <v>222</v>
      </c>
      <c r="D31" s="30"/>
      <c r="E31" s="5"/>
      <c r="F31" s="45"/>
      <c r="G31" s="45"/>
    </row>
    <row r="32" spans="2:7" ht="27.75" customHeight="1">
      <c r="B32" s="74" t="s">
        <v>223</v>
      </c>
      <c r="C32" s="16" t="s">
        <v>224</v>
      </c>
      <c r="D32" s="30"/>
      <c r="E32" s="5"/>
      <c r="F32" s="45"/>
      <c r="G32" s="45"/>
    </row>
    <row r="34" spans="2:7" ht="21.75" customHeight="1">
      <c r="B34" s="106" t="s">
        <v>225</v>
      </c>
      <c r="C34" s="106"/>
      <c r="D34" s="106"/>
      <c r="E34" s="106"/>
      <c r="F34" s="106"/>
      <c r="G34" s="106"/>
    </row>
    <row r="35" spans="2:7" ht="27.75" customHeight="1">
      <c r="B35" s="73" t="s">
        <v>226</v>
      </c>
      <c r="C35" s="20" t="s">
        <v>227</v>
      </c>
      <c r="D35" s="30"/>
      <c r="E35" s="5"/>
      <c r="F35" s="45"/>
      <c r="G35" s="45"/>
    </row>
    <row r="36" spans="2:7" ht="27.75" customHeight="1">
      <c r="B36" s="74" t="s">
        <v>228</v>
      </c>
      <c r="C36" s="16" t="s">
        <v>229</v>
      </c>
      <c r="D36" s="30"/>
      <c r="E36" s="5"/>
      <c r="F36" s="45"/>
      <c r="G36" s="45"/>
    </row>
    <row r="37" spans="2:7" ht="27.75" customHeight="1">
      <c r="B37" s="73" t="s">
        <v>230</v>
      </c>
      <c r="C37" s="20" t="s">
        <v>231</v>
      </c>
      <c r="D37" s="30"/>
      <c r="E37" s="5"/>
      <c r="F37" s="45"/>
      <c r="G37" s="45"/>
    </row>
    <row r="39" spans="2:7" ht="21.75" customHeight="1">
      <c r="B39" s="106" t="s">
        <v>232</v>
      </c>
      <c r="C39" s="106"/>
      <c r="D39" s="106"/>
      <c r="E39" s="106"/>
      <c r="F39" s="106"/>
      <c r="G39" s="106"/>
    </row>
    <row r="40" spans="2:7" ht="27.75" customHeight="1">
      <c r="B40" s="74" t="s">
        <v>233</v>
      </c>
      <c r="C40" s="16" t="s">
        <v>234</v>
      </c>
      <c r="D40" s="30"/>
      <c r="E40" s="5"/>
      <c r="F40" s="45"/>
      <c r="G40" s="45"/>
    </row>
    <row r="41" spans="2:7" ht="27.75" customHeight="1">
      <c r="B41" s="73" t="s">
        <v>235</v>
      </c>
      <c r="C41" s="20" t="s">
        <v>236</v>
      </c>
      <c r="D41" s="30"/>
      <c r="E41" s="5"/>
      <c r="F41" s="45"/>
      <c r="G41" s="45"/>
    </row>
    <row r="43" spans="2:7" ht="27.75" customHeight="1">
      <c r="B43" s="103" t="s">
        <v>237</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238</v>
      </c>
      <c r="C45" s="170"/>
      <c r="D45" s="170"/>
      <c r="E45" s="170"/>
      <c r="F45" s="170"/>
      <c r="G45" s="170"/>
    </row>
    <row r="46" spans="2:7" ht="21.75" customHeight="1">
      <c r="B46" s="6" t="s">
        <v>239</v>
      </c>
      <c r="C46" s="6" t="s">
        <v>240</v>
      </c>
      <c r="D46" s="6" t="s">
        <v>241</v>
      </c>
      <c r="E46" s="6" t="s">
        <v>242</v>
      </c>
      <c r="F46" s="6" t="s">
        <v>243</v>
      </c>
      <c r="G46" s="6" t="s">
        <v>244</v>
      </c>
    </row>
    <row r="47" spans="2:7" ht="21.75" customHeight="1">
      <c r="B47" s="77" t="s">
        <v>245</v>
      </c>
      <c r="C47" s="78"/>
      <c r="D47" s="78"/>
      <c r="E47" s="78"/>
      <c r="F47" s="78"/>
      <c r="G47" s="78"/>
    </row>
    <row r="48" spans="2:7" ht="21.75" customHeight="1">
      <c r="B48" s="79" t="s">
        <v>246</v>
      </c>
      <c r="C48" s="80"/>
      <c r="D48" s="80"/>
      <c r="E48" s="80"/>
      <c r="F48" s="80"/>
      <c r="G48" s="80"/>
    </row>
    <row r="49" spans="2:7" ht="21.75" customHeight="1">
      <c r="B49" s="77" t="s">
        <v>247</v>
      </c>
      <c r="C49" s="78"/>
      <c r="D49" s="78"/>
      <c r="E49" s="78"/>
      <c r="F49" s="78"/>
      <c r="G49" s="78"/>
    </row>
    <row r="50" spans="2:7" ht="21.75" customHeight="1">
      <c r="B50" s="79" t="s">
        <v>248</v>
      </c>
      <c r="C50" s="80"/>
      <c r="D50" s="80"/>
      <c r="E50" s="80"/>
      <c r="F50" s="80"/>
      <c r="G50" s="80"/>
    </row>
    <row r="51" spans="2:7" ht="21.75" customHeight="1">
      <c r="B51" s="77" t="s">
        <v>249</v>
      </c>
      <c r="C51" s="78"/>
      <c r="D51" s="78"/>
      <c r="E51" s="78"/>
      <c r="F51" s="78"/>
      <c r="G51" s="78"/>
    </row>
    <row r="52" spans="2:7" ht="21.75" customHeight="1">
      <c r="B52" s="79" t="s">
        <v>250</v>
      </c>
      <c r="C52" s="80"/>
      <c r="D52" s="80"/>
      <c r="E52" s="80"/>
      <c r="F52" s="80"/>
      <c r="G52" s="80"/>
    </row>
    <row r="53" spans="2:7" ht="21.75" customHeight="1">
      <c r="B53" s="77" t="s">
        <v>251</v>
      </c>
      <c r="C53" s="78"/>
      <c r="D53" s="78"/>
      <c r="E53" s="78"/>
      <c r="F53" s="78"/>
      <c r="G53" s="78"/>
    </row>
    <row r="54" spans="2:7" ht="21.75" customHeight="1">
      <c r="B54" s="79" t="s">
        <v>252</v>
      </c>
      <c r="C54" s="80"/>
      <c r="D54" s="80"/>
      <c r="E54" s="80"/>
      <c r="F54" s="80"/>
      <c r="G54" s="80"/>
    </row>
    <row r="55" spans="2:7" ht="21.75" customHeight="1">
      <c r="B55" s="77" t="s">
        <v>253</v>
      </c>
      <c r="C55" s="78"/>
      <c r="D55" s="78"/>
      <c r="E55" s="78"/>
      <c r="F55" s="78"/>
      <c r="G55" s="78"/>
    </row>
    <row r="56" spans="2:7" ht="21.75" customHeight="1">
      <c r="B56" s="79" t="s">
        <v>254</v>
      </c>
      <c r="C56" s="80"/>
      <c r="D56" s="80"/>
      <c r="E56" s="80"/>
      <c r="F56" s="80"/>
      <c r="G56" s="80"/>
    </row>
    <row r="57" spans="2:7" ht="21.75" customHeight="1">
      <c r="B57" s="77" t="s">
        <v>255</v>
      </c>
      <c r="C57" s="78"/>
      <c r="D57" s="78"/>
      <c r="E57" s="78"/>
      <c r="F57" s="78"/>
      <c r="G57" s="78"/>
    </row>
    <row r="58" spans="2:7" ht="21.75" customHeight="1">
      <c r="B58" s="79" t="s">
        <v>256</v>
      </c>
      <c r="C58" s="80"/>
      <c r="D58" s="80"/>
      <c r="E58" s="80"/>
      <c r="F58" s="80"/>
      <c r="G58" s="80"/>
    </row>
    <row r="60" spans="2:7" ht="24" customHeight="1">
      <c r="B60" s="170" t="s">
        <v>257</v>
      </c>
      <c r="C60" s="170"/>
      <c r="D60" s="170"/>
      <c r="E60" s="170"/>
      <c r="F60" s="170"/>
      <c r="G60" s="170"/>
    </row>
    <row r="61" spans="2:7" ht="21.75" customHeight="1">
      <c r="B61" s="6" t="s">
        <v>258</v>
      </c>
      <c r="C61" s="6" t="s">
        <v>259</v>
      </c>
      <c r="D61" s="6" t="s">
        <v>260</v>
      </c>
      <c r="E61" s="6" t="s">
        <v>261</v>
      </c>
      <c r="F61" s="6" t="s">
        <v>262</v>
      </c>
    </row>
    <row r="62" spans="2:7" ht="19.5" customHeight="1">
      <c r="B62" s="77" t="s">
        <v>263</v>
      </c>
      <c r="C62" s="78"/>
      <c r="D62" s="78"/>
      <c r="E62" s="78"/>
      <c r="F62" s="78"/>
    </row>
    <row r="63" spans="2:7" ht="19.5" customHeight="1">
      <c r="B63" s="79" t="s">
        <v>264</v>
      </c>
      <c r="C63" s="80"/>
      <c r="D63" s="80"/>
      <c r="E63" s="80"/>
      <c r="F63" s="80"/>
    </row>
    <row r="64" spans="2:7" ht="19.5" customHeight="1">
      <c r="B64" s="77" t="s">
        <v>265</v>
      </c>
      <c r="C64" s="78"/>
      <c r="D64" s="78"/>
      <c r="E64" s="78"/>
      <c r="F64" s="78"/>
    </row>
    <row r="65" spans="2:7" ht="19.5" customHeight="1">
      <c r="B65" s="79" t="s">
        <v>266</v>
      </c>
      <c r="C65" s="80"/>
      <c r="D65" s="80"/>
      <c r="E65" s="80"/>
      <c r="F65" s="80"/>
    </row>
    <row r="66" spans="2:7" ht="19.5" customHeight="1">
      <c r="B66" s="77" t="s">
        <v>267</v>
      </c>
      <c r="C66" s="78"/>
      <c r="D66" s="78"/>
      <c r="E66" s="78"/>
      <c r="F66" s="78"/>
    </row>
    <row r="67" spans="2:7" ht="19.5" customHeight="1">
      <c r="B67" s="79" t="s">
        <v>268</v>
      </c>
      <c r="C67" s="80"/>
      <c r="D67" s="80"/>
      <c r="E67" s="80"/>
      <c r="F67" s="80"/>
    </row>
    <row r="68" spans="2:7" ht="19.5" customHeight="1">
      <c r="B68" s="77" t="s">
        <v>269</v>
      </c>
      <c r="C68" s="78"/>
      <c r="D68" s="78"/>
      <c r="E68" s="78"/>
      <c r="F68" s="78"/>
    </row>
    <row r="69" spans="2:7" ht="19.5" customHeight="1">
      <c r="B69" s="79" t="s">
        <v>270</v>
      </c>
      <c r="C69" s="80"/>
      <c r="D69" s="80"/>
      <c r="E69" s="80"/>
      <c r="F69" s="80"/>
    </row>
    <row r="71" spans="2:7" ht="24" customHeight="1">
      <c r="B71" s="170" t="s">
        <v>271</v>
      </c>
      <c r="C71" s="170"/>
      <c r="D71" s="170"/>
      <c r="E71" s="170"/>
      <c r="F71" s="170"/>
      <c r="G71" s="170"/>
    </row>
    <row r="72" spans="2:7" ht="21.75" customHeight="1">
      <c r="B72" s="6" t="s">
        <v>272</v>
      </c>
      <c r="C72" s="6" t="s">
        <v>240</v>
      </c>
      <c r="D72" s="6" t="s">
        <v>273</v>
      </c>
      <c r="E72" s="6" t="s">
        <v>274</v>
      </c>
      <c r="F72" s="6" t="s">
        <v>262</v>
      </c>
    </row>
    <row r="73" spans="2:7" ht="21.75" customHeight="1">
      <c r="B73" s="16" t="s">
        <v>275</v>
      </c>
      <c r="C73" s="78"/>
      <c r="D73" s="78"/>
      <c r="E73" s="78"/>
      <c r="F73" s="78"/>
    </row>
    <row r="74" spans="2:7" ht="21.75" customHeight="1">
      <c r="B74" s="20" t="s">
        <v>276</v>
      </c>
      <c r="C74" s="80"/>
      <c r="D74" s="80"/>
      <c r="E74" s="80"/>
      <c r="F74" s="80"/>
    </row>
    <row r="75" spans="2:7" ht="21.75" customHeight="1">
      <c r="B75" s="16" t="s">
        <v>277</v>
      </c>
      <c r="C75" s="78"/>
      <c r="D75" s="78"/>
      <c r="E75" s="78"/>
      <c r="F75" s="78"/>
    </row>
    <row r="76" spans="2:7" ht="21.75" customHeight="1">
      <c r="B76" s="20" t="s">
        <v>278</v>
      </c>
      <c r="C76" s="80"/>
      <c r="D76" s="80"/>
      <c r="E76" s="80"/>
      <c r="F76" s="80"/>
    </row>
    <row r="77" spans="2:7" ht="21.75" customHeight="1">
      <c r="B77" s="16" t="s">
        <v>279</v>
      </c>
      <c r="C77" s="78"/>
      <c r="D77" s="78"/>
      <c r="E77" s="78"/>
      <c r="F77" s="78"/>
    </row>
    <row r="78" spans="2:7" ht="21.75" customHeight="1">
      <c r="B78" s="20" t="s">
        <v>280</v>
      </c>
      <c r="C78" s="80"/>
      <c r="D78" s="80"/>
      <c r="E78" s="80"/>
      <c r="F78" s="80"/>
    </row>
    <row r="79" spans="2:7" ht="21.75" customHeight="1">
      <c r="B79" s="16" t="s">
        <v>281</v>
      </c>
      <c r="C79" s="78"/>
      <c r="D79" s="78"/>
      <c r="E79" s="78"/>
      <c r="F79" s="78"/>
    </row>
    <row r="81" spans="2:7" ht="24" customHeight="1">
      <c r="B81" s="170" t="s">
        <v>282</v>
      </c>
      <c r="C81" s="170"/>
      <c r="D81" s="170"/>
      <c r="E81" s="170"/>
      <c r="F81" s="170"/>
      <c r="G81" s="170"/>
    </row>
    <row r="82" spans="2:7" ht="27.75" customHeight="1">
      <c r="B82" s="6" t="s">
        <v>153</v>
      </c>
      <c r="C82" s="6" t="s">
        <v>283</v>
      </c>
      <c r="D82" s="6" t="s">
        <v>284</v>
      </c>
      <c r="E82" s="6" t="s">
        <v>285</v>
      </c>
      <c r="F82" s="6" t="s">
        <v>286</v>
      </c>
      <c r="G82" s="6" t="s">
        <v>287</v>
      </c>
    </row>
    <row r="83" spans="2:7" ht="25.5" customHeight="1">
      <c r="B83" s="82" t="s">
        <v>288</v>
      </c>
      <c r="C83" s="30"/>
      <c r="D83" s="16" t="s">
        <v>289</v>
      </c>
      <c r="E83" s="83"/>
      <c r="F83" s="45"/>
      <c r="G83" s="5"/>
    </row>
    <row r="84" spans="2:7" ht="25.5" customHeight="1">
      <c r="B84" s="84" t="s">
        <v>290</v>
      </c>
      <c r="C84" s="30"/>
      <c r="D84" s="20" t="s">
        <v>291</v>
      </c>
      <c r="E84" s="83"/>
      <c r="F84" s="45"/>
      <c r="G84" s="5"/>
    </row>
    <row r="85" spans="2:7" ht="25.5" customHeight="1">
      <c r="B85" s="82" t="s">
        <v>292</v>
      </c>
      <c r="C85" s="30"/>
      <c r="D85" s="16" t="s">
        <v>293</v>
      </c>
      <c r="E85" s="83"/>
      <c r="F85" s="45"/>
      <c r="G85" s="5"/>
    </row>
    <row r="86" spans="2:7" ht="25.5" customHeight="1">
      <c r="B86" s="84" t="s">
        <v>294</v>
      </c>
      <c r="C86" s="30"/>
      <c r="D86" s="20" t="s">
        <v>295</v>
      </c>
      <c r="E86" s="83"/>
      <c r="F86" s="45"/>
      <c r="G86" s="5"/>
    </row>
    <row r="87" spans="2:7" ht="25.5" customHeight="1">
      <c r="B87" s="82" t="s">
        <v>296</v>
      </c>
      <c r="C87" s="30"/>
      <c r="D87" s="16" t="s">
        <v>297</v>
      </c>
      <c r="E87" s="83"/>
      <c r="F87" s="45"/>
      <c r="G87" s="5"/>
    </row>
    <row r="88" spans="2:7" ht="25.5" customHeight="1">
      <c r="B88" s="84" t="s">
        <v>298</v>
      </c>
      <c r="C88" s="30"/>
      <c r="D88" s="20" t="s">
        <v>299</v>
      </c>
      <c r="E88" s="83"/>
      <c r="F88" s="45"/>
      <c r="G88" s="5"/>
    </row>
    <row r="89" spans="2:7" ht="25.5" customHeight="1">
      <c r="B89" s="82" t="s">
        <v>300</v>
      </c>
      <c r="C89" s="30"/>
      <c r="D89" s="16" t="s">
        <v>301</v>
      </c>
      <c r="E89" s="83"/>
      <c r="F89" s="45"/>
      <c r="G89" s="5"/>
    </row>
    <row r="91" spans="2:7" ht="24" customHeight="1">
      <c r="B91" s="170" t="s">
        <v>302</v>
      </c>
      <c r="C91" s="170"/>
      <c r="D91" s="170"/>
      <c r="E91" s="170"/>
      <c r="F91" s="170"/>
      <c r="G91" s="170"/>
    </row>
    <row r="92" spans="2:7" ht="21.75" customHeight="1">
      <c r="B92" s="6" t="s">
        <v>303</v>
      </c>
      <c r="C92" s="6" t="s">
        <v>304</v>
      </c>
    </row>
    <row r="93" spans="2:7" ht="21.75" customHeight="1">
      <c r="B93" s="14" t="s">
        <v>305</v>
      </c>
      <c r="C93" s="107"/>
      <c r="D93" s="107"/>
      <c r="E93" s="107"/>
      <c r="F93" s="107"/>
      <c r="G93" s="107"/>
    </row>
    <row r="94" spans="2:7" ht="21.75" customHeight="1">
      <c r="B94" s="18" t="s">
        <v>306</v>
      </c>
      <c r="C94" s="107"/>
      <c r="D94" s="107"/>
      <c r="E94" s="107"/>
      <c r="F94" s="107"/>
      <c r="G94" s="107"/>
    </row>
    <row r="95" spans="2:7" ht="21.75" customHeight="1">
      <c r="B95" s="14" t="s">
        <v>307</v>
      </c>
      <c r="C95" s="107"/>
      <c r="D95" s="107"/>
      <c r="E95" s="107"/>
      <c r="F95" s="107"/>
      <c r="G95" s="107"/>
    </row>
    <row r="96" spans="2:7" ht="21.75" customHeight="1">
      <c r="B96" s="18" t="s">
        <v>308</v>
      </c>
      <c r="C96" s="107"/>
      <c r="D96" s="107"/>
      <c r="E96" s="107"/>
      <c r="F96" s="107"/>
      <c r="G96" s="107"/>
    </row>
    <row r="97" spans="2:7" ht="21.75" customHeight="1">
      <c r="B97" s="14" t="s">
        <v>309</v>
      </c>
      <c r="C97" s="107"/>
      <c r="D97" s="107"/>
      <c r="E97" s="107"/>
      <c r="F97" s="107"/>
      <c r="G97" s="107"/>
    </row>
    <row r="98" spans="2:7" ht="21.75" customHeight="1">
      <c r="B98" s="18" t="s">
        <v>310</v>
      </c>
      <c r="C98" s="107"/>
      <c r="D98" s="107"/>
      <c r="E98" s="107"/>
      <c r="F98" s="107"/>
      <c r="G98" s="107"/>
    </row>
    <row r="99" spans="2:7" ht="21.75" customHeight="1">
      <c r="B99" s="14" t="s">
        <v>311</v>
      </c>
      <c r="C99" s="107"/>
      <c r="D99" s="107"/>
      <c r="E99" s="107"/>
      <c r="F99" s="107"/>
      <c r="G99" s="107"/>
    </row>
    <row r="101" spans="2:7" ht="24" customHeight="1">
      <c r="B101" s="170" t="s">
        <v>312</v>
      </c>
      <c r="C101" s="170"/>
      <c r="D101" s="170"/>
      <c r="E101" s="170"/>
      <c r="F101" s="170"/>
      <c r="G101" s="170"/>
    </row>
    <row r="102" spans="2:7" ht="21.75" customHeight="1">
      <c r="B102" s="6" t="s">
        <v>313</v>
      </c>
      <c r="C102" s="6" t="s">
        <v>314</v>
      </c>
      <c r="D102" s="6" t="s">
        <v>315</v>
      </c>
      <c r="E102" s="6" t="s">
        <v>316</v>
      </c>
      <c r="F102" s="6" t="s">
        <v>317</v>
      </c>
    </row>
    <row r="103" spans="2:7" ht="21.75" customHeight="1">
      <c r="B103" s="77" t="s">
        <v>318</v>
      </c>
      <c r="C103" s="78"/>
      <c r="D103" s="78"/>
      <c r="E103" s="16"/>
      <c r="F103" s="78"/>
    </row>
    <row r="104" spans="2:7" ht="21.75" customHeight="1">
      <c r="B104" s="79" t="s">
        <v>319</v>
      </c>
      <c r="C104" s="80"/>
      <c r="D104" s="80"/>
      <c r="E104" s="20"/>
      <c r="F104" s="80"/>
    </row>
    <row r="105" spans="2:7" ht="21.75" customHeight="1">
      <c r="B105" s="77" t="s">
        <v>320</v>
      </c>
      <c r="C105" s="78"/>
      <c r="D105" s="78"/>
      <c r="E105" s="16"/>
      <c r="F105" s="78"/>
    </row>
    <row r="106" spans="2:7" ht="21.75" customHeight="1">
      <c r="B106" s="79" t="s">
        <v>321</v>
      </c>
      <c r="C106" s="80"/>
      <c r="D106" s="80"/>
      <c r="E106" s="20"/>
      <c r="F106" s="80"/>
    </row>
    <row r="107" spans="2:7" ht="21.75" customHeight="1">
      <c r="B107" s="77" t="s">
        <v>322</v>
      </c>
      <c r="C107" s="78"/>
      <c r="D107" s="78"/>
      <c r="E107" s="16"/>
      <c r="F107" s="78"/>
    </row>
    <row r="108" spans="2:7" ht="21.75" customHeight="1">
      <c r="B108" s="79" t="s">
        <v>323</v>
      </c>
      <c r="C108" s="80"/>
      <c r="D108" s="80"/>
      <c r="E108" s="20"/>
      <c r="F108" s="80"/>
    </row>
    <row r="109" spans="2:7" ht="21.75" customHeight="1">
      <c r="B109" s="77" t="s">
        <v>324</v>
      </c>
      <c r="C109" s="78"/>
      <c r="D109" s="78"/>
      <c r="E109" s="16"/>
      <c r="F109" s="78"/>
    </row>
    <row r="110" spans="2:7" ht="21.75" customHeight="1">
      <c r="B110" s="79" t="s">
        <v>325</v>
      </c>
      <c r="C110" s="80"/>
      <c r="D110" s="80"/>
      <c r="E110" s="20"/>
      <c r="F110" s="80"/>
    </row>
    <row r="111" spans="2:7" ht="21.75" customHeight="1">
      <c r="B111" s="77" t="s">
        <v>326</v>
      </c>
      <c r="C111" s="78"/>
      <c r="D111" s="78"/>
      <c r="E111" s="16"/>
      <c r="F111" s="78"/>
    </row>
    <row r="112" spans="2:7" ht="21.75" customHeight="1">
      <c r="B112" s="79" t="s">
        <v>327</v>
      </c>
      <c r="C112" s="80"/>
      <c r="D112" s="80"/>
      <c r="E112" s="20"/>
      <c r="F112" s="80"/>
    </row>
    <row r="114" spans="2:7" ht="24" customHeight="1">
      <c r="B114" s="170" t="s">
        <v>328</v>
      </c>
      <c r="C114" s="170"/>
      <c r="D114" s="170"/>
      <c r="E114" s="170"/>
      <c r="F114" s="170"/>
      <c r="G114" s="170"/>
    </row>
    <row r="115" spans="2:7" ht="21.75" customHeight="1">
      <c r="B115" s="6" t="s">
        <v>329</v>
      </c>
      <c r="C115" s="6" t="s">
        <v>330</v>
      </c>
    </row>
    <row r="116" spans="2:7" ht="21.75" customHeight="1">
      <c r="B116" s="14" t="s">
        <v>331</v>
      </c>
      <c r="C116" s="107"/>
      <c r="D116" s="107"/>
      <c r="E116" s="107"/>
      <c r="F116" s="107"/>
      <c r="G116" s="107"/>
    </row>
    <row r="117" spans="2:7" ht="21.75" customHeight="1">
      <c r="B117" s="18" t="s">
        <v>332</v>
      </c>
      <c r="C117" s="107"/>
      <c r="D117" s="107"/>
      <c r="E117" s="107"/>
      <c r="F117" s="107"/>
      <c r="G117" s="107"/>
    </row>
    <row r="118" spans="2:7" ht="21.75" customHeight="1">
      <c r="B118" s="14" t="s">
        <v>333</v>
      </c>
      <c r="C118" s="107"/>
      <c r="D118" s="107"/>
      <c r="E118" s="107"/>
      <c r="F118" s="107"/>
      <c r="G118" s="107"/>
    </row>
    <row r="119" spans="2:7" ht="21.75" customHeight="1">
      <c r="B119" s="18" t="s">
        <v>334</v>
      </c>
      <c r="C119" s="107"/>
      <c r="D119" s="107"/>
      <c r="E119" s="107"/>
      <c r="F119" s="107"/>
      <c r="G119" s="107"/>
    </row>
    <row r="120" spans="2:7" ht="21.75" customHeight="1">
      <c r="B120" s="14" t="s">
        <v>335</v>
      </c>
      <c r="C120" s="107"/>
      <c r="D120" s="107"/>
      <c r="E120" s="107"/>
      <c r="F120" s="107"/>
      <c r="G120" s="107"/>
    </row>
    <row r="121" spans="2:7" ht="21.75" customHeight="1">
      <c r="B121" s="18" t="s">
        <v>336</v>
      </c>
      <c r="C121" s="107"/>
      <c r="D121" s="107"/>
      <c r="E121" s="107"/>
      <c r="F121" s="107"/>
      <c r="G121" s="107"/>
    </row>
    <row r="122" spans="2:7" ht="21.75" customHeight="1">
      <c r="B122" s="14" t="s">
        <v>337</v>
      </c>
      <c r="C122" s="107"/>
      <c r="D122" s="107"/>
      <c r="E122" s="107"/>
      <c r="F122" s="107"/>
      <c r="G122" s="107"/>
    </row>
    <row r="124" spans="2:7" ht="24" customHeight="1">
      <c r="B124" s="170" t="s">
        <v>338</v>
      </c>
      <c r="C124" s="170"/>
      <c r="D124" s="170"/>
      <c r="E124" s="170"/>
      <c r="F124" s="170"/>
      <c r="G124" s="170"/>
    </row>
    <row r="125" spans="2:7" ht="21.75" customHeight="1">
      <c r="B125" s="6" t="s">
        <v>339</v>
      </c>
      <c r="C125" s="6" t="s">
        <v>340</v>
      </c>
    </row>
    <row r="126" spans="2:7" ht="30" customHeight="1">
      <c r="B126" s="85" t="s">
        <v>341</v>
      </c>
      <c r="C126" s="107"/>
      <c r="D126" s="107"/>
      <c r="E126" s="107"/>
      <c r="F126" s="107"/>
      <c r="G126" s="107"/>
    </row>
    <row r="127" spans="2:7" ht="30" customHeight="1">
      <c r="B127" s="86" t="s">
        <v>342</v>
      </c>
      <c r="C127" s="107"/>
      <c r="D127" s="107"/>
      <c r="E127" s="107"/>
      <c r="F127" s="107"/>
      <c r="G127" s="107"/>
    </row>
    <row r="128" spans="2:7" ht="30" customHeight="1">
      <c r="B128" s="85" t="s">
        <v>343</v>
      </c>
      <c r="C128" s="107"/>
      <c r="D128" s="107"/>
      <c r="E128" s="107"/>
      <c r="F128" s="107"/>
      <c r="G128" s="107"/>
    </row>
    <row r="129" spans="2:7" ht="30" customHeight="1">
      <c r="B129" s="86" t="s">
        <v>344</v>
      </c>
      <c r="C129" s="107"/>
      <c r="D129" s="107"/>
      <c r="E129" s="107"/>
      <c r="F129" s="107"/>
      <c r="G129" s="107"/>
    </row>
    <row r="130" spans="2:7" ht="30" customHeight="1">
      <c r="B130" s="85" t="s">
        <v>345</v>
      </c>
      <c r="C130" s="107"/>
      <c r="D130" s="107"/>
      <c r="E130" s="107"/>
      <c r="F130" s="107"/>
      <c r="G130" s="107"/>
    </row>
    <row r="131" spans="2:7" ht="30" customHeight="1">
      <c r="B131" s="86" t="s">
        <v>346</v>
      </c>
      <c r="C131" s="107"/>
      <c r="D131" s="107"/>
      <c r="E131" s="107"/>
      <c r="F131" s="107"/>
      <c r="G131" s="107"/>
    </row>
    <row r="132" spans="2:7" ht="30" customHeight="1">
      <c r="B132" s="85" t="s">
        <v>347</v>
      </c>
      <c r="C132" s="107"/>
      <c r="D132" s="107"/>
      <c r="E132" s="107"/>
      <c r="F132" s="107"/>
      <c r="G132" s="107"/>
    </row>
  </sheetData>
  <mergeCells count="46">
    <mergeCell ref="C132:G132"/>
    <mergeCell ref="C127:G127"/>
    <mergeCell ref="C128:G128"/>
    <mergeCell ref="C129:G129"/>
    <mergeCell ref="C130:G130"/>
    <mergeCell ref="C131:G131"/>
    <mergeCell ref="C120:G120"/>
    <mergeCell ref="C121:G121"/>
    <mergeCell ref="C122:G122"/>
    <mergeCell ref="B124:G124"/>
    <mergeCell ref="C126:G126"/>
    <mergeCell ref="B114:G114"/>
    <mergeCell ref="C116:G116"/>
    <mergeCell ref="C117:G117"/>
    <mergeCell ref="C118:G118"/>
    <mergeCell ref="C119:G119"/>
    <mergeCell ref="C96:G96"/>
    <mergeCell ref="C97:G97"/>
    <mergeCell ref="C98:G98"/>
    <mergeCell ref="C99:G99"/>
    <mergeCell ref="B101:G101"/>
    <mergeCell ref="B81:G81"/>
    <mergeCell ref="B91:G91"/>
    <mergeCell ref="C93:G93"/>
    <mergeCell ref="C94:G94"/>
    <mergeCell ref="C95:G95"/>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800-000003000000}">
      <formula1>"Alta,Media,Baja,Sin mejora"</formula1>
      <formula2>0</formula2>
    </dataValidation>
    <dataValidation type="list" allowBlank="1" sqref="C83:C89" xr:uid="{00000000-0002-0000-0800-000004000000}">
      <formula1>"Sí,No,Parcial"</formula1>
      <formula2>0</formula2>
    </dataValidation>
    <dataValidation type="date" allowBlank="1" showInputMessage="1" showErrorMessage="1" sqref="C9:E9" xr:uid="{1F1B2B53-ED50-4EC5-A70D-CD54FAA75348}">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xr:uid="{00000000-0002-0000-0800-000000000000}">
          <x14:formula1>
            <xm:f>Listas!$H$5:$H$9</xm:f>
          </x14:formula1>
          <x14:formula2>
            <xm:f>0</xm:f>
          </x14:formula2>
          <xm:sqref>C12</xm:sqref>
        </x14:dataValidation>
        <x14:dataValidation type="list" allowBlank="1" xr:uid="{00000000-0002-0000-0800-000001000000}">
          <x14:formula1>
            <xm:f>Listas!$D$5:$D$10</xm:f>
          </x14:formula1>
          <x14:formula2>
            <xm:f>0</xm:f>
          </x14:formula2>
          <xm:sqref>C14</xm:sqref>
        </x14:dataValidation>
        <x14:dataValidation type="list" allowBlank="1" xr:uid="{00000000-0002-0000-0800-000002000000}">
          <x14:formula1>
            <xm:f>Listas!$B$5:$B$8</xm:f>
          </x14:formula1>
          <x14:formula2>
            <xm:f>0</xm:f>
          </x14:formula2>
          <xm:sqref>D19:D23 D26:D32 D35:D37 D40:D41</xm:sqref>
        </x14:dataValidation>
        <x14:dataValidation type="list" allowBlank="1" xr:uid="{00000000-0002-0000-0800-000005000000}">
          <x14:formula1>
            <xm:f>Listas!$F$5:$F$7</xm:f>
          </x14:formula1>
          <x14:formula2>
            <xm:f>0</xm:f>
          </x14:formula2>
          <xm:sqref>F83:F89</xm:sqref>
        </x14:dataValidation>
        <x14:dataValidation type="list" allowBlank="1" xr:uid="{00000000-0002-0000-0800-000006000000}">
          <x14:formula1>
            <xm:f>Listas!$L$5:$L$7</xm:f>
          </x14:formula1>
          <x14:formula2>
            <xm:f>0</xm:f>
          </x14:formula2>
          <xm:sqref>C130</xm:sqref>
        </x14:dataValidation>
        <x14:dataValidation type="list" allowBlank="1" showInputMessage="1" showErrorMessage="1" xr:uid="{1D1C42CA-DFED-4083-ABE9-F4540B36539A}">
          <x14:formula1>
            <xm:f>Listas!$N$5:$N$10</xm:f>
          </x14:formula1>
          <xm:sqref>C5:E5</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4A017"/>
  </sheetPr>
  <dimension ref="B1:K132"/>
  <sheetViews>
    <sheetView showGridLines="0" zoomScaleNormal="100" workbookViewId="0">
      <pane xSplit="2" ySplit="2" topLeftCell="C3" activePane="bottomRight" state="frozen"/>
      <selection pane="bottomRight" activeCell="C10" sqref="C10:E10"/>
      <selection pane="bottomLeft" activeCell="A3" sqref="A3"/>
      <selection pane="topRight" activeCell="C1" sqref="C1"/>
    </sheetView>
  </sheetViews>
  <sheetFormatPr defaultColWidth="8.5703125" defaultRowHeight="14.45"/>
  <cols>
    <col min="1" max="1" width="3" style="1" customWidth="1"/>
    <col min="2" max="2" width="30.140625" style="1" customWidth="1"/>
    <col min="3" max="3" width="36" style="1" customWidth="1"/>
    <col min="4" max="4" width="30.42578125" style="1" customWidth="1"/>
    <col min="5" max="5" width="40" style="1" customWidth="1"/>
    <col min="6" max="6" width="14" style="1" customWidth="1"/>
    <col min="7" max="7" width="20" style="1" customWidth="1"/>
    <col min="8" max="9" width="8.5703125" style="1"/>
    <col min="10" max="10" width="30.85546875" style="1" customWidth="1"/>
    <col min="11" max="11" width="32.28515625" style="1" customWidth="1"/>
    <col min="12" max="16384" width="8.5703125" style="1"/>
  </cols>
  <sheetData>
    <row r="1" spans="2:11" ht="7.5" customHeight="1"/>
    <row r="2" spans="2:11" ht="30" customHeight="1">
      <c r="B2" s="173" t="s">
        <v>376</v>
      </c>
      <c r="C2" s="173"/>
      <c r="D2" s="173"/>
      <c r="E2" s="173"/>
      <c r="F2" s="173"/>
      <c r="G2" s="173"/>
    </row>
    <row r="3" spans="2:11" ht="18" customHeight="1">
      <c r="B3" s="102" t="s">
        <v>179</v>
      </c>
      <c r="C3" s="102"/>
      <c r="D3" s="102"/>
      <c r="E3" s="102"/>
      <c r="F3" s="102"/>
      <c r="G3" s="102"/>
      <c r="I3" s="100" t="s">
        <v>48</v>
      </c>
      <c r="J3" s="100"/>
      <c r="K3" s="100"/>
    </row>
    <row r="4" spans="2:11" ht="24" customHeight="1">
      <c r="B4" s="170" t="s">
        <v>180</v>
      </c>
      <c r="C4" s="170"/>
      <c r="D4" s="170"/>
      <c r="E4" s="170"/>
      <c r="F4" s="170"/>
      <c r="G4" s="170"/>
      <c r="I4" s="6" t="s">
        <v>49</v>
      </c>
      <c r="J4" s="6" t="s">
        <v>50</v>
      </c>
      <c r="K4" s="6" t="s">
        <v>22</v>
      </c>
    </row>
    <row r="5" spans="2:11" ht="19.5" customHeight="1">
      <c r="B5" s="70" t="s">
        <v>181</v>
      </c>
      <c r="C5" s="104" t="s">
        <v>106</v>
      </c>
      <c r="D5" s="105"/>
      <c r="E5" s="105"/>
      <c r="I5" s="21" t="s">
        <v>51</v>
      </c>
      <c r="J5" s="22" t="s">
        <v>52</v>
      </c>
      <c r="K5" s="101" t="s">
        <v>53</v>
      </c>
    </row>
    <row r="6" spans="2:11" ht="19.5" customHeight="1">
      <c r="B6" s="70" t="s">
        <v>182</v>
      </c>
      <c r="C6" s="104" t="s">
        <v>377</v>
      </c>
      <c r="D6" s="104"/>
      <c r="E6" s="104"/>
      <c r="I6" s="23" t="s">
        <v>54</v>
      </c>
      <c r="J6" s="22" t="s">
        <v>55</v>
      </c>
      <c r="K6" s="101" t="s">
        <v>56</v>
      </c>
    </row>
    <row r="7" spans="2:11" ht="19.5" customHeight="1">
      <c r="B7" s="70" t="s">
        <v>184</v>
      </c>
      <c r="C7" s="104"/>
      <c r="D7" s="104"/>
      <c r="E7" s="104"/>
      <c r="I7" s="24" t="s">
        <v>57</v>
      </c>
      <c r="J7" s="22" t="s">
        <v>58</v>
      </c>
      <c r="K7" s="101" t="s">
        <v>59</v>
      </c>
    </row>
    <row r="8" spans="2:11" ht="19.5" customHeight="1">
      <c r="B8" s="70" t="s">
        <v>185</v>
      </c>
      <c r="C8" s="104"/>
      <c r="D8" s="104"/>
      <c r="E8" s="104"/>
      <c r="I8" s="25" t="s">
        <v>60</v>
      </c>
      <c r="J8" s="22" t="s">
        <v>61</v>
      </c>
      <c r="K8" s="101" t="s">
        <v>62</v>
      </c>
    </row>
    <row r="9" spans="2:11" ht="19.5" customHeight="1">
      <c r="B9" s="70" t="s">
        <v>186</v>
      </c>
      <c r="C9" s="104"/>
      <c r="D9" s="104"/>
      <c r="E9" s="104"/>
      <c r="I9" s="26" t="s">
        <v>63</v>
      </c>
      <c r="J9" s="22" t="s">
        <v>64</v>
      </c>
      <c r="K9" s="101" t="s">
        <v>65</v>
      </c>
    </row>
    <row r="10" spans="2:11" ht="19.5" customHeight="1">
      <c r="B10" s="70" t="s">
        <v>187</v>
      </c>
      <c r="C10" s="174"/>
      <c r="D10" s="174"/>
      <c r="E10" s="174"/>
      <c r="I10" s="27" t="s">
        <v>66</v>
      </c>
      <c r="J10" s="22" t="s">
        <v>67</v>
      </c>
      <c r="K10" s="101" t="s">
        <v>68</v>
      </c>
    </row>
    <row r="11" spans="2:11" ht="19.5" customHeight="1">
      <c r="B11" s="70" t="s">
        <v>188</v>
      </c>
      <c r="C11" s="104"/>
      <c r="D11" s="104"/>
      <c r="E11" s="104"/>
    </row>
    <row r="12" spans="2:11" ht="19.5" customHeight="1">
      <c r="B12" s="70" t="s">
        <v>189</v>
      </c>
      <c r="C12" s="104"/>
      <c r="D12" s="104"/>
      <c r="E12" s="104"/>
    </row>
    <row r="13" spans="2:11" ht="19.5" customHeight="1">
      <c r="B13" s="70" t="s">
        <v>190</v>
      </c>
      <c r="C13" s="104"/>
      <c r="D13" s="104"/>
      <c r="E13" s="104"/>
    </row>
    <row r="14" spans="2:11" ht="19.5" customHeight="1">
      <c r="B14" s="70" t="s">
        <v>191</v>
      </c>
      <c r="C14" s="71" t="s">
        <v>60</v>
      </c>
      <c r="D14" s="72" t="s">
        <v>192</v>
      </c>
    </row>
    <row r="16" spans="2:11" ht="24" customHeight="1">
      <c r="B16" s="170" t="s">
        <v>193</v>
      </c>
      <c r="C16" s="170"/>
      <c r="D16" s="170"/>
      <c r="E16" s="170"/>
      <c r="F16" s="170"/>
      <c r="G16" s="170"/>
    </row>
    <row r="17" spans="2:7" ht="27.75" customHeight="1">
      <c r="B17" s="6" t="s">
        <v>19</v>
      </c>
      <c r="C17" s="6" t="s">
        <v>194</v>
      </c>
      <c r="D17" s="6" t="s">
        <v>195</v>
      </c>
      <c r="E17" s="6" t="s">
        <v>196</v>
      </c>
      <c r="F17" s="6" t="s">
        <v>197</v>
      </c>
      <c r="G17" s="6" t="s">
        <v>198</v>
      </c>
    </row>
    <row r="18" spans="2:7" ht="21.75" customHeight="1">
      <c r="B18" s="106" t="s">
        <v>199</v>
      </c>
      <c r="C18" s="106"/>
      <c r="D18" s="106"/>
      <c r="E18" s="106"/>
      <c r="F18" s="106"/>
      <c r="G18" s="106"/>
    </row>
    <row r="19" spans="2:7" ht="27.75" customHeight="1">
      <c r="B19" s="73" t="s">
        <v>200</v>
      </c>
      <c r="C19" s="20" t="s">
        <v>201</v>
      </c>
      <c r="D19" s="30" t="s">
        <v>74</v>
      </c>
      <c r="E19" s="5"/>
      <c r="F19" s="45"/>
      <c r="G19" s="45"/>
    </row>
    <row r="20" spans="2:7" ht="27.75" customHeight="1">
      <c r="B20" s="74" t="s">
        <v>202</v>
      </c>
      <c r="C20" s="16" t="s">
        <v>203</v>
      </c>
      <c r="D20" s="30" t="s">
        <v>74</v>
      </c>
      <c r="E20" s="5"/>
      <c r="F20" s="45"/>
      <c r="G20" s="45"/>
    </row>
    <row r="21" spans="2:7" ht="27.75" customHeight="1">
      <c r="B21" s="73" t="s">
        <v>204</v>
      </c>
      <c r="C21" s="20" t="s">
        <v>205</v>
      </c>
      <c r="D21" s="30" t="s">
        <v>74</v>
      </c>
      <c r="E21" s="5"/>
      <c r="F21" s="45"/>
      <c r="G21" s="45"/>
    </row>
    <row r="22" spans="2:7" ht="27.75" customHeight="1">
      <c r="B22" s="74" t="s">
        <v>206</v>
      </c>
      <c r="C22" s="16" t="s">
        <v>207</v>
      </c>
      <c r="D22" s="30" t="s">
        <v>77</v>
      </c>
      <c r="E22" s="5"/>
      <c r="F22" s="45"/>
      <c r="G22" s="45"/>
    </row>
    <row r="23" spans="2:7" ht="27.75" customHeight="1">
      <c r="B23" s="73" t="s">
        <v>208</v>
      </c>
      <c r="C23" s="20" t="s">
        <v>209</v>
      </c>
      <c r="D23" s="30" t="s">
        <v>77</v>
      </c>
      <c r="E23" s="5"/>
      <c r="F23" s="45"/>
      <c r="G23" s="45"/>
    </row>
    <row r="25" spans="2:7" ht="21.75" customHeight="1">
      <c r="B25" s="106" t="s">
        <v>210</v>
      </c>
      <c r="C25" s="106"/>
      <c r="D25" s="106"/>
      <c r="E25" s="106"/>
      <c r="F25" s="106"/>
      <c r="G25" s="106"/>
    </row>
    <row r="26" spans="2:7" ht="27.75" customHeight="1">
      <c r="B26" s="74" t="s">
        <v>211</v>
      </c>
      <c r="C26" s="16" t="s">
        <v>212</v>
      </c>
      <c r="D26" s="30" t="s">
        <v>74</v>
      </c>
      <c r="E26" s="5"/>
      <c r="F26" s="45"/>
      <c r="G26" s="45"/>
    </row>
    <row r="27" spans="2:7" ht="27.75" customHeight="1">
      <c r="B27" s="73" t="s">
        <v>213</v>
      </c>
      <c r="C27" s="20" t="s">
        <v>214</v>
      </c>
      <c r="D27" s="30" t="s">
        <v>74</v>
      </c>
      <c r="E27" s="5"/>
      <c r="F27" s="45"/>
      <c r="G27" s="45"/>
    </row>
    <row r="28" spans="2:7" ht="27.75" customHeight="1">
      <c r="B28" s="74" t="s">
        <v>215</v>
      </c>
      <c r="C28" s="16" t="s">
        <v>216</v>
      </c>
      <c r="D28" s="30" t="s">
        <v>74</v>
      </c>
      <c r="E28" s="5"/>
      <c r="F28" s="45"/>
      <c r="G28" s="45"/>
    </row>
    <row r="29" spans="2:7" ht="27.75" customHeight="1">
      <c r="B29" s="73" t="s">
        <v>217</v>
      </c>
      <c r="C29" s="20" t="s">
        <v>218</v>
      </c>
      <c r="D29" s="30" t="s">
        <v>77</v>
      </c>
      <c r="E29" s="5"/>
      <c r="F29" s="45"/>
      <c r="G29" s="45"/>
    </row>
    <row r="30" spans="2:7" ht="27.75" customHeight="1">
      <c r="B30" s="74" t="s">
        <v>219</v>
      </c>
      <c r="C30" s="16" t="s">
        <v>220</v>
      </c>
      <c r="D30" s="30" t="s">
        <v>77</v>
      </c>
      <c r="E30" s="5"/>
      <c r="F30" s="45"/>
      <c r="G30" s="45"/>
    </row>
    <row r="31" spans="2:7" ht="27.75" customHeight="1">
      <c r="B31" s="73" t="s">
        <v>221</v>
      </c>
      <c r="C31" s="20" t="s">
        <v>222</v>
      </c>
      <c r="D31" s="30" t="s">
        <v>77</v>
      </c>
      <c r="E31" s="5"/>
      <c r="F31" s="45"/>
      <c r="G31" s="45"/>
    </row>
    <row r="32" spans="2:7" ht="27.75" customHeight="1">
      <c r="B32" s="74" t="s">
        <v>223</v>
      </c>
      <c r="C32" s="16" t="s">
        <v>224</v>
      </c>
      <c r="D32" s="30" t="s">
        <v>74</v>
      </c>
      <c r="E32" s="5"/>
      <c r="F32" s="45"/>
      <c r="G32" s="45"/>
    </row>
    <row r="34" spans="2:7" ht="21.75" customHeight="1">
      <c r="B34" s="106" t="s">
        <v>225</v>
      </c>
      <c r="C34" s="106"/>
      <c r="D34" s="106"/>
      <c r="E34" s="106"/>
      <c r="F34" s="106"/>
      <c r="G34" s="106"/>
    </row>
    <row r="35" spans="2:7" ht="27.75" customHeight="1">
      <c r="B35" s="73" t="s">
        <v>226</v>
      </c>
      <c r="C35" s="20" t="s">
        <v>227</v>
      </c>
      <c r="D35" s="30" t="s">
        <v>74</v>
      </c>
      <c r="E35" s="5"/>
      <c r="F35" s="45"/>
      <c r="G35" s="45"/>
    </row>
    <row r="36" spans="2:7" ht="27.75" customHeight="1">
      <c r="B36" s="74" t="s">
        <v>228</v>
      </c>
      <c r="C36" s="16" t="s">
        <v>229</v>
      </c>
      <c r="D36" s="30" t="s">
        <v>74</v>
      </c>
      <c r="E36" s="5"/>
      <c r="F36" s="45"/>
      <c r="G36" s="45"/>
    </row>
    <row r="37" spans="2:7" ht="27.75" customHeight="1">
      <c r="B37" s="73" t="s">
        <v>230</v>
      </c>
      <c r="C37" s="20" t="s">
        <v>231</v>
      </c>
      <c r="D37" s="30" t="s">
        <v>77</v>
      </c>
      <c r="E37" s="5"/>
      <c r="F37" s="45"/>
      <c r="G37" s="45"/>
    </row>
    <row r="39" spans="2:7" ht="21.75" customHeight="1">
      <c r="B39" s="106" t="s">
        <v>232</v>
      </c>
      <c r="C39" s="106"/>
      <c r="D39" s="106"/>
      <c r="E39" s="106"/>
      <c r="F39" s="106"/>
      <c r="G39" s="106"/>
    </row>
    <row r="40" spans="2:7" ht="27.75" customHeight="1">
      <c r="B40" s="74" t="s">
        <v>233</v>
      </c>
      <c r="C40" s="16" t="s">
        <v>234</v>
      </c>
      <c r="D40" s="30" t="s">
        <v>74</v>
      </c>
      <c r="E40" s="5"/>
      <c r="F40" s="45"/>
      <c r="G40" s="45"/>
    </row>
    <row r="41" spans="2:7" ht="27.75" customHeight="1">
      <c r="B41" s="73" t="s">
        <v>235</v>
      </c>
      <c r="C41" s="20" t="s">
        <v>236</v>
      </c>
      <c r="D41" s="30" t="s">
        <v>77</v>
      </c>
      <c r="E41" s="5"/>
      <c r="F41" s="45"/>
      <c r="G41" s="45"/>
    </row>
    <row r="43" spans="2:7" ht="27.75" customHeight="1">
      <c r="B43" s="103" t="s">
        <v>237</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13.5</v>
      </c>
      <c r="E43" s="76">
        <f>D43/17</f>
        <v>0.79411764705882348</v>
      </c>
    </row>
    <row r="45" spans="2:7" ht="24" customHeight="1">
      <c r="B45" s="170" t="s">
        <v>238</v>
      </c>
      <c r="C45" s="170"/>
      <c r="D45" s="170"/>
      <c r="E45" s="170"/>
      <c r="F45" s="170"/>
      <c r="G45" s="170"/>
    </row>
    <row r="46" spans="2:7" ht="21.75" customHeight="1">
      <c r="B46" s="6" t="s">
        <v>239</v>
      </c>
      <c r="C46" s="6" t="s">
        <v>240</v>
      </c>
      <c r="D46" s="6" t="s">
        <v>241</v>
      </c>
      <c r="E46" s="6" t="s">
        <v>242</v>
      </c>
      <c r="F46" s="6" t="s">
        <v>243</v>
      </c>
      <c r="G46" s="6" t="s">
        <v>244</v>
      </c>
    </row>
    <row r="47" spans="2:7" ht="21.75" customHeight="1">
      <c r="B47" s="77" t="s">
        <v>245</v>
      </c>
      <c r="C47" s="78"/>
      <c r="D47" s="78"/>
      <c r="E47" s="78"/>
      <c r="F47" s="78"/>
      <c r="G47" s="78"/>
    </row>
    <row r="48" spans="2:7" ht="21.75" customHeight="1">
      <c r="B48" s="79" t="s">
        <v>246</v>
      </c>
      <c r="C48" s="80"/>
      <c r="D48" s="80"/>
      <c r="E48" s="80"/>
      <c r="F48" s="80"/>
      <c r="G48" s="80"/>
    </row>
    <row r="49" spans="2:7" ht="21.75" customHeight="1">
      <c r="B49" s="77" t="s">
        <v>247</v>
      </c>
      <c r="C49" s="78"/>
      <c r="D49" s="78"/>
      <c r="E49" s="78"/>
      <c r="F49" s="78"/>
      <c r="G49" s="78"/>
    </row>
    <row r="50" spans="2:7" ht="21.75" customHeight="1">
      <c r="B50" s="79" t="s">
        <v>248</v>
      </c>
      <c r="C50" s="80"/>
      <c r="D50" s="80"/>
      <c r="E50" s="80"/>
      <c r="F50" s="80"/>
      <c r="G50" s="80"/>
    </row>
    <row r="51" spans="2:7" ht="21.75" customHeight="1">
      <c r="B51" s="77" t="s">
        <v>249</v>
      </c>
      <c r="C51" s="81">
        <v>0.82</v>
      </c>
      <c r="D51" s="78"/>
      <c r="E51" s="78"/>
      <c r="F51" s="78"/>
      <c r="G51" s="78"/>
    </row>
    <row r="52" spans="2:7" ht="21.75" customHeight="1">
      <c r="B52" s="79" t="s">
        <v>250</v>
      </c>
      <c r="C52" s="80"/>
      <c r="D52" s="80"/>
      <c r="E52" s="80"/>
      <c r="F52" s="80"/>
      <c r="G52" s="80"/>
    </row>
    <row r="53" spans="2:7" ht="21.75" customHeight="1">
      <c r="B53" s="77" t="s">
        <v>251</v>
      </c>
      <c r="C53" s="81">
        <v>0.96</v>
      </c>
      <c r="D53" s="78"/>
      <c r="E53" s="78"/>
      <c r="F53" s="78"/>
      <c r="G53" s="78"/>
    </row>
    <row r="54" spans="2:7" ht="21.75" customHeight="1">
      <c r="B54" s="79" t="s">
        <v>252</v>
      </c>
      <c r="C54" s="80"/>
      <c r="D54" s="80"/>
      <c r="E54" s="80"/>
      <c r="F54" s="80"/>
      <c r="G54" s="80"/>
    </row>
    <row r="55" spans="2:7" ht="21.75" customHeight="1">
      <c r="B55" s="77" t="s">
        <v>253</v>
      </c>
      <c r="C55" s="78"/>
      <c r="D55" s="78"/>
      <c r="E55" s="78"/>
      <c r="F55" s="78"/>
      <c r="G55" s="78"/>
    </row>
    <row r="56" spans="2:7" ht="21.75" customHeight="1">
      <c r="B56" s="79" t="s">
        <v>254</v>
      </c>
      <c r="C56" s="80"/>
      <c r="D56" s="80"/>
      <c r="E56" s="80"/>
      <c r="F56" s="80"/>
      <c r="G56" s="80"/>
    </row>
    <row r="57" spans="2:7" ht="21.75" customHeight="1">
      <c r="B57" s="77" t="s">
        <v>255</v>
      </c>
      <c r="C57" s="78">
        <v>18</v>
      </c>
      <c r="D57" s="78"/>
      <c r="E57" s="78"/>
      <c r="F57" s="78"/>
      <c r="G57" s="78"/>
    </row>
    <row r="58" spans="2:7" ht="21.75" customHeight="1">
      <c r="B58" s="79" t="s">
        <v>256</v>
      </c>
      <c r="C58" s="80"/>
      <c r="D58" s="80"/>
      <c r="E58" s="80"/>
      <c r="F58" s="80"/>
      <c r="G58" s="80"/>
    </row>
    <row r="60" spans="2:7" ht="24" customHeight="1">
      <c r="B60" s="170" t="s">
        <v>257</v>
      </c>
      <c r="C60" s="170"/>
      <c r="D60" s="170"/>
      <c r="E60" s="170"/>
      <c r="F60" s="170"/>
      <c r="G60" s="170"/>
    </row>
    <row r="61" spans="2:7" ht="21.75" customHeight="1">
      <c r="B61" s="6" t="s">
        <v>258</v>
      </c>
      <c r="C61" s="6" t="s">
        <v>259</v>
      </c>
      <c r="D61" s="6" t="s">
        <v>260</v>
      </c>
      <c r="E61" s="6" t="s">
        <v>261</v>
      </c>
      <c r="F61" s="6" t="s">
        <v>262</v>
      </c>
    </row>
    <row r="62" spans="2:7" ht="19.5" customHeight="1">
      <c r="B62" s="77" t="s">
        <v>263</v>
      </c>
      <c r="C62" s="78"/>
      <c r="D62" s="78"/>
      <c r="E62" s="78"/>
      <c r="F62" s="78"/>
    </row>
    <row r="63" spans="2:7" ht="19.5" customHeight="1">
      <c r="B63" s="79" t="s">
        <v>264</v>
      </c>
      <c r="C63" s="80"/>
      <c r="D63" s="80"/>
      <c r="E63" s="80"/>
      <c r="F63" s="80"/>
    </row>
    <row r="64" spans="2:7" ht="19.5" customHeight="1">
      <c r="B64" s="77" t="s">
        <v>265</v>
      </c>
      <c r="C64" s="78"/>
      <c r="D64" s="78"/>
      <c r="E64" s="78"/>
      <c r="F64" s="78"/>
    </row>
    <row r="65" spans="2:7" ht="19.5" customHeight="1">
      <c r="B65" s="79" t="s">
        <v>266</v>
      </c>
      <c r="C65" s="80"/>
      <c r="D65" s="80"/>
      <c r="E65" s="80"/>
      <c r="F65" s="80"/>
    </row>
    <row r="66" spans="2:7" ht="19.5" customHeight="1">
      <c r="B66" s="77" t="s">
        <v>267</v>
      </c>
      <c r="C66" s="78"/>
      <c r="D66" s="78"/>
      <c r="E66" s="78"/>
      <c r="F66" s="78"/>
    </row>
    <row r="67" spans="2:7" ht="19.5" customHeight="1">
      <c r="B67" s="79" t="s">
        <v>268</v>
      </c>
      <c r="C67" s="80"/>
      <c r="D67" s="80"/>
      <c r="E67" s="80"/>
      <c r="F67" s="80"/>
    </row>
    <row r="68" spans="2:7" ht="19.5" customHeight="1">
      <c r="B68" s="77" t="s">
        <v>269</v>
      </c>
      <c r="C68" s="78"/>
      <c r="D68" s="78"/>
      <c r="E68" s="78"/>
      <c r="F68" s="78"/>
    </row>
    <row r="69" spans="2:7" ht="19.5" customHeight="1">
      <c r="B69" s="79" t="s">
        <v>270</v>
      </c>
      <c r="C69" s="80"/>
      <c r="D69" s="80"/>
      <c r="E69" s="80"/>
      <c r="F69" s="80"/>
    </row>
    <row r="71" spans="2:7" ht="24" customHeight="1">
      <c r="B71" s="170" t="s">
        <v>271</v>
      </c>
      <c r="C71" s="170"/>
      <c r="D71" s="170"/>
      <c r="E71" s="170"/>
      <c r="F71" s="170"/>
      <c r="G71" s="170"/>
    </row>
    <row r="72" spans="2:7" ht="21.75" customHeight="1">
      <c r="B72" s="6" t="s">
        <v>272</v>
      </c>
      <c r="C72" s="6" t="s">
        <v>240</v>
      </c>
      <c r="D72" s="6" t="s">
        <v>273</v>
      </c>
      <c r="E72" s="6" t="s">
        <v>274</v>
      </c>
      <c r="F72" s="6" t="s">
        <v>262</v>
      </c>
    </row>
    <row r="73" spans="2:7" ht="21.75" customHeight="1">
      <c r="B73" s="16" t="s">
        <v>275</v>
      </c>
      <c r="C73" s="78">
        <v>48</v>
      </c>
      <c r="D73" s="78"/>
      <c r="E73" s="78"/>
      <c r="F73" s="78"/>
    </row>
    <row r="74" spans="2:7" ht="21.75" customHeight="1">
      <c r="B74" s="20" t="s">
        <v>276</v>
      </c>
      <c r="C74" s="80"/>
      <c r="D74" s="80"/>
      <c r="E74" s="80"/>
      <c r="F74" s="80"/>
    </row>
    <row r="75" spans="2:7" ht="21.75" customHeight="1">
      <c r="B75" s="16" t="s">
        <v>277</v>
      </c>
      <c r="C75" s="78"/>
      <c r="D75" s="78"/>
      <c r="E75" s="78"/>
      <c r="F75" s="78"/>
    </row>
    <row r="76" spans="2:7" ht="21.75" customHeight="1">
      <c r="B76" s="20" t="s">
        <v>278</v>
      </c>
      <c r="C76" s="80"/>
      <c r="D76" s="80"/>
      <c r="E76" s="80"/>
      <c r="F76" s="80"/>
    </row>
    <row r="77" spans="2:7" ht="21.75" customHeight="1">
      <c r="B77" s="16" t="s">
        <v>279</v>
      </c>
      <c r="C77" s="78"/>
      <c r="D77" s="78"/>
      <c r="E77" s="78"/>
      <c r="F77" s="78"/>
    </row>
    <row r="78" spans="2:7" ht="21.75" customHeight="1">
      <c r="B78" s="20" t="s">
        <v>280</v>
      </c>
      <c r="C78" s="80"/>
      <c r="D78" s="80"/>
      <c r="E78" s="80"/>
      <c r="F78" s="80"/>
    </row>
    <row r="79" spans="2:7" ht="21.75" customHeight="1">
      <c r="B79" s="16" t="s">
        <v>281</v>
      </c>
      <c r="C79" s="78"/>
      <c r="D79" s="78"/>
      <c r="E79" s="78"/>
      <c r="F79" s="78"/>
    </row>
    <row r="81" spans="2:7" ht="24" customHeight="1">
      <c r="B81" s="170" t="s">
        <v>282</v>
      </c>
      <c r="C81" s="170"/>
      <c r="D81" s="170"/>
      <c r="E81" s="170"/>
      <c r="F81" s="170"/>
      <c r="G81" s="170"/>
    </row>
    <row r="82" spans="2:7" ht="27.75" customHeight="1">
      <c r="B82" s="6" t="s">
        <v>153</v>
      </c>
      <c r="C82" s="6" t="s">
        <v>283</v>
      </c>
      <c r="D82" s="6" t="s">
        <v>284</v>
      </c>
      <c r="E82" s="6" t="s">
        <v>285</v>
      </c>
      <c r="F82" s="6" t="s">
        <v>286</v>
      </c>
      <c r="G82" s="6" t="s">
        <v>287</v>
      </c>
    </row>
    <row r="83" spans="2:7" ht="25.5" customHeight="1">
      <c r="B83" s="82" t="s">
        <v>288</v>
      </c>
      <c r="C83" s="30" t="s">
        <v>77</v>
      </c>
      <c r="D83" s="16" t="s">
        <v>289</v>
      </c>
      <c r="E83" s="83"/>
      <c r="F83" s="45"/>
      <c r="G83" s="5"/>
    </row>
    <row r="84" spans="2:7" ht="25.5" customHeight="1">
      <c r="B84" s="84" t="s">
        <v>290</v>
      </c>
      <c r="C84" s="30" t="s">
        <v>81</v>
      </c>
      <c r="D84" s="20" t="s">
        <v>291</v>
      </c>
      <c r="E84" s="83"/>
      <c r="F84" s="45"/>
      <c r="G84" s="5"/>
    </row>
    <row r="85" spans="2:7" ht="25.5" customHeight="1">
      <c r="B85" s="82" t="s">
        <v>292</v>
      </c>
      <c r="C85" s="30" t="s">
        <v>77</v>
      </c>
      <c r="D85" s="16" t="s">
        <v>293</v>
      </c>
      <c r="E85" s="83"/>
      <c r="F85" s="45"/>
      <c r="G85" s="5"/>
    </row>
    <row r="86" spans="2:7" ht="25.5" customHeight="1">
      <c r="B86" s="84" t="s">
        <v>294</v>
      </c>
      <c r="C86" s="30" t="s">
        <v>81</v>
      </c>
      <c r="D86" s="20" t="s">
        <v>295</v>
      </c>
      <c r="E86" s="83"/>
      <c r="F86" s="45"/>
      <c r="G86" s="5"/>
    </row>
    <row r="87" spans="2:7" ht="25.5" customHeight="1">
      <c r="B87" s="82" t="s">
        <v>296</v>
      </c>
      <c r="C87" s="30" t="s">
        <v>81</v>
      </c>
      <c r="D87" s="16" t="s">
        <v>297</v>
      </c>
      <c r="E87" s="83"/>
      <c r="F87" s="45"/>
      <c r="G87" s="5"/>
    </row>
    <row r="88" spans="2:7" ht="25.5" customHeight="1">
      <c r="B88" s="84" t="s">
        <v>298</v>
      </c>
      <c r="C88" s="30" t="s">
        <v>81</v>
      </c>
      <c r="D88" s="20" t="s">
        <v>299</v>
      </c>
      <c r="E88" s="83"/>
      <c r="F88" s="45"/>
      <c r="G88" s="5"/>
    </row>
    <row r="89" spans="2:7" ht="25.5" customHeight="1">
      <c r="B89" s="82" t="s">
        <v>300</v>
      </c>
      <c r="C89" s="30" t="s">
        <v>81</v>
      </c>
      <c r="D89" s="16" t="s">
        <v>301</v>
      </c>
      <c r="E89" s="83"/>
      <c r="F89" s="45"/>
      <c r="G89" s="5"/>
    </row>
    <row r="91" spans="2:7" ht="24" customHeight="1">
      <c r="B91" s="170" t="s">
        <v>302</v>
      </c>
      <c r="C91" s="170"/>
      <c r="D91" s="170"/>
      <c r="E91" s="170"/>
      <c r="F91" s="170"/>
      <c r="G91" s="170"/>
    </row>
    <row r="92" spans="2:7" ht="21.75" customHeight="1">
      <c r="B92" s="6" t="s">
        <v>303</v>
      </c>
      <c r="C92" s="6" t="s">
        <v>304</v>
      </c>
    </row>
    <row r="93" spans="2:7" ht="21.75" customHeight="1">
      <c r="B93" s="14" t="s">
        <v>305</v>
      </c>
      <c r="C93" s="107"/>
      <c r="D93" s="107"/>
      <c r="E93" s="107"/>
      <c r="F93" s="107"/>
      <c r="G93" s="107"/>
    </row>
    <row r="94" spans="2:7" ht="21.75" customHeight="1">
      <c r="B94" s="18" t="s">
        <v>306</v>
      </c>
      <c r="C94" s="107"/>
      <c r="D94" s="107"/>
      <c r="E94" s="107"/>
      <c r="F94" s="107"/>
      <c r="G94" s="107"/>
    </row>
    <row r="95" spans="2:7" ht="21.75" customHeight="1">
      <c r="B95" s="14" t="s">
        <v>307</v>
      </c>
      <c r="C95" s="107"/>
      <c r="D95" s="107"/>
      <c r="E95" s="107"/>
      <c r="F95" s="107"/>
      <c r="G95" s="107"/>
    </row>
    <row r="96" spans="2:7" ht="21.75" customHeight="1">
      <c r="B96" s="18" t="s">
        <v>308</v>
      </c>
      <c r="C96" s="107"/>
      <c r="D96" s="107"/>
      <c r="E96" s="107"/>
      <c r="F96" s="107"/>
      <c r="G96" s="107"/>
    </row>
    <row r="97" spans="2:7" ht="21.75" customHeight="1">
      <c r="B97" s="14" t="s">
        <v>309</v>
      </c>
      <c r="C97" s="107"/>
      <c r="D97" s="107"/>
      <c r="E97" s="107"/>
      <c r="F97" s="107"/>
      <c r="G97" s="107"/>
    </row>
    <row r="98" spans="2:7" ht="21.75" customHeight="1">
      <c r="B98" s="18" t="s">
        <v>310</v>
      </c>
      <c r="C98" s="107"/>
      <c r="D98" s="107"/>
      <c r="E98" s="107"/>
      <c r="F98" s="107"/>
      <c r="G98" s="107"/>
    </row>
    <row r="99" spans="2:7" ht="21.75" customHeight="1">
      <c r="B99" s="14" t="s">
        <v>311</v>
      </c>
      <c r="C99" s="107"/>
      <c r="D99" s="107"/>
      <c r="E99" s="107"/>
      <c r="F99" s="107"/>
      <c r="G99" s="107"/>
    </row>
    <row r="101" spans="2:7" ht="24" customHeight="1">
      <c r="B101" s="170" t="s">
        <v>312</v>
      </c>
      <c r="C101" s="170"/>
      <c r="D101" s="170"/>
      <c r="E101" s="170"/>
      <c r="F101" s="170"/>
      <c r="G101" s="170"/>
    </row>
    <row r="102" spans="2:7" ht="21.75" customHeight="1">
      <c r="B102" s="6" t="s">
        <v>313</v>
      </c>
      <c r="C102" s="6" t="s">
        <v>314</v>
      </c>
      <c r="D102" s="6" t="s">
        <v>315</v>
      </c>
      <c r="E102" s="6" t="s">
        <v>316</v>
      </c>
      <c r="F102" s="6" t="s">
        <v>317</v>
      </c>
    </row>
    <row r="103" spans="2:7" ht="21.75" customHeight="1">
      <c r="B103" s="77" t="s">
        <v>318</v>
      </c>
      <c r="C103" s="78"/>
      <c r="D103" s="78"/>
      <c r="E103" s="16"/>
      <c r="F103" s="78"/>
    </row>
    <row r="104" spans="2:7" ht="21.75" customHeight="1">
      <c r="B104" s="79" t="s">
        <v>319</v>
      </c>
      <c r="C104" s="80"/>
      <c r="D104" s="80"/>
      <c r="E104" s="20"/>
      <c r="F104" s="80"/>
    </row>
    <row r="105" spans="2:7" ht="21.75" customHeight="1">
      <c r="B105" s="77" t="s">
        <v>320</v>
      </c>
      <c r="C105" s="78"/>
      <c r="D105" s="78"/>
      <c r="E105" s="16"/>
      <c r="F105" s="78"/>
    </row>
    <row r="106" spans="2:7" ht="21.75" customHeight="1">
      <c r="B106" s="79" t="s">
        <v>321</v>
      </c>
      <c r="C106" s="80"/>
      <c r="D106" s="80"/>
      <c r="E106" s="20"/>
      <c r="F106" s="80"/>
    </row>
    <row r="107" spans="2:7" ht="21.75" customHeight="1">
      <c r="B107" s="77" t="s">
        <v>322</v>
      </c>
      <c r="C107" s="78"/>
      <c r="D107" s="78"/>
      <c r="E107" s="16"/>
      <c r="F107" s="78"/>
    </row>
    <row r="108" spans="2:7" ht="21.75" customHeight="1">
      <c r="B108" s="79" t="s">
        <v>323</v>
      </c>
      <c r="C108" s="80"/>
      <c r="D108" s="80"/>
      <c r="E108" s="20"/>
      <c r="F108" s="80"/>
    </row>
    <row r="109" spans="2:7" ht="21.75" customHeight="1">
      <c r="B109" s="77" t="s">
        <v>324</v>
      </c>
      <c r="C109" s="78"/>
      <c r="D109" s="78"/>
      <c r="E109" s="16"/>
      <c r="F109" s="78"/>
    </row>
    <row r="110" spans="2:7" ht="21.75" customHeight="1">
      <c r="B110" s="79" t="s">
        <v>325</v>
      </c>
      <c r="C110" s="80"/>
      <c r="D110" s="80"/>
      <c r="E110" s="20"/>
      <c r="F110" s="80"/>
    </row>
    <row r="111" spans="2:7" ht="21.75" customHeight="1">
      <c r="B111" s="77" t="s">
        <v>326</v>
      </c>
      <c r="C111" s="78"/>
      <c r="D111" s="78"/>
      <c r="E111" s="16"/>
      <c r="F111" s="78"/>
    </row>
    <row r="112" spans="2:7" ht="21.75" customHeight="1">
      <c r="B112" s="79" t="s">
        <v>327</v>
      </c>
      <c r="C112" s="80"/>
      <c r="D112" s="80"/>
      <c r="E112" s="20"/>
      <c r="F112" s="80"/>
    </row>
    <row r="114" spans="2:7" ht="24" customHeight="1">
      <c r="B114" s="170" t="s">
        <v>328</v>
      </c>
      <c r="C114" s="170"/>
      <c r="D114" s="170"/>
      <c r="E114" s="170"/>
      <c r="F114" s="170"/>
      <c r="G114" s="170"/>
    </row>
    <row r="115" spans="2:7" ht="21.75" customHeight="1">
      <c r="B115" s="6" t="s">
        <v>329</v>
      </c>
      <c r="C115" s="6" t="s">
        <v>330</v>
      </c>
    </row>
    <row r="116" spans="2:7" ht="21.75" customHeight="1">
      <c r="B116" s="14" t="s">
        <v>331</v>
      </c>
      <c r="C116" s="107"/>
      <c r="D116" s="107"/>
      <c r="E116" s="107"/>
      <c r="F116" s="107"/>
      <c r="G116" s="107"/>
    </row>
    <row r="117" spans="2:7" ht="21.75" customHeight="1">
      <c r="B117" s="18" t="s">
        <v>332</v>
      </c>
      <c r="C117" s="107"/>
      <c r="D117" s="107"/>
      <c r="E117" s="107"/>
      <c r="F117" s="107"/>
      <c r="G117" s="107"/>
    </row>
    <row r="118" spans="2:7" ht="21.75" customHeight="1">
      <c r="B118" s="14" t="s">
        <v>333</v>
      </c>
      <c r="C118" s="107"/>
      <c r="D118" s="107"/>
      <c r="E118" s="107"/>
      <c r="F118" s="107"/>
      <c r="G118" s="107"/>
    </row>
    <row r="119" spans="2:7" ht="21.75" customHeight="1">
      <c r="B119" s="18" t="s">
        <v>334</v>
      </c>
      <c r="C119" s="107"/>
      <c r="D119" s="107"/>
      <c r="E119" s="107"/>
      <c r="F119" s="107"/>
      <c r="G119" s="107"/>
    </row>
    <row r="120" spans="2:7" ht="21.75" customHeight="1">
      <c r="B120" s="14" t="s">
        <v>335</v>
      </c>
      <c r="C120" s="107"/>
      <c r="D120" s="107"/>
      <c r="E120" s="107"/>
      <c r="F120" s="107"/>
      <c r="G120" s="107"/>
    </row>
    <row r="121" spans="2:7" ht="21.75" customHeight="1">
      <c r="B121" s="18" t="s">
        <v>336</v>
      </c>
      <c r="C121" s="107"/>
      <c r="D121" s="107"/>
      <c r="E121" s="107"/>
      <c r="F121" s="107"/>
      <c r="G121" s="107"/>
    </row>
    <row r="122" spans="2:7" ht="21.75" customHeight="1">
      <c r="B122" s="14" t="s">
        <v>337</v>
      </c>
      <c r="C122" s="107"/>
      <c r="D122" s="107"/>
      <c r="E122" s="107"/>
      <c r="F122" s="107"/>
      <c r="G122" s="107"/>
    </row>
    <row r="124" spans="2:7" ht="24" customHeight="1">
      <c r="B124" s="170" t="s">
        <v>338</v>
      </c>
      <c r="C124" s="170"/>
      <c r="D124" s="170"/>
      <c r="E124" s="170"/>
      <c r="F124" s="170"/>
      <c r="G124" s="170"/>
    </row>
    <row r="125" spans="2:7" ht="21.75" customHeight="1">
      <c r="B125" s="6" t="s">
        <v>339</v>
      </c>
      <c r="C125" s="6" t="s">
        <v>340</v>
      </c>
    </row>
    <row r="126" spans="2:7" ht="30" customHeight="1">
      <c r="B126" s="85" t="s">
        <v>341</v>
      </c>
      <c r="C126" s="107"/>
      <c r="D126" s="107"/>
      <c r="E126" s="107"/>
      <c r="F126" s="107"/>
      <c r="G126" s="107"/>
    </row>
    <row r="127" spans="2:7" ht="30" customHeight="1">
      <c r="B127" s="86" t="s">
        <v>342</v>
      </c>
      <c r="C127" s="107"/>
      <c r="D127" s="107"/>
      <c r="E127" s="107"/>
      <c r="F127" s="107"/>
      <c r="G127" s="107"/>
    </row>
    <row r="128" spans="2:7" ht="30" customHeight="1">
      <c r="B128" s="85" t="s">
        <v>343</v>
      </c>
      <c r="C128" s="107"/>
      <c r="D128" s="107"/>
      <c r="E128" s="107"/>
      <c r="F128" s="107"/>
      <c r="G128" s="107"/>
    </row>
    <row r="129" spans="2:7" ht="30" customHeight="1">
      <c r="B129" s="86" t="s">
        <v>344</v>
      </c>
      <c r="C129" s="107"/>
      <c r="D129" s="107"/>
      <c r="E129" s="107"/>
      <c r="F129" s="107"/>
      <c r="G129" s="107"/>
    </row>
    <row r="130" spans="2:7" ht="30" customHeight="1">
      <c r="B130" s="85" t="s">
        <v>345</v>
      </c>
      <c r="C130" s="107"/>
      <c r="D130" s="107"/>
      <c r="E130" s="107"/>
      <c r="F130" s="107"/>
      <c r="G130" s="107"/>
    </row>
    <row r="131" spans="2:7" ht="30" customHeight="1">
      <c r="B131" s="86" t="s">
        <v>346</v>
      </c>
      <c r="C131" s="107"/>
      <c r="D131" s="107"/>
      <c r="E131" s="107"/>
      <c r="F131" s="107"/>
      <c r="G131" s="107"/>
    </row>
    <row r="132" spans="2:7" ht="30" customHeight="1">
      <c r="B132" s="85" t="s">
        <v>347</v>
      </c>
      <c r="C132" s="107"/>
      <c r="D132" s="107"/>
      <c r="E132" s="107"/>
      <c r="F132" s="107"/>
      <c r="G132" s="107"/>
    </row>
  </sheetData>
  <mergeCells count="47">
    <mergeCell ref="C131:G131"/>
    <mergeCell ref="C132:G132"/>
    <mergeCell ref="C126:G126"/>
    <mergeCell ref="C127:G127"/>
    <mergeCell ref="C128:G128"/>
    <mergeCell ref="C129:G129"/>
    <mergeCell ref="C130:G130"/>
    <mergeCell ref="C119:G119"/>
    <mergeCell ref="C120:G120"/>
    <mergeCell ref="C121:G121"/>
    <mergeCell ref="C122:G122"/>
    <mergeCell ref="B124:G124"/>
    <mergeCell ref="B101:G101"/>
    <mergeCell ref="B114:G114"/>
    <mergeCell ref="C116:G116"/>
    <mergeCell ref="C117:G117"/>
    <mergeCell ref="C118:G118"/>
    <mergeCell ref="C95:G95"/>
    <mergeCell ref="C96:G96"/>
    <mergeCell ref="C97:G97"/>
    <mergeCell ref="C98:G98"/>
    <mergeCell ref="C99:G99"/>
    <mergeCell ref="B71:G71"/>
    <mergeCell ref="B81:G81"/>
    <mergeCell ref="B91:G91"/>
    <mergeCell ref="C93:G93"/>
    <mergeCell ref="C94:G94"/>
    <mergeCell ref="B34:G34"/>
    <mergeCell ref="B39:G39"/>
    <mergeCell ref="B43:C43"/>
    <mergeCell ref="B45:G45"/>
    <mergeCell ref="B60:G60"/>
    <mergeCell ref="C12:E12"/>
    <mergeCell ref="C13:E13"/>
    <mergeCell ref="B16:G16"/>
    <mergeCell ref="B18:G18"/>
    <mergeCell ref="B25:G25"/>
    <mergeCell ref="C7:E7"/>
    <mergeCell ref="C8:E8"/>
    <mergeCell ref="C9:E9"/>
    <mergeCell ref="C10:E10"/>
    <mergeCell ref="C11:E11"/>
    <mergeCell ref="B2:G2"/>
    <mergeCell ref="B3:G3"/>
    <mergeCell ref="B4:G4"/>
    <mergeCell ref="C5:E5"/>
    <mergeCell ref="C6:E6"/>
  </mergeCells>
  <dataValidations count="3">
    <dataValidation type="list" allowBlank="1" sqref="G19:G23 G26:G32 G35:G37 G40:G41" xr:uid="{00000000-0002-0000-0900-000003000000}">
      <formula1>"Alta,Media,Baja,Sin mejora"</formula1>
      <formula2>0</formula2>
    </dataValidation>
    <dataValidation type="list" allowBlank="1" sqref="C83:C89" xr:uid="{00000000-0002-0000-0900-000004000000}">
      <formula1>"Sí,No,Parcial"</formula1>
      <formula2>0</formula2>
    </dataValidation>
    <dataValidation type="date" allowBlank="1" showInputMessage="1" showErrorMessage="1" sqref="C10:E10" xr:uid="{6ED69C42-86FF-4FB8-8485-FF03D6DFE064}">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xr:uid="{00000000-0002-0000-0900-000000000000}">
          <x14:formula1>
            <xm:f>Listas!$H$5:$H$9</xm:f>
          </x14:formula1>
          <x14:formula2>
            <xm:f>0</xm:f>
          </x14:formula2>
          <xm:sqref>C12</xm:sqref>
        </x14:dataValidation>
        <x14:dataValidation type="list" allowBlank="1" xr:uid="{00000000-0002-0000-0900-000001000000}">
          <x14:formula1>
            <xm:f>Listas!$D$5:$D$10</xm:f>
          </x14:formula1>
          <x14:formula2>
            <xm:f>0</xm:f>
          </x14:formula2>
          <xm:sqref>C14</xm:sqref>
        </x14:dataValidation>
        <x14:dataValidation type="list" allowBlank="1" xr:uid="{00000000-0002-0000-0900-000002000000}">
          <x14:formula1>
            <xm:f>Listas!$B$5:$B$8</xm:f>
          </x14:formula1>
          <x14:formula2>
            <xm:f>0</xm:f>
          </x14:formula2>
          <xm:sqref>D19:D23 D26:D32 D35:D37 D40:D41</xm:sqref>
        </x14:dataValidation>
        <x14:dataValidation type="list" allowBlank="1" xr:uid="{00000000-0002-0000-0900-000005000000}">
          <x14:formula1>
            <xm:f>Listas!$F$5:$F$7</xm:f>
          </x14:formula1>
          <x14:formula2>
            <xm:f>0</xm:f>
          </x14:formula2>
          <xm:sqref>F83:F89</xm:sqref>
        </x14:dataValidation>
        <x14:dataValidation type="list" allowBlank="1" xr:uid="{00000000-0002-0000-0900-000006000000}">
          <x14:formula1>
            <xm:f>Listas!$L$5:$L$7</xm:f>
          </x14:formula1>
          <x14:formula2>
            <xm:f>0</xm:f>
          </x14:formula2>
          <xm:sqref>C130</xm:sqref>
        </x14:dataValidation>
        <x14:dataValidation type="list" allowBlank="1" showInputMessage="1" showErrorMessage="1" xr:uid="{0083D093-8E5D-4EE8-BB18-F35C4AED2278}">
          <x14:formula1>
            <xm:f>Listas!$N$5:$N$10</xm:f>
          </x14:formula1>
          <xm:sqref>C5:E5</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32"/>
  <sheetViews>
    <sheetView showGridLines="0" zoomScaleNormal="100" workbookViewId="0">
      <pane xSplit="2" ySplit="2" topLeftCell="D3" activePane="bottomRight" state="frozen"/>
      <selection pane="bottomRight" activeCell="K26" sqref="K26"/>
      <selection pane="bottomLeft" activeCell="A3" sqref="A3"/>
      <selection pane="topRight" activeCell="C1" sqref="C1"/>
    </sheetView>
  </sheetViews>
  <sheetFormatPr defaultColWidth="8.5703125" defaultRowHeight="14.45"/>
  <cols>
    <col min="1" max="1" width="3" style="1" customWidth="1"/>
    <col min="2" max="2" width="29.85546875" style="1" customWidth="1"/>
    <col min="3" max="3" width="36" style="1" customWidth="1"/>
    <col min="4" max="4" width="26" style="1" customWidth="1"/>
    <col min="5" max="5" width="40" style="1" customWidth="1"/>
    <col min="6" max="6" width="14" style="1" customWidth="1"/>
    <col min="7" max="7" width="20" style="1" customWidth="1"/>
    <col min="8" max="9" width="8.5703125" style="1"/>
    <col min="10" max="10" width="28.140625" style="1" customWidth="1"/>
    <col min="11" max="11" width="43.5703125" style="1" customWidth="1"/>
    <col min="12" max="16384" width="8.5703125" style="1"/>
  </cols>
  <sheetData>
    <row r="1" spans="2:11" ht="7.5" customHeight="1"/>
    <row r="2" spans="2:11" ht="30" customHeight="1">
      <c r="B2" s="173" t="s">
        <v>378</v>
      </c>
      <c r="C2" s="173"/>
      <c r="D2" s="173"/>
      <c r="E2" s="173"/>
      <c r="F2" s="173"/>
      <c r="G2" s="173"/>
    </row>
    <row r="3" spans="2:11" ht="15.75">
      <c r="I3" s="100" t="s">
        <v>48</v>
      </c>
      <c r="J3" s="100"/>
      <c r="K3" s="100"/>
    </row>
    <row r="4" spans="2:11" ht="24" customHeight="1">
      <c r="B4" s="170" t="s">
        <v>180</v>
      </c>
      <c r="C4" s="170"/>
      <c r="D4" s="170"/>
      <c r="E4" s="170"/>
      <c r="F4" s="170"/>
      <c r="G4" s="170"/>
      <c r="I4" s="6" t="s">
        <v>49</v>
      </c>
      <c r="J4" s="6" t="s">
        <v>50</v>
      </c>
      <c r="K4" s="6" t="s">
        <v>22</v>
      </c>
    </row>
    <row r="5" spans="2:11" ht="19.5" customHeight="1">
      <c r="B5" s="70" t="s">
        <v>181</v>
      </c>
      <c r="C5" s="171" t="s">
        <v>106</v>
      </c>
      <c r="D5" s="172"/>
      <c r="E5" s="172"/>
      <c r="I5" s="21" t="s">
        <v>51</v>
      </c>
      <c r="J5" s="22" t="s">
        <v>52</v>
      </c>
      <c r="K5" s="101" t="s">
        <v>53</v>
      </c>
    </row>
    <row r="6" spans="2:11" ht="19.5" customHeight="1">
      <c r="B6" s="70" t="s">
        <v>182</v>
      </c>
      <c r="C6" s="104" t="s">
        <v>379</v>
      </c>
      <c r="D6" s="104"/>
      <c r="E6" s="104"/>
      <c r="I6" s="23" t="s">
        <v>54</v>
      </c>
      <c r="J6" s="22" t="s">
        <v>55</v>
      </c>
      <c r="K6" s="101" t="s">
        <v>56</v>
      </c>
    </row>
    <row r="7" spans="2:11" ht="19.5" customHeight="1">
      <c r="B7" s="70" t="s">
        <v>184</v>
      </c>
      <c r="C7" s="104"/>
      <c r="D7" s="104"/>
      <c r="E7" s="104"/>
      <c r="I7" s="24" t="s">
        <v>57</v>
      </c>
      <c r="J7" s="22" t="s">
        <v>58</v>
      </c>
      <c r="K7" s="101" t="s">
        <v>59</v>
      </c>
    </row>
    <row r="8" spans="2:11" ht="19.5" customHeight="1">
      <c r="B8" s="70" t="s">
        <v>185</v>
      </c>
      <c r="C8" s="104"/>
      <c r="D8" s="104"/>
      <c r="E8" s="104"/>
      <c r="I8" s="25" t="s">
        <v>60</v>
      </c>
      <c r="J8" s="22" t="s">
        <v>61</v>
      </c>
      <c r="K8" s="101" t="s">
        <v>62</v>
      </c>
    </row>
    <row r="9" spans="2:11" ht="19.5" customHeight="1">
      <c r="B9" s="70" t="s">
        <v>186</v>
      </c>
      <c r="C9" s="104"/>
      <c r="D9" s="104"/>
      <c r="E9" s="104"/>
      <c r="I9" s="26" t="s">
        <v>63</v>
      </c>
      <c r="J9" s="22" t="s">
        <v>64</v>
      </c>
      <c r="K9" s="101" t="s">
        <v>65</v>
      </c>
    </row>
    <row r="10" spans="2:11" ht="19.5" customHeight="1">
      <c r="B10" s="70" t="s">
        <v>187</v>
      </c>
      <c r="C10" s="174"/>
      <c r="D10" s="174"/>
      <c r="E10" s="174"/>
      <c r="I10" s="27" t="s">
        <v>66</v>
      </c>
      <c r="J10" s="22" t="s">
        <v>67</v>
      </c>
      <c r="K10" s="101" t="s">
        <v>68</v>
      </c>
    </row>
    <row r="11" spans="2:11" ht="19.5" customHeight="1">
      <c r="B11" s="70" t="s">
        <v>188</v>
      </c>
      <c r="C11" s="104"/>
      <c r="D11" s="104"/>
      <c r="E11" s="104"/>
    </row>
    <row r="12" spans="2:11" ht="19.5" customHeight="1">
      <c r="B12" s="70" t="s">
        <v>189</v>
      </c>
      <c r="C12" s="104"/>
      <c r="D12" s="104"/>
      <c r="E12" s="104"/>
    </row>
    <row r="13" spans="2:11" ht="19.5" customHeight="1">
      <c r="B13" s="70" t="s">
        <v>190</v>
      </c>
      <c r="C13" s="104"/>
      <c r="D13" s="104"/>
      <c r="E13" s="104"/>
    </row>
    <row r="14" spans="2:11" ht="19.5" customHeight="1">
      <c r="B14" s="70" t="s">
        <v>191</v>
      </c>
      <c r="C14" s="71"/>
      <c r="D14" s="72" t="s">
        <v>192</v>
      </c>
    </row>
    <row r="16" spans="2:11" ht="24" customHeight="1">
      <c r="B16" s="170" t="s">
        <v>193</v>
      </c>
      <c r="C16" s="170"/>
      <c r="D16" s="170"/>
      <c r="E16" s="170"/>
      <c r="F16" s="170"/>
      <c r="G16" s="170"/>
    </row>
    <row r="17" spans="2:7" ht="27.75" customHeight="1">
      <c r="B17" s="6" t="s">
        <v>19</v>
      </c>
      <c r="C17" s="6" t="s">
        <v>194</v>
      </c>
      <c r="D17" s="6" t="s">
        <v>195</v>
      </c>
      <c r="E17" s="6" t="s">
        <v>196</v>
      </c>
      <c r="F17" s="6" t="s">
        <v>197</v>
      </c>
      <c r="G17" s="6" t="s">
        <v>198</v>
      </c>
    </row>
    <row r="18" spans="2:7" ht="21.75" customHeight="1">
      <c r="B18" s="106" t="s">
        <v>199</v>
      </c>
      <c r="C18" s="106"/>
      <c r="D18" s="106"/>
      <c r="E18" s="106"/>
      <c r="F18" s="106"/>
      <c r="G18" s="106"/>
    </row>
    <row r="19" spans="2:7" ht="27.75" customHeight="1">
      <c r="B19" s="73" t="s">
        <v>200</v>
      </c>
      <c r="C19" s="20" t="s">
        <v>201</v>
      </c>
      <c r="D19" s="30"/>
      <c r="E19" s="5"/>
      <c r="F19" s="45"/>
      <c r="G19" s="45"/>
    </row>
    <row r="20" spans="2:7" ht="27.75" customHeight="1">
      <c r="B20" s="74" t="s">
        <v>202</v>
      </c>
      <c r="C20" s="16" t="s">
        <v>203</v>
      </c>
      <c r="D20" s="30"/>
      <c r="E20" s="5"/>
      <c r="F20" s="45"/>
      <c r="G20" s="45"/>
    </row>
    <row r="21" spans="2:7" ht="27.75" customHeight="1">
      <c r="B21" s="73" t="s">
        <v>204</v>
      </c>
      <c r="C21" s="20" t="s">
        <v>205</v>
      </c>
      <c r="D21" s="30"/>
      <c r="E21" s="5"/>
      <c r="F21" s="45"/>
      <c r="G21" s="45"/>
    </row>
    <row r="22" spans="2:7" ht="27.75" customHeight="1">
      <c r="B22" s="74" t="s">
        <v>206</v>
      </c>
      <c r="C22" s="16" t="s">
        <v>207</v>
      </c>
      <c r="D22" s="30"/>
      <c r="E22" s="5"/>
      <c r="F22" s="45"/>
      <c r="G22" s="45"/>
    </row>
    <row r="23" spans="2:7" ht="27.75" customHeight="1">
      <c r="B23" s="73" t="s">
        <v>208</v>
      </c>
      <c r="C23" s="20" t="s">
        <v>209</v>
      </c>
      <c r="D23" s="30"/>
      <c r="E23" s="5"/>
      <c r="F23" s="45"/>
      <c r="G23" s="45"/>
    </row>
    <row r="25" spans="2:7" ht="21.75" customHeight="1">
      <c r="B25" s="106" t="s">
        <v>210</v>
      </c>
      <c r="C25" s="106"/>
      <c r="D25" s="106"/>
      <c r="E25" s="106"/>
      <c r="F25" s="106"/>
      <c r="G25" s="106"/>
    </row>
    <row r="26" spans="2:7" ht="27.75" customHeight="1">
      <c r="B26" s="74" t="s">
        <v>211</v>
      </c>
      <c r="C26" s="16" t="s">
        <v>212</v>
      </c>
      <c r="D26" s="30"/>
      <c r="E26" s="5"/>
      <c r="F26" s="45"/>
      <c r="G26" s="45"/>
    </row>
    <row r="27" spans="2:7" ht="27.75" customHeight="1">
      <c r="B27" s="73" t="s">
        <v>213</v>
      </c>
      <c r="C27" s="20" t="s">
        <v>214</v>
      </c>
      <c r="D27" s="30"/>
      <c r="E27" s="5"/>
      <c r="F27" s="45"/>
      <c r="G27" s="45"/>
    </row>
    <row r="28" spans="2:7" ht="27.75" customHeight="1">
      <c r="B28" s="74" t="s">
        <v>215</v>
      </c>
      <c r="C28" s="16" t="s">
        <v>216</v>
      </c>
      <c r="D28" s="30"/>
      <c r="E28" s="5"/>
      <c r="F28" s="45"/>
      <c r="G28" s="45"/>
    </row>
    <row r="29" spans="2:7" ht="27.75" customHeight="1">
      <c r="B29" s="73" t="s">
        <v>217</v>
      </c>
      <c r="C29" s="20" t="s">
        <v>218</v>
      </c>
      <c r="D29" s="30"/>
      <c r="E29" s="5"/>
      <c r="F29" s="45"/>
      <c r="G29" s="45"/>
    </row>
    <row r="30" spans="2:7" ht="27.75" customHeight="1">
      <c r="B30" s="74" t="s">
        <v>219</v>
      </c>
      <c r="C30" s="16" t="s">
        <v>220</v>
      </c>
      <c r="D30" s="30"/>
      <c r="E30" s="5"/>
      <c r="F30" s="45"/>
      <c r="G30" s="45"/>
    </row>
    <row r="31" spans="2:7" ht="27.75" customHeight="1">
      <c r="B31" s="73" t="s">
        <v>221</v>
      </c>
      <c r="C31" s="20" t="s">
        <v>222</v>
      </c>
      <c r="D31" s="30"/>
      <c r="E31" s="5"/>
      <c r="F31" s="45"/>
      <c r="G31" s="45"/>
    </row>
    <row r="32" spans="2:7" ht="27.75" customHeight="1">
      <c r="B32" s="74" t="s">
        <v>223</v>
      </c>
      <c r="C32" s="16" t="s">
        <v>224</v>
      </c>
      <c r="D32" s="30"/>
      <c r="E32" s="5"/>
      <c r="F32" s="45"/>
      <c r="G32" s="45"/>
    </row>
    <row r="34" spans="2:7" ht="21.75" customHeight="1">
      <c r="B34" s="106" t="s">
        <v>225</v>
      </c>
      <c r="C34" s="106"/>
      <c r="D34" s="106"/>
      <c r="E34" s="106"/>
      <c r="F34" s="106"/>
      <c r="G34" s="106"/>
    </row>
    <row r="35" spans="2:7" ht="27.75" customHeight="1">
      <c r="B35" s="73" t="s">
        <v>226</v>
      </c>
      <c r="C35" s="20" t="s">
        <v>227</v>
      </c>
      <c r="D35" s="30"/>
      <c r="E35" s="5"/>
      <c r="F35" s="45"/>
      <c r="G35" s="45"/>
    </row>
    <row r="36" spans="2:7" ht="27.75" customHeight="1">
      <c r="B36" s="74" t="s">
        <v>228</v>
      </c>
      <c r="C36" s="16" t="s">
        <v>229</v>
      </c>
      <c r="D36" s="30"/>
      <c r="E36" s="5"/>
      <c r="F36" s="45"/>
      <c r="G36" s="45"/>
    </row>
    <row r="37" spans="2:7" ht="27.75" customHeight="1">
      <c r="B37" s="73" t="s">
        <v>230</v>
      </c>
      <c r="C37" s="20" t="s">
        <v>231</v>
      </c>
      <c r="D37" s="30"/>
      <c r="E37" s="5"/>
      <c r="F37" s="45"/>
      <c r="G37" s="45"/>
    </row>
    <row r="39" spans="2:7" ht="21.75" customHeight="1">
      <c r="B39" s="106" t="s">
        <v>232</v>
      </c>
      <c r="C39" s="106"/>
      <c r="D39" s="106"/>
      <c r="E39" s="106"/>
      <c r="F39" s="106"/>
      <c r="G39" s="106"/>
    </row>
    <row r="40" spans="2:7" ht="27.75" customHeight="1">
      <c r="B40" s="74" t="s">
        <v>233</v>
      </c>
      <c r="C40" s="16" t="s">
        <v>234</v>
      </c>
      <c r="D40" s="30"/>
      <c r="E40" s="5"/>
      <c r="F40" s="45"/>
      <c r="G40" s="45"/>
    </row>
    <row r="41" spans="2:7" ht="27.75" customHeight="1">
      <c r="B41" s="73" t="s">
        <v>235</v>
      </c>
      <c r="C41" s="20" t="s">
        <v>236</v>
      </c>
      <c r="D41" s="30"/>
      <c r="E41" s="5"/>
      <c r="F41" s="45"/>
      <c r="G41" s="45"/>
    </row>
    <row r="43" spans="2:7" ht="27.75" customHeight="1">
      <c r="B43" s="103" t="s">
        <v>237</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238</v>
      </c>
      <c r="C45" s="170"/>
      <c r="D45" s="170"/>
      <c r="E45" s="170"/>
      <c r="F45" s="170"/>
      <c r="G45" s="170"/>
    </row>
    <row r="46" spans="2:7" ht="21.75" customHeight="1">
      <c r="B46" s="6" t="s">
        <v>239</v>
      </c>
      <c r="C46" s="6" t="s">
        <v>240</v>
      </c>
      <c r="D46" s="6" t="s">
        <v>241</v>
      </c>
      <c r="E46" s="6" t="s">
        <v>242</v>
      </c>
      <c r="F46" s="6" t="s">
        <v>243</v>
      </c>
      <c r="G46" s="6" t="s">
        <v>244</v>
      </c>
    </row>
    <row r="47" spans="2:7" ht="21.75" customHeight="1">
      <c r="B47" s="77" t="s">
        <v>245</v>
      </c>
      <c r="C47" s="78"/>
      <c r="D47" s="78"/>
      <c r="E47" s="78"/>
      <c r="F47" s="78"/>
      <c r="G47" s="78"/>
    </row>
    <row r="48" spans="2:7" ht="21.75" customHeight="1">
      <c r="B48" s="79" t="s">
        <v>246</v>
      </c>
      <c r="C48" s="80"/>
      <c r="D48" s="80"/>
      <c r="E48" s="80"/>
      <c r="F48" s="80"/>
      <c r="G48" s="80"/>
    </row>
    <row r="49" spans="2:7" ht="21.75" customHeight="1">
      <c r="B49" s="77" t="s">
        <v>247</v>
      </c>
      <c r="C49" s="78"/>
      <c r="D49" s="78"/>
      <c r="E49" s="78"/>
      <c r="F49" s="78"/>
      <c r="G49" s="78"/>
    </row>
    <row r="50" spans="2:7" ht="21.75" customHeight="1">
      <c r="B50" s="79" t="s">
        <v>248</v>
      </c>
      <c r="C50" s="80"/>
      <c r="D50" s="80"/>
      <c r="E50" s="80"/>
      <c r="F50" s="80"/>
      <c r="G50" s="80"/>
    </row>
    <row r="51" spans="2:7" ht="21.75" customHeight="1">
      <c r="B51" s="77" t="s">
        <v>249</v>
      </c>
      <c r="C51" s="78"/>
      <c r="D51" s="78"/>
      <c r="E51" s="78"/>
      <c r="F51" s="78"/>
      <c r="G51" s="78"/>
    </row>
    <row r="52" spans="2:7" ht="21.75" customHeight="1">
      <c r="B52" s="79" t="s">
        <v>250</v>
      </c>
      <c r="C52" s="80"/>
      <c r="D52" s="80"/>
      <c r="E52" s="80"/>
      <c r="F52" s="80"/>
      <c r="G52" s="80"/>
    </row>
    <row r="53" spans="2:7" ht="21.75" customHeight="1">
      <c r="B53" s="77" t="s">
        <v>251</v>
      </c>
      <c r="C53" s="78"/>
      <c r="D53" s="78"/>
      <c r="E53" s="78"/>
      <c r="F53" s="78"/>
      <c r="G53" s="78"/>
    </row>
    <row r="54" spans="2:7" ht="21.75" customHeight="1">
      <c r="B54" s="79" t="s">
        <v>252</v>
      </c>
      <c r="C54" s="80"/>
      <c r="D54" s="80"/>
      <c r="E54" s="80"/>
      <c r="F54" s="80"/>
      <c r="G54" s="80"/>
    </row>
    <row r="55" spans="2:7" ht="21.75" customHeight="1">
      <c r="B55" s="77" t="s">
        <v>253</v>
      </c>
      <c r="C55" s="78"/>
      <c r="D55" s="78"/>
      <c r="E55" s="78"/>
      <c r="F55" s="78"/>
      <c r="G55" s="78"/>
    </row>
    <row r="56" spans="2:7" ht="21.75" customHeight="1">
      <c r="B56" s="79" t="s">
        <v>254</v>
      </c>
      <c r="C56" s="80"/>
      <c r="D56" s="80"/>
      <c r="E56" s="80"/>
      <c r="F56" s="80"/>
      <c r="G56" s="80"/>
    </row>
    <row r="57" spans="2:7" ht="21.75" customHeight="1">
      <c r="B57" s="77" t="s">
        <v>255</v>
      </c>
      <c r="C57" s="78"/>
      <c r="D57" s="78"/>
      <c r="E57" s="78"/>
      <c r="F57" s="78"/>
      <c r="G57" s="78"/>
    </row>
    <row r="58" spans="2:7" ht="21.75" customHeight="1">
      <c r="B58" s="79" t="s">
        <v>256</v>
      </c>
      <c r="C58" s="80"/>
      <c r="D58" s="80"/>
      <c r="E58" s="80"/>
      <c r="F58" s="80"/>
      <c r="G58" s="80"/>
    </row>
    <row r="60" spans="2:7" ht="24" customHeight="1">
      <c r="B60" s="170" t="s">
        <v>257</v>
      </c>
      <c r="C60" s="170"/>
      <c r="D60" s="170"/>
      <c r="E60" s="170"/>
      <c r="F60" s="170"/>
      <c r="G60" s="170"/>
    </row>
    <row r="61" spans="2:7" ht="21.75" customHeight="1">
      <c r="B61" s="6" t="s">
        <v>258</v>
      </c>
      <c r="C61" s="6" t="s">
        <v>259</v>
      </c>
      <c r="D61" s="6" t="s">
        <v>260</v>
      </c>
      <c r="E61" s="6" t="s">
        <v>261</v>
      </c>
      <c r="F61" s="6" t="s">
        <v>262</v>
      </c>
    </row>
    <row r="62" spans="2:7" ht="19.5" customHeight="1">
      <c r="B62" s="77" t="s">
        <v>263</v>
      </c>
      <c r="C62" s="78"/>
      <c r="D62" s="78"/>
      <c r="E62" s="78"/>
      <c r="F62" s="78"/>
    </row>
    <row r="63" spans="2:7" ht="19.5" customHeight="1">
      <c r="B63" s="79" t="s">
        <v>264</v>
      </c>
      <c r="C63" s="80"/>
      <c r="D63" s="80"/>
      <c r="E63" s="80"/>
      <c r="F63" s="80"/>
    </row>
    <row r="64" spans="2:7" ht="19.5" customHeight="1">
      <c r="B64" s="77" t="s">
        <v>265</v>
      </c>
      <c r="C64" s="78"/>
      <c r="D64" s="78"/>
      <c r="E64" s="78"/>
      <c r="F64" s="78"/>
    </row>
    <row r="65" spans="2:7" ht="19.5" customHeight="1">
      <c r="B65" s="79" t="s">
        <v>266</v>
      </c>
      <c r="C65" s="80"/>
      <c r="D65" s="80"/>
      <c r="E65" s="80"/>
      <c r="F65" s="80"/>
    </row>
    <row r="66" spans="2:7" ht="19.5" customHeight="1">
      <c r="B66" s="77" t="s">
        <v>267</v>
      </c>
      <c r="C66" s="78"/>
      <c r="D66" s="78"/>
      <c r="E66" s="78"/>
      <c r="F66" s="78"/>
    </row>
    <row r="67" spans="2:7" ht="19.5" customHeight="1">
      <c r="B67" s="79" t="s">
        <v>268</v>
      </c>
      <c r="C67" s="80"/>
      <c r="D67" s="80"/>
      <c r="E67" s="80"/>
      <c r="F67" s="80"/>
    </row>
    <row r="68" spans="2:7" ht="19.5" customHeight="1">
      <c r="B68" s="77" t="s">
        <v>269</v>
      </c>
      <c r="C68" s="78"/>
      <c r="D68" s="78"/>
      <c r="E68" s="78"/>
      <c r="F68" s="78"/>
    </row>
    <row r="69" spans="2:7" ht="19.5" customHeight="1">
      <c r="B69" s="79" t="s">
        <v>270</v>
      </c>
      <c r="C69" s="80"/>
      <c r="D69" s="80"/>
      <c r="E69" s="80"/>
      <c r="F69" s="80"/>
    </row>
    <row r="71" spans="2:7" ht="24" customHeight="1">
      <c r="B71" s="170" t="s">
        <v>271</v>
      </c>
      <c r="C71" s="170"/>
      <c r="D71" s="170"/>
      <c r="E71" s="170"/>
      <c r="F71" s="170"/>
      <c r="G71" s="170"/>
    </row>
    <row r="72" spans="2:7" ht="21.75" customHeight="1">
      <c r="B72" s="6" t="s">
        <v>272</v>
      </c>
      <c r="C72" s="6" t="s">
        <v>240</v>
      </c>
      <c r="D72" s="6" t="s">
        <v>273</v>
      </c>
      <c r="E72" s="6" t="s">
        <v>274</v>
      </c>
      <c r="F72" s="6" t="s">
        <v>262</v>
      </c>
    </row>
    <row r="73" spans="2:7" ht="21.75" customHeight="1">
      <c r="B73" s="16" t="s">
        <v>275</v>
      </c>
      <c r="C73" s="78"/>
      <c r="D73" s="78"/>
      <c r="E73" s="78"/>
      <c r="F73" s="78"/>
    </row>
    <row r="74" spans="2:7" ht="21.75" customHeight="1">
      <c r="B74" s="20" t="s">
        <v>276</v>
      </c>
      <c r="C74" s="80"/>
      <c r="D74" s="80"/>
      <c r="E74" s="80"/>
      <c r="F74" s="80"/>
    </row>
    <row r="75" spans="2:7" ht="21.75" customHeight="1">
      <c r="B75" s="16" t="s">
        <v>277</v>
      </c>
      <c r="C75" s="78"/>
      <c r="D75" s="78"/>
      <c r="E75" s="78"/>
      <c r="F75" s="78"/>
    </row>
    <row r="76" spans="2:7" ht="21.75" customHeight="1">
      <c r="B76" s="20" t="s">
        <v>278</v>
      </c>
      <c r="C76" s="80"/>
      <c r="D76" s="80"/>
      <c r="E76" s="80"/>
      <c r="F76" s="80"/>
    </row>
    <row r="77" spans="2:7" ht="21.75" customHeight="1">
      <c r="B77" s="16" t="s">
        <v>279</v>
      </c>
      <c r="C77" s="78"/>
      <c r="D77" s="78"/>
      <c r="E77" s="78"/>
      <c r="F77" s="78"/>
    </row>
    <row r="78" spans="2:7" ht="21.75" customHeight="1">
      <c r="B78" s="20" t="s">
        <v>280</v>
      </c>
      <c r="C78" s="80"/>
      <c r="D78" s="80"/>
      <c r="E78" s="80"/>
      <c r="F78" s="80"/>
    </row>
    <row r="79" spans="2:7" ht="21.75" customHeight="1">
      <c r="B79" s="16" t="s">
        <v>281</v>
      </c>
      <c r="C79" s="78"/>
      <c r="D79" s="78"/>
      <c r="E79" s="78"/>
      <c r="F79" s="78"/>
    </row>
    <row r="81" spans="2:7" ht="24" customHeight="1">
      <c r="B81" s="170" t="s">
        <v>282</v>
      </c>
      <c r="C81" s="170"/>
      <c r="D81" s="170"/>
      <c r="E81" s="170"/>
      <c r="F81" s="170"/>
      <c r="G81" s="170"/>
    </row>
    <row r="82" spans="2:7" ht="27.75" customHeight="1">
      <c r="B82" s="6" t="s">
        <v>153</v>
      </c>
      <c r="C82" s="6" t="s">
        <v>283</v>
      </c>
      <c r="D82" s="6" t="s">
        <v>284</v>
      </c>
      <c r="E82" s="6" t="s">
        <v>285</v>
      </c>
      <c r="F82" s="6" t="s">
        <v>286</v>
      </c>
      <c r="G82" s="6" t="s">
        <v>287</v>
      </c>
    </row>
    <row r="83" spans="2:7" ht="25.5" customHeight="1">
      <c r="B83" s="82" t="s">
        <v>288</v>
      </c>
      <c r="C83" s="30"/>
      <c r="D83" s="16" t="s">
        <v>289</v>
      </c>
      <c r="E83" s="83"/>
      <c r="F83" s="45"/>
      <c r="G83" s="5"/>
    </row>
    <row r="84" spans="2:7" ht="25.5" customHeight="1">
      <c r="B84" s="84" t="s">
        <v>290</v>
      </c>
      <c r="C84" s="30"/>
      <c r="D84" s="20" t="s">
        <v>291</v>
      </c>
      <c r="E84" s="83"/>
      <c r="F84" s="45"/>
      <c r="G84" s="5"/>
    </row>
    <row r="85" spans="2:7" ht="25.5" customHeight="1">
      <c r="B85" s="82" t="s">
        <v>292</v>
      </c>
      <c r="C85" s="30"/>
      <c r="D85" s="16" t="s">
        <v>293</v>
      </c>
      <c r="E85" s="83"/>
      <c r="F85" s="45"/>
      <c r="G85" s="5"/>
    </row>
    <row r="86" spans="2:7" ht="25.5" customHeight="1">
      <c r="B86" s="84" t="s">
        <v>294</v>
      </c>
      <c r="C86" s="30"/>
      <c r="D86" s="20" t="s">
        <v>295</v>
      </c>
      <c r="E86" s="83"/>
      <c r="F86" s="45"/>
      <c r="G86" s="5"/>
    </row>
    <row r="87" spans="2:7" ht="25.5" customHeight="1">
      <c r="B87" s="82" t="s">
        <v>296</v>
      </c>
      <c r="C87" s="30"/>
      <c r="D87" s="16" t="s">
        <v>297</v>
      </c>
      <c r="E87" s="83"/>
      <c r="F87" s="45"/>
      <c r="G87" s="5"/>
    </row>
    <row r="88" spans="2:7" ht="25.5" customHeight="1">
      <c r="B88" s="84" t="s">
        <v>298</v>
      </c>
      <c r="C88" s="30"/>
      <c r="D88" s="20" t="s">
        <v>299</v>
      </c>
      <c r="E88" s="83"/>
      <c r="F88" s="45"/>
      <c r="G88" s="5"/>
    </row>
    <row r="89" spans="2:7" ht="25.5" customHeight="1">
      <c r="B89" s="82" t="s">
        <v>300</v>
      </c>
      <c r="C89" s="30"/>
      <c r="D89" s="16" t="s">
        <v>301</v>
      </c>
      <c r="E89" s="83"/>
      <c r="F89" s="45"/>
      <c r="G89" s="5"/>
    </row>
    <row r="91" spans="2:7" ht="24" customHeight="1">
      <c r="B91" s="170" t="s">
        <v>302</v>
      </c>
      <c r="C91" s="170"/>
      <c r="D91" s="170"/>
      <c r="E91" s="170"/>
      <c r="F91" s="170"/>
      <c r="G91" s="170"/>
    </row>
    <row r="92" spans="2:7" ht="21.75" customHeight="1">
      <c r="B92" s="6" t="s">
        <v>303</v>
      </c>
      <c r="C92" s="6" t="s">
        <v>304</v>
      </c>
    </row>
    <row r="93" spans="2:7" ht="21.75" customHeight="1">
      <c r="B93" s="14" t="s">
        <v>305</v>
      </c>
      <c r="C93" s="107"/>
      <c r="D93" s="107"/>
      <c r="E93" s="107"/>
      <c r="F93" s="107"/>
      <c r="G93" s="107"/>
    </row>
    <row r="94" spans="2:7" ht="21.75" customHeight="1">
      <c r="B94" s="18" t="s">
        <v>306</v>
      </c>
      <c r="C94" s="107"/>
      <c r="D94" s="107"/>
      <c r="E94" s="107"/>
      <c r="F94" s="107"/>
      <c r="G94" s="107"/>
    </row>
    <row r="95" spans="2:7" ht="21.75" customHeight="1">
      <c r="B95" s="14" t="s">
        <v>307</v>
      </c>
      <c r="C95" s="107"/>
      <c r="D95" s="107"/>
      <c r="E95" s="107"/>
      <c r="F95" s="107"/>
      <c r="G95" s="107"/>
    </row>
    <row r="96" spans="2:7" ht="21.75" customHeight="1">
      <c r="B96" s="18" t="s">
        <v>308</v>
      </c>
      <c r="C96" s="107"/>
      <c r="D96" s="107"/>
      <c r="E96" s="107"/>
      <c r="F96" s="107"/>
      <c r="G96" s="107"/>
    </row>
    <row r="97" spans="2:7" ht="21.75" customHeight="1">
      <c r="B97" s="14" t="s">
        <v>309</v>
      </c>
      <c r="C97" s="107"/>
      <c r="D97" s="107"/>
      <c r="E97" s="107"/>
      <c r="F97" s="107"/>
      <c r="G97" s="107"/>
    </row>
    <row r="98" spans="2:7" ht="21.75" customHeight="1">
      <c r="B98" s="18" t="s">
        <v>310</v>
      </c>
      <c r="C98" s="107"/>
      <c r="D98" s="107"/>
      <c r="E98" s="107"/>
      <c r="F98" s="107"/>
      <c r="G98" s="107"/>
    </row>
    <row r="99" spans="2:7" ht="21.75" customHeight="1">
      <c r="B99" s="14" t="s">
        <v>311</v>
      </c>
      <c r="C99" s="107"/>
      <c r="D99" s="107"/>
      <c r="E99" s="107"/>
      <c r="F99" s="107"/>
      <c r="G99" s="107"/>
    </row>
    <row r="101" spans="2:7" ht="24" customHeight="1">
      <c r="B101" s="170" t="s">
        <v>312</v>
      </c>
      <c r="C101" s="170"/>
      <c r="D101" s="170"/>
      <c r="E101" s="170"/>
      <c r="F101" s="170"/>
      <c r="G101" s="170"/>
    </row>
    <row r="102" spans="2:7" ht="21.75" customHeight="1">
      <c r="B102" s="6" t="s">
        <v>313</v>
      </c>
      <c r="C102" s="6" t="s">
        <v>314</v>
      </c>
      <c r="D102" s="6" t="s">
        <v>315</v>
      </c>
      <c r="E102" s="6" t="s">
        <v>316</v>
      </c>
      <c r="F102" s="6" t="s">
        <v>317</v>
      </c>
    </row>
    <row r="103" spans="2:7" ht="21.75" customHeight="1">
      <c r="B103" s="77" t="s">
        <v>318</v>
      </c>
      <c r="C103" s="78"/>
      <c r="D103" s="78"/>
      <c r="E103" s="16"/>
      <c r="F103" s="78"/>
    </row>
    <row r="104" spans="2:7" ht="21.75" customHeight="1">
      <c r="B104" s="79" t="s">
        <v>319</v>
      </c>
      <c r="C104" s="80"/>
      <c r="D104" s="80"/>
      <c r="E104" s="20"/>
      <c r="F104" s="80"/>
    </row>
    <row r="105" spans="2:7" ht="21.75" customHeight="1">
      <c r="B105" s="77" t="s">
        <v>320</v>
      </c>
      <c r="C105" s="78"/>
      <c r="D105" s="78"/>
      <c r="E105" s="16"/>
      <c r="F105" s="78"/>
    </row>
    <row r="106" spans="2:7" ht="21.75" customHeight="1">
      <c r="B106" s="79" t="s">
        <v>321</v>
      </c>
      <c r="C106" s="80"/>
      <c r="D106" s="80"/>
      <c r="E106" s="20"/>
      <c r="F106" s="80"/>
    </row>
    <row r="107" spans="2:7" ht="21.75" customHeight="1">
      <c r="B107" s="77" t="s">
        <v>322</v>
      </c>
      <c r="C107" s="78"/>
      <c r="D107" s="78"/>
      <c r="E107" s="16"/>
      <c r="F107" s="78"/>
    </row>
    <row r="108" spans="2:7" ht="21.75" customHeight="1">
      <c r="B108" s="79" t="s">
        <v>323</v>
      </c>
      <c r="C108" s="80"/>
      <c r="D108" s="80"/>
      <c r="E108" s="20"/>
      <c r="F108" s="80"/>
    </row>
    <row r="109" spans="2:7" ht="21.75" customHeight="1">
      <c r="B109" s="77" t="s">
        <v>324</v>
      </c>
      <c r="C109" s="78"/>
      <c r="D109" s="78"/>
      <c r="E109" s="16"/>
      <c r="F109" s="78"/>
    </row>
    <row r="110" spans="2:7" ht="21.75" customHeight="1">
      <c r="B110" s="79" t="s">
        <v>325</v>
      </c>
      <c r="C110" s="80"/>
      <c r="D110" s="80"/>
      <c r="E110" s="20"/>
      <c r="F110" s="80"/>
    </row>
    <row r="111" spans="2:7" ht="21.75" customHeight="1">
      <c r="B111" s="77" t="s">
        <v>326</v>
      </c>
      <c r="C111" s="78"/>
      <c r="D111" s="78"/>
      <c r="E111" s="16"/>
      <c r="F111" s="78"/>
    </row>
    <row r="112" spans="2:7" ht="21.75" customHeight="1">
      <c r="B112" s="79" t="s">
        <v>327</v>
      </c>
      <c r="C112" s="80"/>
      <c r="D112" s="80"/>
      <c r="E112" s="20"/>
      <c r="F112" s="80"/>
    </row>
    <row r="114" spans="2:7" ht="24" customHeight="1">
      <c r="B114" s="170" t="s">
        <v>328</v>
      </c>
      <c r="C114" s="170"/>
      <c r="D114" s="170"/>
      <c r="E114" s="170"/>
      <c r="F114" s="170"/>
      <c r="G114" s="170"/>
    </row>
    <row r="115" spans="2:7" ht="21.75" customHeight="1">
      <c r="B115" s="6" t="s">
        <v>329</v>
      </c>
      <c r="C115" s="6" t="s">
        <v>330</v>
      </c>
    </row>
    <row r="116" spans="2:7" ht="21.75" customHeight="1">
      <c r="B116" s="14" t="s">
        <v>331</v>
      </c>
      <c r="C116" s="107"/>
      <c r="D116" s="107"/>
      <c r="E116" s="107"/>
      <c r="F116" s="107"/>
      <c r="G116" s="107"/>
    </row>
    <row r="117" spans="2:7" ht="21.75" customHeight="1">
      <c r="B117" s="18" t="s">
        <v>332</v>
      </c>
      <c r="C117" s="107"/>
      <c r="D117" s="107"/>
      <c r="E117" s="107"/>
      <c r="F117" s="107"/>
      <c r="G117" s="107"/>
    </row>
    <row r="118" spans="2:7" ht="21.75" customHeight="1">
      <c r="B118" s="14" t="s">
        <v>333</v>
      </c>
      <c r="C118" s="107"/>
      <c r="D118" s="107"/>
      <c r="E118" s="107"/>
      <c r="F118" s="107"/>
      <c r="G118" s="107"/>
    </row>
    <row r="119" spans="2:7" ht="21.75" customHeight="1">
      <c r="B119" s="18" t="s">
        <v>334</v>
      </c>
      <c r="C119" s="107"/>
      <c r="D119" s="107"/>
      <c r="E119" s="107"/>
      <c r="F119" s="107"/>
      <c r="G119" s="107"/>
    </row>
    <row r="120" spans="2:7" ht="21.75" customHeight="1">
      <c r="B120" s="14" t="s">
        <v>335</v>
      </c>
      <c r="C120" s="107"/>
      <c r="D120" s="107"/>
      <c r="E120" s="107"/>
      <c r="F120" s="107"/>
      <c r="G120" s="107"/>
    </row>
    <row r="121" spans="2:7" ht="21.75" customHeight="1">
      <c r="B121" s="18" t="s">
        <v>336</v>
      </c>
      <c r="C121" s="107"/>
      <c r="D121" s="107"/>
      <c r="E121" s="107"/>
      <c r="F121" s="107"/>
      <c r="G121" s="107"/>
    </row>
    <row r="122" spans="2:7" ht="21.75" customHeight="1">
      <c r="B122" s="14" t="s">
        <v>337</v>
      </c>
      <c r="C122" s="107"/>
      <c r="D122" s="107"/>
      <c r="E122" s="107"/>
      <c r="F122" s="107"/>
      <c r="G122" s="107"/>
    </row>
    <row r="124" spans="2:7" ht="24" customHeight="1">
      <c r="B124" s="170" t="s">
        <v>338</v>
      </c>
      <c r="C124" s="170"/>
      <c r="D124" s="170"/>
      <c r="E124" s="170"/>
      <c r="F124" s="170"/>
      <c r="G124" s="170"/>
    </row>
    <row r="125" spans="2:7" ht="21.75" customHeight="1">
      <c r="B125" s="6" t="s">
        <v>339</v>
      </c>
      <c r="C125" s="6" t="s">
        <v>340</v>
      </c>
    </row>
    <row r="126" spans="2:7" ht="30" customHeight="1">
      <c r="B126" s="85" t="s">
        <v>341</v>
      </c>
      <c r="C126" s="107"/>
      <c r="D126" s="107"/>
      <c r="E126" s="107"/>
      <c r="F126" s="107"/>
      <c r="G126" s="107"/>
    </row>
    <row r="127" spans="2:7" ht="30" customHeight="1">
      <c r="B127" s="86" t="s">
        <v>342</v>
      </c>
      <c r="C127" s="107"/>
      <c r="D127" s="107"/>
      <c r="E127" s="107"/>
      <c r="F127" s="107"/>
      <c r="G127" s="107"/>
    </row>
    <row r="128" spans="2:7" ht="30" customHeight="1">
      <c r="B128" s="85" t="s">
        <v>343</v>
      </c>
      <c r="C128" s="107"/>
      <c r="D128" s="107"/>
      <c r="E128" s="107"/>
      <c r="F128" s="107"/>
      <c r="G128" s="107"/>
    </row>
    <row r="129" spans="2:7" ht="30" customHeight="1">
      <c r="B129" s="86" t="s">
        <v>344</v>
      </c>
      <c r="C129" s="107"/>
      <c r="D129" s="107"/>
      <c r="E129" s="107"/>
      <c r="F129" s="107"/>
      <c r="G129" s="107"/>
    </row>
    <row r="130" spans="2:7" ht="30" customHeight="1">
      <c r="B130" s="85" t="s">
        <v>345</v>
      </c>
      <c r="C130" s="107"/>
      <c r="D130" s="107"/>
      <c r="E130" s="107"/>
      <c r="F130" s="107"/>
      <c r="G130" s="107"/>
    </row>
    <row r="131" spans="2:7" ht="30" customHeight="1">
      <c r="B131" s="86" t="s">
        <v>346</v>
      </c>
      <c r="C131" s="107"/>
      <c r="D131" s="107"/>
      <c r="E131" s="107"/>
      <c r="F131" s="107"/>
      <c r="G131" s="107"/>
    </row>
    <row r="132" spans="2:7" ht="30" customHeight="1">
      <c r="B132" s="85" t="s">
        <v>347</v>
      </c>
      <c r="C132" s="107"/>
      <c r="D132" s="107"/>
      <c r="E132" s="107"/>
      <c r="F132" s="107"/>
      <c r="G132" s="107"/>
    </row>
  </sheetData>
  <mergeCells count="46">
    <mergeCell ref="C132:G132"/>
    <mergeCell ref="C127:G127"/>
    <mergeCell ref="C128:G128"/>
    <mergeCell ref="C129:G129"/>
    <mergeCell ref="C130:G130"/>
    <mergeCell ref="C131:G131"/>
    <mergeCell ref="C120:G120"/>
    <mergeCell ref="C121:G121"/>
    <mergeCell ref="C122:G122"/>
    <mergeCell ref="B124:G124"/>
    <mergeCell ref="C126:G126"/>
    <mergeCell ref="B114:G114"/>
    <mergeCell ref="C116:G116"/>
    <mergeCell ref="C117:G117"/>
    <mergeCell ref="C118:G118"/>
    <mergeCell ref="C119:G119"/>
    <mergeCell ref="C96:G96"/>
    <mergeCell ref="C97:G97"/>
    <mergeCell ref="C98:G98"/>
    <mergeCell ref="C99:G99"/>
    <mergeCell ref="B101:G101"/>
    <mergeCell ref="B81:G81"/>
    <mergeCell ref="B91:G91"/>
    <mergeCell ref="C93:G93"/>
    <mergeCell ref="C94:G94"/>
    <mergeCell ref="C95:G95"/>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A00-000003000000}">
      <formula1>"Alta,Media,Baja,Sin mejora"</formula1>
      <formula2>0</formula2>
    </dataValidation>
    <dataValidation type="list" allowBlank="1" sqref="C83:C89" xr:uid="{00000000-0002-0000-0A00-000004000000}">
      <formula1>"Sí,No,Parcial"</formula1>
      <formula2>0</formula2>
    </dataValidation>
    <dataValidation type="date" allowBlank="1" showInputMessage="1" showErrorMessage="1" sqref="C10:E10" xr:uid="{81E7A67E-290A-409F-A6CE-180159B46859}">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xr:uid="{00000000-0002-0000-0A00-000000000000}">
          <x14:formula1>
            <xm:f>Listas!$H$5:$H$9</xm:f>
          </x14:formula1>
          <x14:formula2>
            <xm:f>0</xm:f>
          </x14:formula2>
          <xm:sqref>C12</xm:sqref>
        </x14:dataValidation>
        <x14:dataValidation type="list" allowBlank="1" xr:uid="{00000000-0002-0000-0A00-000001000000}">
          <x14:formula1>
            <xm:f>Listas!$D$5:$D$10</xm:f>
          </x14:formula1>
          <x14:formula2>
            <xm:f>0</xm:f>
          </x14:formula2>
          <xm:sqref>C14</xm:sqref>
        </x14:dataValidation>
        <x14:dataValidation type="list" allowBlank="1" xr:uid="{00000000-0002-0000-0A00-000002000000}">
          <x14:formula1>
            <xm:f>Listas!$B$5:$B$8</xm:f>
          </x14:formula1>
          <x14:formula2>
            <xm:f>0</xm:f>
          </x14:formula2>
          <xm:sqref>D19:D23 D26:D32 D35:D37 D40:D41</xm:sqref>
        </x14:dataValidation>
        <x14:dataValidation type="list" allowBlank="1" xr:uid="{00000000-0002-0000-0A00-000005000000}">
          <x14:formula1>
            <xm:f>Listas!$F$5:$F$7</xm:f>
          </x14:formula1>
          <x14:formula2>
            <xm:f>0</xm:f>
          </x14:formula2>
          <xm:sqref>F83:F89</xm:sqref>
        </x14:dataValidation>
        <x14:dataValidation type="list" allowBlank="1" xr:uid="{00000000-0002-0000-0A00-000006000000}">
          <x14:formula1>
            <xm:f>Listas!$L$5:$L$7</xm:f>
          </x14:formula1>
          <x14:formula2>
            <xm:f>0</xm:f>
          </x14:formula2>
          <xm:sqref>C130</xm:sqref>
        </x14:dataValidation>
        <x14:dataValidation type="list" allowBlank="1" showInputMessage="1" showErrorMessage="1" xr:uid="{348C95B8-BA01-44DD-ACD0-C35A4A472130}">
          <x14:formula1>
            <xm:f>Listas!$N$5:$N$10</xm:f>
          </x14:formula1>
          <xm:sqref>C5:E5</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32"/>
  <sheetViews>
    <sheetView showGridLines="0" zoomScaleNormal="100" workbookViewId="0">
      <pane xSplit="2" ySplit="2" topLeftCell="C3" activePane="bottomRight" state="frozen"/>
      <selection pane="bottomRight" activeCell="C10" sqref="C10:E10"/>
      <selection pane="bottomLeft" activeCell="A3" sqref="A3"/>
      <selection pane="topRight" activeCell="C1" sqref="C1"/>
    </sheetView>
  </sheetViews>
  <sheetFormatPr defaultColWidth="8.5703125" defaultRowHeight="14.45"/>
  <cols>
    <col min="1" max="1" width="3" style="1" customWidth="1"/>
    <col min="2" max="2" width="29.28515625" style="1" customWidth="1"/>
    <col min="3" max="3" width="36" style="1" customWidth="1"/>
    <col min="4" max="4" width="23.42578125" style="1" customWidth="1"/>
    <col min="5" max="5" width="40" style="1" customWidth="1"/>
    <col min="6" max="6" width="14" style="1" customWidth="1"/>
    <col min="7" max="7" width="20" style="1" customWidth="1"/>
    <col min="8" max="9" width="8.5703125" style="1"/>
    <col min="10" max="10" width="26" style="1" customWidth="1"/>
    <col min="11" max="11" width="35.140625" style="1" customWidth="1"/>
    <col min="12" max="16384" width="8.5703125" style="1"/>
  </cols>
  <sheetData>
    <row r="1" spans="2:11" ht="7.5" customHeight="1"/>
    <row r="2" spans="2:11" ht="30" customHeight="1">
      <c r="B2" s="173" t="s">
        <v>380</v>
      </c>
      <c r="C2" s="173"/>
      <c r="D2" s="173"/>
      <c r="E2" s="173"/>
      <c r="F2" s="173"/>
      <c r="G2" s="173"/>
    </row>
    <row r="3" spans="2:11" ht="15.75">
      <c r="I3" s="100" t="s">
        <v>48</v>
      </c>
      <c r="J3" s="100"/>
      <c r="K3" s="100"/>
    </row>
    <row r="4" spans="2:11" ht="24" customHeight="1">
      <c r="B4" s="170" t="s">
        <v>180</v>
      </c>
      <c r="C4" s="170"/>
      <c r="D4" s="170"/>
      <c r="E4" s="170"/>
      <c r="F4" s="170"/>
      <c r="G4" s="170"/>
      <c r="I4" s="6" t="s">
        <v>49</v>
      </c>
      <c r="J4" s="6" t="s">
        <v>50</v>
      </c>
      <c r="K4" s="6" t="s">
        <v>22</v>
      </c>
    </row>
    <row r="5" spans="2:11" ht="19.5" customHeight="1">
      <c r="B5" s="70" t="s">
        <v>181</v>
      </c>
      <c r="C5" s="171" t="s">
        <v>106</v>
      </c>
      <c r="D5" s="172"/>
      <c r="E5" s="172"/>
      <c r="I5" s="21" t="s">
        <v>51</v>
      </c>
      <c r="J5" s="22" t="s">
        <v>52</v>
      </c>
      <c r="K5" s="101" t="s">
        <v>53</v>
      </c>
    </row>
    <row r="6" spans="2:11" ht="19.5" customHeight="1">
      <c r="B6" s="70" t="s">
        <v>182</v>
      </c>
      <c r="C6" s="104" t="s">
        <v>381</v>
      </c>
      <c r="D6" s="104"/>
      <c r="E6" s="104"/>
      <c r="I6" s="23" t="s">
        <v>54</v>
      </c>
      <c r="J6" s="22" t="s">
        <v>55</v>
      </c>
      <c r="K6" s="101" t="s">
        <v>56</v>
      </c>
    </row>
    <row r="7" spans="2:11" ht="19.5" customHeight="1">
      <c r="B7" s="70" t="s">
        <v>184</v>
      </c>
      <c r="C7" s="104"/>
      <c r="D7" s="104"/>
      <c r="E7" s="104"/>
      <c r="I7" s="24" t="s">
        <v>57</v>
      </c>
      <c r="J7" s="22" t="s">
        <v>58</v>
      </c>
      <c r="K7" s="101" t="s">
        <v>59</v>
      </c>
    </row>
    <row r="8" spans="2:11" ht="19.5" customHeight="1">
      <c r="B8" s="70" t="s">
        <v>185</v>
      </c>
      <c r="C8" s="104"/>
      <c r="D8" s="104"/>
      <c r="E8" s="104"/>
      <c r="I8" s="25" t="s">
        <v>60</v>
      </c>
      <c r="J8" s="22" t="s">
        <v>61</v>
      </c>
      <c r="K8" s="101" t="s">
        <v>62</v>
      </c>
    </row>
    <row r="9" spans="2:11" ht="19.5" customHeight="1">
      <c r="B9" s="70" t="s">
        <v>186</v>
      </c>
      <c r="C9" s="104"/>
      <c r="D9" s="104"/>
      <c r="E9" s="104"/>
      <c r="I9" s="26" t="s">
        <v>63</v>
      </c>
      <c r="J9" s="22" t="s">
        <v>64</v>
      </c>
      <c r="K9" s="101" t="s">
        <v>65</v>
      </c>
    </row>
    <row r="10" spans="2:11" ht="19.5" customHeight="1">
      <c r="B10" s="70" t="s">
        <v>187</v>
      </c>
      <c r="C10" s="174"/>
      <c r="D10" s="174"/>
      <c r="E10" s="174"/>
      <c r="I10" s="27" t="s">
        <v>66</v>
      </c>
      <c r="J10" s="22" t="s">
        <v>67</v>
      </c>
      <c r="K10" s="101" t="s">
        <v>68</v>
      </c>
    </row>
    <row r="11" spans="2:11" ht="19.5" customHeight="1">
      <c r="B11" s="70" t="s">
        <v>188</v>
      </c>
      <c r="C11" s="104"/>
      <c r="D11" s="104"/>
      <c r="E11" s="104"/>
    </row>
    <row r="12" spans="2:11" ht="19.5" customHeight="1">
      <c r="B12" s="70" t="s">
        <v>189</v>
      </c>
      <c r="C12" s="104"/>
      <c r="D12" s="104"/>
      <c r="E12" s="104"/>
    </row>
    <row r="13" spans="2:11" ht="19.5" customHeight="1">
      <c r="B13" s="70" t="s">
        <v>190</v>
      </c>
      <c r="C13" s="104"/>
      <c r="D13" s="104"/>
      <c r="E13" s="104"/>
    </row>
    <row r="14" spans="2:11" ht="19.5" customHeight="1">
      <c r="B14" s="70" t="s">
        <v>191</v>
      </c>
      <c r="C14" s="71"/>
      <c r="D14" s="72" t="s">
        <v>192</v>
      </c>
    </row>
    <row r="16" spans="2:11" ht="24" customHeight="1">
      <c r="B16" s="170" t="s">
        <v>193</v>
      </c>
      <c r="C16" s="170"/>
      <c r="D16" s="170"/>
      <c r="E16" s="170"/>
      <c r="F16" s="170"/>
      <c r="G16" s="170"/>
    </row>
    <row r="17" spans="2:7" ht="27.75" customHeight="1">
      <c r="B17" s="6" t="s">
        <v>19</v>
      </c>
      <c r="C17" s="6" t="s">
        <v>194</v>
      </c>
      <c r="D17" s="6" t="s">
        <v>195</v>
      </c>
      <c r="E17" s="6" t="s">
        <v>196</v>
      </c>
      <c r="F17" s="6" t="s">
        <v>197</v>
      </c>
      <c r="G17" s="6" t="s">
        <v>198</v>
      </c>
    </row>
    <row r="18" spans="2:7" ht="21.75" customHeight="1">
      <c r="B18" s="106" t="s">
        <v>199</v>
      </c>
      <c r="C18" s="106"/>
      <c r="D18" s="106"/>
      <c r="E18" s="106"/>
      <c r="F18" s="106"/>
      <c r="G18" s="106"/>
    </row>
    <row r="19" spans="2:7" ht="27.75" customHeight="1">
      <c r="B19" s="73" t="s">
        <v>200</v>
      </c>
      <c r="C19" s="20" t="s">
        <v>201</v>
      </c>
      <c r="D19" s="30"/>
      <c r="E19" s="5"/>
      <c r="F19" s="45"/>
      <c r="G19" s="45"/>
    </row>
    <row r="20" spans="2:7" ht="27.75" customHeight="1">
      <c r="B20" s="74" t="s">
        <v>202</v>
      </c>
      <c r="C20" s="16" t="s">
        <v>203</v>
      </c>
      <c r="D20" s="30"/>
      <c r="E20" s="5"/>
      <c r="F20" s="45"/>
      <c r="G20" s="45"/>
    </row>
    <row r="21" spans="2:7" ht="27.75" customHeight="1">
      <c r="B21" s="73" t="s">
        <v>204</v>
      </c>
      <c r="C21" s="20" t="s">
        <v>205</v>
      </c>
      <c r="D21" s="30"/>
      <c r="E21" s="5"/>
      <c r="F21" s="45"/>
      <c r="G21" s="45"/>
    </row>
    <row r="22" spans="2:7" ht="27.75" customHeight="1">
      <c r="B22" s="74" t="s">
        <v>206</v>
      </c>
      <c r="C22" s="16" t="s">
        <v>207</v>
      </c>
      <c r="D22" s="30"/>
      <c r="E22" s="5"/>
      <c r="F22" s="45"/>
      <c r="G22" s="45"/>
    </row>
    <row r="23" spans="2:7" ht="27.75" customHeight="1">
      <c r="B23" s="73" t="s">
        <v>208</v>
      </c>
      <c r="C23" s="20" t="s">
        <v>209</v>
      </c>
      <c r="D23" s="30"/>
      <c r="E23" s="5"/>
      <c r="F23" s="45"/>
      <c r="G23" s="45"/>
    </row>
    <row r="25" spans="2:7" ht="21.75" customHeight="1">
      <c r="B25" s="106" t="s">
        <v>210</v>
      </c>
      <c r="C25" s="106"/>
      <c r="D25" s="106"/>
      <c r="E25" s="106"/>
      <c r="F25" s="106"/>
      <c r="G25" s="106"/>
    </row>
    <row r="26" spans="2:7" ht="27.75" customHeight="1">
      <c r="B26" s="74" t="s">
        <v>211</v>
      </c>
      <c r="C26" s="16" t="s">
        <v>212</v>
      </c>
      <c r="D26" s="30"/>
      <c r="E26" s="5"/>
      <c r="F26" s="45"/>
      <c r="G26" s="45"/>
    </row>
    <row r="27" spans="2:7" ht="27.75" customHeight="1">
      <c r="B27" s="73" t="s">
        <v>213</v>
      </c>
      <c r="C27" s="20" t="s">
        <v>214</v>
      </c>
      <c r="D27" s="30"/>
      <c r="E27" s="5"/>
      <c r="F27" s="45"/>
      <c r="G27" s="45"/>
    </row>
    <row r="28" spans="2:7" ht="27.75" customHeight="1">
      <c r="B28" s="74" t="s">
        <v>215</v>
      </c>
      <c r="C28" s="16" t="s">
        <v>216</v>
      </c>
      <c r="D28" s="30"/>
      <c r="E28" s="5"/>
      <c r="F28" s="45"/>
      <c r="G28" s="45"/>
    </row>
    <row r="29" spans="2:7" ht="27.75" customHeight="1">
      <c r="B29" s="73" t="s">
        <v>217</v>
      </c>
      <c r="C29" s="20" t="s">
        <v>218</v>
      </c>
      <c r="D29" s="30"/>
      <c r="E29" s="5"/>
      <c r="F29" s="45"/>
      <c r="G29" s="45"/>
    </row>
    <row r="30" spans="2:7" ht="27.75" customHeight="1">
      <c r="B30" s="74" t="s">
        <v>219</v>
      </c>
      <c r="C30" s="16" t="s">
        <v>220</v>
      </c>
      <c r="D30" s="30"/>
      <c r="E30" s="5"/>
      <c r="F30" s="45"/>
      <c r="G30" s="45"/>
    </row>
    <row r="31" spans="2:7" ht="27.75" customHeight="1">
      <c r="B31" s="73" t="s">
        <v>221</v>
      </c>
      <c r="C31" s="20" t="s">
        <v>222</v>
      </c>
      <c r="D31" s="30"/>
      <c r="E31" s="5"/>
      <c r="F31" s="45"/>
      <c r="G31" s="45"/>
    </row>
    <row r="32" spans="2:7" ht="27.75" customHeight="1">
      <c r="B32" s="74" t="s">
        <v>223</v>
      </c>
      <c r="C32" s="16" t="s">
        <v>224</v>
      </c>
      <c r="D32" s="30"/>
      <c r="E32" s="5"/>
      <c r="F32" s="45"/>
      <c r="G32" s="45"/>
    </row>
    <row r="34" spans="2:7" ht="21.75" customHeight="1">
      <c r="B34" s="106" t="s">
        <v>225</v>
      </c>
      <c r="C34" s="106"/>
      <c r="D34" s="106"/>
      <c r="E34" s="106"/>
      <c r="F34" s="106"/>
      <c r="G34" s="106"/>
    </row>
    <row r="35" spans="2:7" ht="27.75" customHeight="1">
      <c r="B35" s="73" t="s">
        <v>226</v>
      </c>
      <c r="C35" s="20" t="s">
        <v>227</v>
      </c>
      <c r="D35" s="30"/>
      <c r="E35" s="5"/>
      <c r="F35" s="45"/>
      <c r="G35" s="45"/>
    </row>
    <row r="36" spans="2:7" ht="27.75" customHeight="1">
      <c r="B36" s="74" t="s">
        <v>228</v>
      </c>
      <c r="C36" s="16" t="s">
        <v>229</v>
      </c>
      <c r="D36" s="30"/>
      <c r="E36" s="5"/>
      <c r="F36" s="45"/>
      <c r="G36" s="45"/>
    </row>
    <row r="37" spans="2:7" ht="27.75" customHeight="1">
      <c r="B37" s="73" t="s">
        <v>230</v>
      </c>
      <c r="C37" s="20" t="s">
        <v>231</v>
      </c>
      <c r="D37" s="30"/>
      <c r="E37" s="5"/>
      <c r="F37" s="45"/>
      <c r="G37" s="45"/>
    </row>
    <row r="39" spans="2:7" ht="21.75" customHeight="1">
      <c r="B39" s="106" t="s">
        <v>232</v>
      </c>
      <c r="C39" s="106"/>
      <c r="D39" s="106"/>
      <c r="E39" s="106"/>
      <c r="F39" s="106"/>
      <c r="G39" s="106"/>
    </row>
    <row r="40" spans="2:7" ht="27.75" customHeight="1">
      <c r="B40" s="74" t="s">
        <v>233</v>
      </c>
      <c r="C40" s="16" t="s">
        <v>234</v>
      </c>
      <c r="D40" s="30"/>
      <c r="E40" s="5"/>
      <c r="F40" s="45"/>
      <c r="G40" s="45"/>
    </row>
    <row r="41" spans="2:7" ht="27.75" customHeight="1">
      <c r="B41" s="73" t="s">
        <v>235</v>
      </c>
      <c r="C41" s="20" t="s">
        <v>236</v>
      </c>
      <c r="D41" s="30"/>
      <c r="E41" s="5"/>
      <c r="F41" s="45"/>
      <c r="G41" s="45"/>
    </row>
    <row r="43" spans="2:7" ht="27.75" customHeight="1">
      <c r="B43" s="103" t="s">
        <v>237</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238</v>
      </c>
      <c r="C45" s="170"/>
      <c r="D45" s="170"/>
      <c r="E45" s="170"/>
      <c r="F45" s="170"/>
      <c r="G45" s="170"/>
    </row>
    <row r="46" spans="2:7" ht="21.75" customHeight="1">
      <c r="B46" s="6" t="s">
        <v>239</v>
      </c>
      <c r="C46" s="6" t="s">
        <v>240</v>
      </c>
      <c r="D46" s="6" t="s">
        <v>241</v>
      </c>
      <c r="E46" s="6" t="s">
        <v>242</v>
      </c>
      <c r="F46" s="6" t="s">
        <v>243</v>
      </c>
      <c r="G46" s="6" t="s">
        <v>244</v>
      </c>
    </row>
    <row r="47" spans="2:7" ht="21.75" customHeight="1">
      <c r="B47" s="77" t="s">
        <v>245</v>
      </c>
      <c r="C47" s="78"/>
      <c r="D47" s="78"/>
      <c r="E47" s="78"/>
      <c r="F47" s="78"/>
      <c r="G47" s="78"/>
    </row>
    <row r="48" spans="2:7" ht="21.75" customHeight="1">
      <c r="B48" s="79" t="s">
        <v>246</v>
      </c>
      <c r="C48" s="80"/>
      <c r="D48" s="80"/>
      <c r="E48" s="80"/>
      <c r="F48" s="80"/>
      <c r="G48" s="80"/>
    </row>
    <row r="49" spans="2:7" ht="21.75" customHeight="1">
      <c r="B49" s="77" t="s">
        <v>247</v>
      </c>
      <c r="C49" s="78"/>
      <c r="D49" s="78"/>
      <c r="E49" s="78"/>
      <c r="F49" s="78"/>
      <c r="G49" s="78"/>
    </row>
    <row r="50" spans="2:7" ht="21.75" customHeight="1">
      <c r="B50" s="79" t="s">
        <v>248</v>
      </c>
      <c r="C50" s="80"/>
      <c r="D50" s="80"/>
      <c r="E50" s="80"/>
      <c r="F50" s="80"/>
      <c r="G50" s="80"/>
    </row>
    <row r="51" spans="2:7" ht="21.75" customHeight="1">
      <c r="B51" s="77" t="s">
        <v>249</v>
      </c>
      <c r="C51" s="78"/>
      <c r="D51" s="78"/>
      <c r="E51" s="78"/>
      <c r="F51" s="78"/>
      <c r="G51" s="78"/>
    </row>
    <row r="52" spans="2:7" ht="21.75" customHeight="1">
      <c r="B52" s="79" t="s">
        <v>250</v>
      </c>
      <c r="C52" s="80"/>
      <c r="D52" s="80"/>
      <c r="E52" s="80"/>
      <c r="F52" s="80"/>
      <c r="G52" s="80"/>
    </row>
    <row r="53" spans="2:7" ht="21.75" customHeight="1">
      <c r="B53" s="77" t="s">
        <v>251</v>
      </c>
      <c r="C53" s="78"/>
      <c r="D53" s="78"/>
      <c r="E53" s="78"/>
      <c r="F53" s="78"/>
      <c r="G53" s="78"/>
    </row>
    <row r="54" spans="2:7" ht="21.75" customHeight="1">
      <c r="B54" s="79" t="s">
        <v>252</v>
      </c>
      <c r="C54" s="80"/>
      <c r="D54" s="80"/>
      <c r="E54" s="80"/>
      <c r="F54" s="80"/>
      <c r="G54" s="80"/>
    </row>
    <row r="55" spans="2:7" ht="21.75" customHeight="1">
      <c r="B55" s="77" t="s">
        <v>253</v>
      </c>
      <c r="C55" s="78"/>
      <c r="D55" s="78"/>
      <c r="E55" s="78"/>
      <c r="F55" s="78"/>
      <c r="G55" s="78"/>
    </row>
    <row r="56" spans="2:7" ht="21.75" customHeight="1">
      <c r="B56" s="79" t="s">
        <v>254</v>
      </c>
      <c r="C56" s="80"/>
      <c r="D56" s="80"/>
      <c r="E56" s="80"/>
      <c r="F56" s="80"/>
      <c r="G56" s="80"/>
    </row>
    <row r="57" spans="2:7" ht="21.75" customHeight="1">
      <c r="B57" s="77" t="s">
        <v>255</v>
      </c>
      <c r="C57" s="78"/>
      <c r="D57" s="78"/>
      <c r="E57" s="78"/>
      <c r="F57" s="78"/>
      <c r="G57" s="78"/>
    </row>
    <row r="58" spans="2:7" ht="21.75" customHeight="1">
      <c r="B58" s="79" t="s">
        <v>256</v>
      </c>
      <c r="C58" s="80"/>
      <c r="D58" s="80"/>
      <c r="E58" s="80"/>
      <c r="F58" s="80"/>
      <c r="G58" s="80"/>
    </row>
    <row r="60" spans="2:7" ht="24" customHeight="1">
      <c r="B60" s="170" t="s">
        <v>257</v>
      </c>
      <c r="C60" s="170"/>
      <c r="D60" s="170"/>
      <c r="E60" s="170"/>
      <c r="F60" s="170"/>
      <c r="G60" s="170"/>
    </row>
    <row r="61" spans="2:7" ht="21.75" customHeight="1">
      <c r="B61" s="6" t="s">
        <v>258</v>
      </c>
      <c r="C61" s="6" t="s">
        <v>259</v>
      </c>
      <c r="D61" s="6" t="s">
        <v>260</v>
      </c>
      <c r="E61" s="6" t="s">
        <v>261</v>
      </c>
      <c r="F61" s="6" t="s">
        <v>262</v>
      </c>
    </row>
    <row r="62" spans="2:7" ht="19.5" customHeight="1">
      <c r="B62" s="77" t="s">
        <v>263</v>
      </c>
      <c r="C62" s="78"/>
      <c r="D62" s="78"/>
      <c r="E62" s="78"/>
      <c r="F62" s="78"/>
    </row>
    <row r="63" spans="2:7" ht="19.5" customHeight="1">
      <c r="B63" s="79" t="s">
        <v>264</v>
      </c>
      <c r="C63" s="80"/>
      <c r="D63" s="80"/>
      <c r="E63" s="80"/>
      <c r="F63" s="80"/>
    </row>
    <row r="64" spans="2:7" ht="19.5" customHeight="1">
      <c r="B64" s="77" t="s">
        <v>265</v>
      </c>
      <c r="C64" s="78"/>
      <c r="D64" s="78"/>
      <c r="E64" s="78"/>
      <c r="F64" s="78"/>
    </row>
    <row r="65" spans="2:7" ht="19.5" customHeight="1">
      <c r="B65" s="79" t="s">
        <v>266</v>
      </c>
      <c r="C65" s="80"/>
      <c r="D65" s="80"/>
      <c r="E65" s="80"/>
      <c r="F65" s="80"/>
    </row>
    <row r="66" spans="2:7" ht="19.5" customHeight="1">
      <c r="B66" s="77" t="s">
        <v>267</v>
      </c>
      <c r="C66" s="78"/>
      <c r="D66" s="78"/>
      <c r="E66" s="78"/>
      <c r="F66" s="78"/>
    </row>
    <row r="67" spans="2:7" ht="19.5" customHeight="1">
      <c r="B67" s="79" t="s">
        <v>268</v>
      </c>
      <c r="C67" s="80"/>
      <c r="D67" s="80"/>
      <c r="E67" s="80"/>
      <c r="F67" s="80"/>
    </row>
    <row r="68" spans="2:7" ht="19.5" customHeight="1">
      <c r="B68" s="77" t="s">
        <v>269</v>
      </c>
      <c r="C68" s="78"/>
      <c r="D68" s="78"/>
      <c r="E68" s="78"/>
      <c r="F68" s="78"/>
    </row>
    <row r="69" spans="2:7" ht="19.5" customHeight="1">
      <c r="B69" s="79" t="s">
        <v>270</v>
      </c>
      <c r="C69" s="80"/>
      <c r="D69" s="80"/>
      <c r="E69" s="80"/>
      <c r="F69" s="80"/>
    </row>
    <row r="71" spans="2:7" ht="24" customHeight="1">
      <c r="B71" s="170" t="s">
        <v>271</v>
      </c>
      <c r="C71" s="170"/>
      <c r="D71" s="170"/>
      <c r="E71" s="170"/>
      <c r="F71" s="170"/>
      <c r="G71" s="170"/>
    </row>
    <row r="72" spans="2:7" ht="21.75" customHeight="1">
      <c r="B72" s="6" t="s">
        <v>272</v>
      </c>
      <c r="C72" s="6" t="s">
        <v>240</v>
      </c>
      <c r="D72" s="6" t="s">
        <v>273</v>
      </c>
      <c r="E72" s="6" t="s">
        <v>274</v>
      </c>
      <c r="F72" s="6" t="s">
        <v>262</v>
      </c>
    </row>
    <row r="73" spans="2:7" ht="21.75" customHeight="1">
      <c r="B73" s="16" t="s">
        <v>275</v>
      </c>
      <c r="C73" s="78"/>
      <c r="D73" s="78"/>
      <c r="E73" s="78"/>
      <c r="F73" s="78"/>
    </row>
    <row r="74" spans="2:7" ht="21.75" customHeight="1">
      <c r="B74" s="20" t="s">
        <v>276</v>
      </c>
      <c r="C74" s="80"/>
      <c r="D74" s="80"/>
      <c r="E74" s="80"/>
      <c r="F74" s="80"/>
    </row>
    <row r="75" spans="2:7" ht="21.75" customHeight="1">
      <c r="B75" s="16" t="s">
        <v>277</v>
      </c>
      <c r="C75" s="78"/>
      <c r="D75" s="78"/>
      <c r="E75" s="78"/>
      <c r="F75" s="78"/>
    </row>
    <row r="76" spans="2:7" ht="21.75" customHeight="1">
      <c r="B76" s="20" t="s">
        <v>278</v>
      </c>
      <c r="C76" s="80"/>
      <c r="D76" s="80"/>
      <c r="E76" s="80"/>
      <c r="F76" s="80"/>
    </row>
    <row r="77" spans="2:7" ht="21.75" customHeight="1">
      <c r="B77" s="16" t="s">
        <v>279</v>
      </c>
      <c r="C77" s="78"/>
      <c r="D77" s="78"/>
      <c r="E77" s="78"/>
      <c r="F77" s="78"/>
    </row>
    <row r="78" spans="2:7" ht="21.75" customHeight="1">
      <c r="B78" s="20" t="s">
        <v>280</v>
      </c>
      <c r="C78" s="80"/>
      <c r="D78" s="80"/>
      <c r="E78" s="80"/>
      <c r="F78" s="80"/>
    </row>
    <row r="79" spans="2:7" ht="21.75" customHeight="1">
      <c r="B79" s="16" t="s">
        <v>281</v>
      </c>
      <c r="C79" s="78"/>
      <c r="D79" s="78"/>
      <c r="E79" s="78"/>
      <c r="F79" s="78"/>
    </row>
    <row r="81" spans="2:7" ht="24" customHeight="1">
      <c r="B81" s="170" t="s">
        <v>282</v>
      </c>
      <c r="C81" s="170"/>
      <c r="D81" s="170"/>
      <c r="E81" s="170"/>
      <c r="F81" s="170"/>
      <c r="G81" s="170"/>
    </row>
    <row r="82" spans="2:7" ht="27.75" customHeight="1">
      <c r="B82" s="6" t="s">
        <v>153</v>
      </c>
      <c r="C82" s="6" t="s">
        <v>283</v>
      </c>
      <c r="D82" s="6" t="s">
        <v>284</v>
      </c>
      <c r="E82" s="6" t="s">
        <v>285</v>
      </c>
      <c r="F82" s="6" t="s">
        <v>286</v>
      </c>
      <c r="G82" s="6" t="s">
        <v>287</v>
      </c>
    </row>
    <row r="83" spans="2:7" ht="25.5" customHeight="1">
      <c r="B83" s="82" t="s">
        <v>288</v>
      </c>
      <c r="C83" s="30"/>
      <c r="D83" s="16" t="s">
        <v>289</v>
      </c>
      <c r="E83" s="83"/>
      <c r="F83" s="45"/>
      <c r="G83" s="5"/>
    </row>
    <row r="84" spans="2:7" ht="25.5" customHeight="1">
      <c r="B84" s="84" t="s">
        <v>290</v>
      </c>
      <c r="C84" s="30"/>
      <c r="D84" s="20" t="s">
        <v>291</v>
      </c>
      <c r="E84" s="83"/>
      <c r="F84" s="45"/>
      <c r="G84" s="5"/>
    </row>
    <row r="85" spans="2:7" ht="25.5" customHeight="1">
      <c r="B85" s="82" t="s">
        <v>292</v>
      </c>
      <c r="C85" s="30"/>
      <c r="D85" s="16" t="s">
        <v>293</v>
      </c>
      <c r="E85" s="83"/>
      <c r="F85" s="45"/>
      <c r="G85" s="5"/>
    </row>
    <row r="86" spans="2:7" ht="25.5" customHeight="1">
      <c r="B86" s="84" t="s">
        <v>294</v>
      </c>
      <c r="C86" s="30"/>
      <c r="D86" s="20" t="s">
        <v>295</v>
      </c>
      <c r="E86" s="83"/>
      <c r="F86" s="45"/>
      <c r="G86" s="5"/>
    </row>
    <row r="87" spans="2:7" ht="25.5" customHeight="1">
      <c r="B87" s="82" t="s">
        <v>296</v>
      </c>
      <c r="C87" s="30"/>
      <c r="D87" s="16" t="s">
        <v>297</v>
      </c>
      <c r="E87" s="83"/>
      <c r="F87" s="45"/>
      <c r="G87" s="5"/>
    </row>
    <row r="88" spans="2:7" ht="25.5" customHeight="1">
      <c r="B88" s="84" t="s">
        <v>298</v>
      </c>
      <c r="C88" s="30"/>
      <c r="D88" s="20" t="s">
        <v>299</v>
      </c>
      <c r="E88" s="83"/>
      <c r="F88" s="45"/>
      <c r="G88" s="5"/>
    </row>
    <row r="89" spans="2:7" ht="25.5" customHeight="1">
      <c r="B89" s="82" t="s">
        <v>300</v>
      </c>
      <c r="C89" s="30"/>
      <c r="D89" s="16" t="s">
        <v>301</v>
      </c>
      <c r="E89" s="83"/>
      <c r="F89" s="45"/>
      <c r="G89" s="5"/>
    </row>
    <row r="91" spans="2:7" ht="24" customHeight="1">
      <c r="B91" s="170" t="s">
        <v>302</v>
      </c>
      <c r="C91" s="170"/>
      <c r="D91" s="170"/>
      <c r="E91" s="170"/>
      <c r="F91" s="170"/>
      <c r="G91" s="170"/>
    </row>
    <row r="92" spans="2:7" ht="21.75" customHeight="1">
      <c r="B92" s="6" t="s">
        <v>303</v>
      </c>
      <c r="C92" s="6" t="s">
        <v>304</v>
      </c>
    </row>
    <row r="93" spans="2:7" ht="21.75" customHeight="1">
      <c r="B93" s="14" t="s">
        <v>305</v>
      </c>
      <c r="C93" s="107"/>
      <c r="D93" s="107"/>
      <c r="E93" s="107"/>
      <c r="F93" s="107"/>
      <c r="G93" s="107"/>
    </row>
    <row r="94" spans="2:7" ht="21.75" customHeight="1">
      <c r="B94" s="18" t="s">
        <v>306</v>
      </c>
      <c r="C94" s="107"/>
      <c r="D94" s="107"/>
      <c r="E94" s="107"/>
      <c r="F94" s="107"/>
      <c r="G94" s="107"/>
    </row>
    <row r="95" spans="2:7" ht="21.75" customHeight="1">
      <c r="B95" s="14" t="s">
        <v>307</v>
      </c>
      <c r="C95" s="107"/>
      <c r="D95" s="107"/>
      <c r="E95" s="107"/>
      <c r="F95" s="107"/>
      <c r="G95" s="107"/>
    </row>
    <row r="96" spans="2:7" ht="21.75" customHeight="1">
      <c r="B96" s="18" t="s">
        <v>308</v>
      </c>
      <c r="C96" s="107"/>
      <c r="D96" s="107"/>
      <c r="E96" s="107"/>
      <c r="F96" s="107"/>
      <c r="G96" s="107"/>
    </row>
    <row r="97" spans="2:7" ht="21.75" customHeight="1">
      <c r="B97" s="14" t="s">
        <v>309</v>
      </c>
      <c r="C97" s="107"/>
      <c r="D97" s="107"/>
      <c r="E97" s="107"/>
      <c r="F97" s="107"/>
      <c r="G97" s="107"/>
    </row>
    <row r="98" spans="2:7" ht="21.75" customHeight="1">
      <c r="B98" s="18" t="s">
        <v>310</v>
      </c>
      <c r="C98" s="107"/>
      <c r="D98" s="107"/>
      <c r="E98" s="107"/>
      <c r="F98" s="107"/>
      <c r="G98" s="107"/>
    </row>
    <row r="99" spans="2:7" ht="21.75" customHeight="1">
      <c r="B99" s="14" t="s">
        <v>311</v>
      </c>
      <c r="C99" s="107"/>
      <c r="D99" s="107"/>
      <c r="E99" s="107"/>
      <c r="F99" s="107"/>
      <c r="G99" s="107"/>
    </row>
    <row r="101" spans="2:7" ht="24" customHeight="1">
      <c r="B101" s="170" t="s">
        <v>312</v>
      </c>
      <c r="C101" s="170"/>
      <c r="D101" s="170"/>
      <c r="E101" s="170"/>
      <c r="F101" s="170"/>
      <c r="G101" s="170"/>
    </row>
    <row r="102" spans="2:7" ht="21.75" customHeight="1">
      <c r="B102" s="6" t="s">
        <v>313</v>
      </c>
      <c r="C102" s="6" t="s">
        <v>314</v>
      </c>
      <c r="D102" s="6" t="s">
        <v>315</v>
      </c>
      <c r="E102" s="6" t="s">
        <v>316</v>
      </c>
      <c r="F102" s="6" t="s">
        <v>317</v>
      </c>
    </row>
    <row r="103" spans="2:7" ht="21.75" customHeight="1">
      <c r="B103" s="77" t="s">
        <v>318</v>
      </c>
      <c r="C103" s="78"/>
      <c r="D103" s="78"/>
      <c r="E103" s="16"/>
      <c r="F103" s="78"/>
    </row>
    <row r="104" spans="2:7" ht="21.75" customHeight="1">
      <c r="B104" s="79" t="s">
        <v>319</v>
      </c>
      <c r="C104" s="80"/>
      <c r="D104" s="80"/>
      <c r="E104" s="20"/>
      <c r="F104" s="80"/>
    </row>
    <row r="105" spans="2:7" ht="21.75" customHeight="1">
      <c r="B105" s="77" t="s">
        <v>320</v>
      </c>
      <c r="C105" s="78"/>
      <c r="D105" s="78"/>
      <c r="E105" s="16"/>
      <c r="F105" s="78"/>
    </row>
    <row r="106" spans="2:7" ht="21.75" customHeight="1">
      <c r="B106" s="79" t="s">
        <v>321</v>
      </c>
      <c r="C106" s="80"/>
      <c r="D106" s="80"/>
      <c r="E106" s="20"/>
      <c r="F106" s="80"/>
    </row>
    <row r="107" spans="2:7" ht="21.75" customHeight="1">
      <c r="B107" s="77" t="s">
        <v>322</v>
      </c>
      <c r="C107" s="78"/>
      <c r="D107" s="78"/>
      <c r="E107" s="16"/>
      <c r="F107" s="78"/>
    </row>
    <row r="108" spans="2:7" ht="21.75" customHeight="1">
      <c r="B108" s="79" t="s">
        <v>323</v>
      </c>
      <c r="C108" s="80"/>
      <c r="D108" s="80"/>
      <c r="E108" s="20"/>
      <c r="F108" s="80"/>
    </row>
    <row r="109" spans="2:7" ht="21.75" customHeight="1">
      <c r="B109" s="77" t="s">
        <v>324</v>
      </c>
      <c r="C109" s="78"/>
      <c r="D109" s="78"/>
      <c r="E109" s="16"/>
      <c r="F109" s="78"/>
    </row>
    <row r="110" spans="2:7" ht="21.75" customHeight="1">
      <c r="B110" s="79" t="s">
        <v>325</v>
      </c>
      <c r="C110" s="80"/>
      <c r="D110" s="80"/>
      <c r="E110" s="20"/>
      <c r="F110" s="80"/>
    </row>
    <row r="111" spans="2:7" ht="21.75" customHeight="1">
      <c r="B111" s="77" t="s">
        <v>326</v>
      </c>
      <c r="C111" s="78"/>
      <c r="D111" s="78"/>
      <c r="E111" s="16"/>
      <c r="F111" s="78"/>
    </row>
    <row r="112" spans="2:7" ht="21.75" customHeight="1">
      <c r="B112" s="79" t="s">
        <v>327</v>
      </c>
      <c r="C112" s="80"/>
      <c r="D112" s="80"/>
      <c r="E112" s="20"/>
      <c r="F112" s="80"/>
    </row>
    <row r="114" spans="2:7" ht="24" customHeight="1">
      <c r="B114" s="170" t="s">
        <v>328</v>
      </c>
      <c r="C114" s="170"/>
      <c r="D114" s="170"/>
      <c r="E114" s="170"/>
      <c r="F114" s="170"/>
      <c r="G114" s="170"/>
    </row>
    <row r="115" spans="2:7" ht="21.75" customHeight="1">
      <c r="B115" s="6" t="s">
        <v>329</v>
      </c>
      <c r="C115" s="6" t="s">
        <v>330</v>
      </c>
    </row>
    <row r="116" spans="2:7" ht="21.75" customHeight="1">
      <c r="B116" s="14" t="s">
        <v>331</v>
      </c>
      <c r="C116" s="107"/>
      <c r="D116" s="107"/>
      <c r="E116" s="107"/>
      <c r="F116" s="107"/>
      <c r="G116" s="107"/>
    </row>
    <row r="117" spans="2:7" ht="21.75" customHeight="1">
      <c r="B117" s="18" t="s">
        <v>332</v>
      </c>
      <c r="C117" s="107"/>
      <c r="D117" s="107"/>
      <c r="E117" s="107"/>
      <c r="F117" s="107"/>
      <c r="G117" s="107"/>
    </row>
    <row r="118" spans="2:7" ht="21.75" customHeight="1">
      <c r="B118" s="14" t="s">
        <v>333</v>
      </c>
      <c r="C118" s="107"/>
      <c r="D118" s="107"/>
      <c r="E118" s="107"/>
      <c r="F118" s="107"/>
      <c r="G118" s="107"/>
    </row>
    <row r="119" spans="2:7" ht="21.75" customHeight="1">
      <c r="B119" s="18" t="s">
        <v>334</v>
      </c>
      <c r="C119" s="107"/>
      <c r="D119" s="107"/>
      <c r="E119" s="107"/>
      <c r="F119" s="107"/>
      <c r="G119" s="107"/>
    </row>
    <row r="120" spans="2:7" ht="21.75" customHeight="1">
      <c r="B120" s="14" t="s">
        <v>335</v>
      </c>
      <c r="C120" s="107"/>
      <c r="D120" s="107"/>
      <c r="E120" s="107"/>
      <c r="F120" s="107"/>
      <c r="G120" s="107"/>
    </row>
    <row r="121" spans="2:7" ht="21.75" customHeight="1">
      <c r="B121" s="18" t="s">
        <v>336</v>
      </c>
      <c r="C121" s="107"/>
      <c r="D121" s="107"/>
      <c r="E121" s="107"/>
      <c r="F121" s="107"/>
      <c r="G121" s="107"/>
    </row>
    <row r="122" spans="2:7" ht="21.75" customHeight="1">
      <c r="B122" s="14" t="s">
        <v>337</v>
      </c>
      <c r="C122" s="107"/>
      <c r="D122" s="107"/>
      <c r="E122" s="107"/>
      <c r="F122" s="107"/>
      <c r="G122" s="107"/>
    </row>
    <row r="124" spans="2:7" ht="24" customHeight="1">
      <c r="B124" s="170" t="s">
        <v>338</v>
      </c>
      <c r="C124" s="170"/>
      <c r="D124" s="170"/>
      <c r="E124" s="170"/>
      <c r="F124" s="170"/>
      <c r="G124" s="170"/>
    </row>
    <row r="125" spans="2:7" ht="21.75" customHeight="1">
      <c r="B125" s="6" t="s">
        <v>339</v>
      </c>
      <c r="C125" s="6" t="s">
        <v>340</v>
      </c>
    </row>
    <row r="126" spans="2:7" ht="30" customHeight="1">
      <c r="B126" s="85" t="s">
        <v>341</v>
      </c>
      <c r="C126" s="107"/>
      <c r="D126" s="107"/>
      <c r="E126" s="107"/>
      <c r="F126" s="107"/>
      <c r="G126" s="107"/>
    </row>
    <row r="127" spans="2:7" ht="30" customHeight="1">
      <c r="B127" s="86" t="s">
        <v>342</v>
      </c>
      <c r="C127" s="107"/>
      <c r="D127" s="107"/>
      <c r="E127" s="107"/>
      <c r="F127" s="107"/>
      <c r="G127" s="107"/>
    </row>
    <row r="128" spans="2:7" ht="30" customHeight="1">
      <c r="B128" s="85" t="s">
        <v>343</v>
      </c>
      <c r="C128" s="107"/>
      <c r="D128" s="107"/>
      <c r="E128" s="107"/>
      <c r="F128" s="107"/>
      <c r="G128" s="107"/>
    </row>
    <row r="129" spans="2:7" ht="30" customHeight="1">
      <c r="B129" s="86" t="s">
        <v>344</v>
      </c>
      <c r="C129" s="107"/>
      <c r="D129" s="107"/>
      <c r="E129" s="107"/>
      <c r="F129" s="107"/>
      <c r="G129" s="107"/>
    </row>
    <row r="130" spans="2:7" ht="30" customHeight="1">
      <c r="B130" s="85" t="s">
        <v>345</v>
      </c>
      <c r="C130" s="107"/>
      <c r="D130" s="107"/>
      <c r="E130" s="107"/>
      <c r="F130" s="107"/>
      <c r="G130" s="107"/>
    </row>
    <row r="131" spans="2:7" ht="30" customHeight="1">
      <c r="B131" s="86" t="s">
        <v>346</v>
      </c>
      <c r="C131" s="107"/>
      <c r="D131" s="107"/>
      <c r="E131" s="107"/>
      <c r="F131" s="107"/>
      <c r="G131" s="107"/>
    </row>
    <row r="132" spans="2:7" ht="30" customHeight="1">
      <c r="B132" s="85" t="s">
        <v>347</v>
      </c>
      <c r="C132" s="107"/>
      <c r="D132" s="107"/>
      <c r="E132" s="107"/>
      <c r="F132" s="107"/>
      <c r="G132" s="107"/>
    </row>
  </sheetData>
  <mergeCells count="46">
    <mergeCell ref="C132:G132"/>
    <mergeCell ref="C127:G127"/>
    <mergeCell ref="C128:G128"/>
    <mergeCell ref="C129:G129"/>
    <mergeCell ref="C130:G130"/>
    <mergeCell ref="C131:G131"/>
    <mergeCell ref="C120:G120"/>
    <mergeCell ref="C121:G121"/>
    <mergeCell ref="C122:G122"/>
    <mergeCell ref="B124:G124"/>
    <mergeCell ref="C126:G126"/>
    <mergeCell ref="B114:G114"/>
    <mergeCell ref="C116:G116"/>
    <mergeCell ref="C117:G117"/>
    <mergeCell ref="C118:G118"/>
    <mergeCell ref="C119:G119"/>
    <mergeCell ref="C96:G96"/>
    <mergeCell ref="C97:G97"/>
    <mergeCell ref="C98:G98"/>
    <mergeCell ref="C99:G99"/>
    <mergeCell ref="B101:G101"/>
    <mergeCell ref="B81:G81"/>
    <mergeCell ref="B91:G91"/>
    <mergeCell ref="C93:G93"/>
    <mergeCell ref="C94:G94"/>
    <mergeCell ref="C95:G95"/>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B00-000003000000}">
      <formula1>"Alta,Media,Baja,Sin mejora"</formula1>
      <formula2>0</formula2>
    </dataValidation>
    <dataValidation type="list" allowBlank="1" sqref="C83:C89" xr:uid="{00000000-0002-0000-0B00-000004000000}">
      <formula1>"Sí,No,Parcial"</formula1>
      <formula2>0</formula2>
    </dataValidation>
    <dataValidation type="date" allowBlank="1" showInputMessage="1" showErrorMessage="1" sqref="C10:E10" xr:uid="{82994322-6CD3-4667-8623-4A80E23E1433}">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xr:uid="{00000000-0002-0000-0B00-000000000000}">
          <x14:formula1>
            <xm:f>Listas!$H$5:$H$9</xm:f>
          </x14:formula1>
          <x14:formula2>
            <xm:f>0</xm:f>
          </x14:formula2>
          <xm:sqref>C12</xm:sqref>
        </x14:dataValidation>
        <x14:dataValidation type="list" allowBlank="1" xr:uid="{00000000-0002-0000-0B00-000001000000}">
          <x14:formula1>
            <xm:f>Listas!$D$5:$D$10</xm:f>
          </x14:formula1>
          <x14:formula2>
            <xm:f>0</xm:f>
          </x14:formula2>
          <xm:sqref>C14</xm:sqref>
        </x14:dataValidation>
        <x14:dataValidation type="list" allowBlank="1" xr:uid="{00000000-0002-0000-0B00-000002000000}">
          <x14:formula1>
            <xm:f>Listas!$B$5:$B$8</xm:f>
          </x14:formula1>
          <x14:formula2>
            <xm:f>0</xm:f>
          </x14:formula2>
          <xm:sqref>D19:D23 D26:D32 D35:D37 D40:D41</xm:sqref>
        </x14:dataValidation>
        <x14:dataValidation type="list" allowBlank="1" xr:uid="{00000000-0002-0000-0B00-000005000000}">
          <x14:formula1>
            <xm:f>Listas!$F$5:$F$7</xm:f>
          </x14:formula1>
          <x14:formula2>
            <xm:f>0</xm:f>
          </x14:formula2>
          <xm:sqref>F83:F89</xm:sqref>
        </x14:dataValidation>
        <x14:dataValidation type="list" allowBlank="1" xr:uid="{00000000-0002-0000-0B00-000006000000}">
          <x14:formula1>
            <xm:f>Listas!$L$5:$L$7</xm:f>
          </x14:formula1>
          <x14:formula2>
            <xm:f>0</xm:f>
          </x14:formula2>
          <xm:sqref>C130</xm:sqref>
        </x14:dataValidation>
        <x14:dataValidation type="list" allowBlank="1" showInputMessage="1" showErrorMessage="1" xr:uid="{7C0C6023-EAAE-4B44-89D9-B88A2D63CDFF}">
          <x14:formula1>
            <xm:f>Listas!$N$5:$N$10</xm:f>
          </x14:formula1>
          <xm:sqref>C5:E5</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32"/>
  <sheetViews>
    <sheetView showGridLines="0" zoomScaleNormal="100" workbookViewId="0">
      <pane xSplit="2" ySplit="2" topLeftCell="C3" activePane="bottomRight" state="frozen"/>
      <selection pane="bottomRight" activeCell="C13" sqref="C13:E13"/>
      <selection pane="bottomLeft" activeCell="A3" sqref="A3"/>
      <selection pane="topRight" activeCell="C1" sqref="C1"/>
    </sheetView>
  </sheetViews>
  <sheetFormatPr defaultColWidth="8.5703125" defaultRowHeight="14.45"/>
  <cols>
    <col min="1" max="1" width="3" style="1" customWidth="1"/>
    <col min="2" max="2" width="29" style="1" customWidth="1"/>
    <col min="3" max="3" width="36" style="1" customWidth="1"/>
    <col min="4" max="4" width="23.7109375" style="1" customWidth="1"/>
    <col min="5" max="5" width="40" style="1" customWidth="1"/>
    <col min="6" max="6" width="14" style="1" customWidth="1"/>
    <col min="7" max="7" width="20" style="1" customWidth="1"/>
    <col min="8" max="9" width="8.5703125" style="1"/>
    <col min="10" max="10" width="28.28515625" style="1" customWidth="1"/>
    <col min="11" max="11" width="36.7109375" style="1" customWidth="1"/>
    <col min="12" max="16384" width="8.5703125" style="1"/>
  </cols>
  <sheetData>
    <row r="1" spans="2:11" ht="7.5" customHeight="1"/>
    <row r="2" spans="2:11" ht="30" customHeight="1">
      <c r="B2" s="173" t="s">
        <v>382</v>
      </c>
      <c r="C2" s="173"/>
      <c r="D2" s="173"/>
      <c r="E2" s="173"/>
      <c r="F2" s="173"/>
      <c r="G2" s="173"/>
    </row>
    <row r="3" spans="2:11" ht="15.75">
      <c r="I3" s="100" t="s">
        <v>48</v>
      </c>
      <c r="J3" s="100"/>
      <c r="K3" s="100"/>
    </row>
    <row r="4" spans="2:11" ht="24" customHeight="1">
      <c r="B4" s="170" t="s">
        <v>180</v>
      </c>
      <c r="C4" s="170"/>
      <c r="D4" s="170"/>
      <c r="E4" s="170"/>
      <c r="F4" s="170"/>
      <c r="G4" s="170"/>
      <c r="I4" s="6" t="s">
        <v>49</v>
      </c>
      <c r="J4" s="6" t="s">
        <v>50</v>
      </c>
      <c r="K4" s="6" t="s">
        <v>22</v>
      </c>
    </row>
    <row r="5" spans="2:11" ht="19.5" customHeight="1">
      <c r="B5" s="70" t="s">
        <v>181</v>
      </c>
      <c r="C5" s="171" t="s">
        <v>106</v>
      </c>
      <c r="D5" s="172"/>
      <c r="E5" s="172"/>
      <c r="I5" s="21" t="s">
        <v>51</v>
      </c>
      <c r="J5" s="22" t="s">
        <v>52</v>
      </c>
      <c r="K5" s="101" t="s">
        <v>53</v>
      </c>
    </row>
    <row r="6" spans="2:11" ht="19.5" customHeight="1">
      <c r="B6" s="70" t="s">
        <v>182</v>
      </c>
      <c r="C6" s="104" t="s">
        <v>383</v>
      </c>
      <c r="D6" s="104"/>
      <c r="E6" s="104"/>
      <c r="I6" s="23" t="s">
        <v>54</v>
      </c>
      <c r="J6" s="22" t="s">
        <v>55</v>
      </c>
      <c r="K6" s="101" t="s">
        <v>56</v>
      </c>
    </row>
    <row r="7" spans="2:11" ht="19.5" customHeight="1">
      <c r="B7" s="70" t="s">
        <v>184</v>
      </c>
      <c r="C7" s="104"/>
      <c r="D7" s="104"/>
      <c r="E7" s="104"/>
      <c r="I7" s="24" t="s">
        <v>57</v>
      </c>
      <c r="J7" s="22" t="s">
        <v>58</v>
      </c>
      <c r="K7" s="101" t="s">
        <v>59</v>
      </c>
    </row>
    <row r="8" spans="2:11" ht="19.5" customHeight="1">
      <c r="B8" s="70" t="s">
        <v>185</v>
      </c>
      <c r="C8" s="104"/>
      <c r="D8" s="104"/>
      <c r="E8" s="104"/>
      <c r="I8" s="25" t="s">
        <v>60</v>
      </c>
      <c r="J8" s="22" t="s">
        <v>61</v>
      </c>
      <c r="K8" s="101" t="s">
        <v>62</v>
      </c>
    </row>
    <row r="9" spans="2:11" ht="19.5" customHeight="1">
      <c r="B9" s="70" t="s">
        <v>186</v>
      </c>
      <c r="C9" s="104"/>
      <c r="D9" s="104"/>
      <c r="E9" s="104"/>
      <c r="I9" s="26" t="s">
        <v>63</v>
      </c>
      <c r="J9" s="22" t="s">
        <v>64</v>
      </c>
      <c r="K9" s="101" t="s">
        <v>65</v>
      </c>
    </row>
    <row r="10" spans="2:11" ht="19.5" customHeight="1">
      <c r="B10" s="70" t="s">
        <v>187</v>
      </c>
      <c r="C10" s="174"/>
      <c r="D10" s="174"/>
      <c r="E10" s="174"/>
      <c r="I10" s="27" t="s">
        <v>66</v>
      </c>
      <c r="J10" s="22" t="s">
        <v>67</v>
      </c>
      <c r="K10" s="101" t="s">
        <v>68</v>
      </c>
    </row>
    <row r="11" spans="2:11" ht="19.5" customHeight="1">
      <c r="B11" s="70" t="s">
        <v>188</v>
      </c>
      <c r="C11" s="104"/>
      <c r="D11" s="104"/>
      <c r="E11" s="104"/>
    </row>
    <row r="12" spans="2:11" ht="19.5" customHeight="1">
      <c r="B12" s="70" t="s">
        <v>189</v>
      </c>
      <c r="C12" s="104"/>
      <c r="D12" s="104"/>
      <c r="E12" s="104"/>
    </row>
    <row r="13" spans="2:11" ht="19.5" customHeight="1">
      <c r="B13" s="70" t="s">
        <v>190</v>
      </c>
      <c r="C13" s="104"/>
      <c r="D13" s="104"/>
      <c r="E13" s="104"/>
    </row>
    <row r="14" spans="2:11" ht="19.5" customHeight="1">
      <c r="B14" s="70" t="s">
        <v>191</v>
      </c>
      <c r="C14" s="71"/>
      <c r="D14" s="72" t="s">
        <v>192</v>
      </c>
    </row>
    <row r="16" spans="2:11" ht="24" customHeight="1">
      <c r="B16" s="170" t="s">
        <v>193</v>
      </c>
      <c r="C16" s="170"/>
      <c r="D16" s="170"/>
      <c r="E16" s="170"/>
      <c r="F16" s="170"/>
      <c r="G16" s="170"/>
    </row>
    <row r="17" spans="2:7" ht="27.75" customHeight="1">
      <c r="B17" s="6" t="s">
        <v>19</v>
      </c>
      <c r="C17" s="6" t="s">
        <v>194</v>
      </c>
      <c r="D17" s="6" t="s">
        <v>195</v>
      </c>
      <c r="E17" s="6" t="s">
        <v>196</v>
      </c>
      <c r="F17" s="6" t="s">
        <v>197</v>
      </c>
      <c r="G17" s="6" t="s">
        <v>198</v>
      </c>
    </row>
    <row r="18" spans="2:7" ht="21.75" customHeight="1">
      <c r="B18" s="106" t="s">
        <v>199</v>
      </c>
      <c r="C18" s="106"/>
      <c r="D18" s="106"/>
      <c r="E18" s="106"/>
      <c r="F18" s="106"/>
      <c r="G18" s="106"/>
    </row>
    <row r="19" spans="2:7" ht="27.75" customHeight="1">
      <c r="B19" s="73" t="s">
        <v>200</v>
      </c>
      <c r="C19" s="20" t="s">
        <v>201</v>
      </c>
      <c r="D19" s="30"/>
      <c r="E19" s="5"/>
      <c r="F19" s="45"/>
      <c r="G19" s="45"/>
    </row>
    <row r="20" spans="2:7" ht="27.75" customHeight="1">
      <c r="B20" s="74" t="s">
        <v>202</v>
      </c>
      <c r="C20" s="16" t="s">
        <v>203</v>
      </c>
      <c r="D20" s="30"/>
      <c r="E20" s="5"/>
      <c r="F20" s="45"/>
      <c r="G20" s="45"/>
    </row>
    <row r="21" spans="2:7" ht="27.75" customHeight="1">
      <c r="B21" s="73" t="s">
        <v>204</v>
      </c>
      <c r="C21" s="20" t="s">
        <v>205</v>
      </c>
      <c r="D21" s="30"/>
      <c r="E21" s="5"/>
      <c r="F21" s="45"/>
      <c r="G21" s="45"/>
    </row>
    <row r="22" spans="2:7" ht="27.75" customHeight="1">
      <c r="B22" s="74" t="s">
        <v>206</v>
      </c>
      <c r="C22" s="16" t="s">
        <v>207</v>
      </c>
      <c r="D22" s="30"/>
      <c r="E22" s="5"/>
      <c r="F22" s="45"/>
      <c r="G22" s="45"/>
    </row>
    <row r="23" spans="2:7" ht="27.75" customHeight="1">
      <c r="B23" s="73" t="s">
        <v>208</v>
      </c>
      <c r="C23" s="20" t="s">
        <v>209</v>
      </c>
      <c r="D23" s="30"/>
      <c r="E23" s="5"/>
      <c r="F23" s="45"/>
      <c r="G23" s="45"/>
    </row>
    <row r="25" spans="2:7" ht="21.75" customHeight="1">
      <c r="B25" s="106" t="s">
        <v>210</v>
      </c>
      <c r="C25" s="106"/>
      <c r="D25" s="106"/>
      <c r="E25" s="106"/>
      <c r="F25" s="106"/>
      <c r="G25" s="106"/>
    </row>
    <row r="26" spans="2:7" ht="27.75" customHeight="1">
      <c r="B26" s="74" t="s">
        <v>211</v>
      </c>
      <c r="C26" s="16" t="s">
        <v>212</v>
      </c>
      <c r="D26" s="30"/>
      <c r="E26" s="5"/>
      <c r="F26" s="45"/>
      <c r="G26" s="45"/>
    </row>
    <row r="27" spans="2:7" ht="27.75" customHeight="1">
      <c r="B27" s="73" t="s">
        <v>213</v>
      </c>
      <c r="C27" s="20" t="s">
        <v>214</v>
      </c>
      <c r="D27" s="30"/>
      <c r="E27" s="5"/>
      <c r="F27" s="45"/>
      <c r="G27" s="45"/>
    </row>
    <row r="28" spans="2:7" ht="27.75" customHeight="1">
      <c r="B28" s="74" t="s">
        <v>215</v>
      </c>
      <c r="C28" s="16" t="s">
        <v>216</v>
      </c>
      <c r="D28" s="30"/>
      <c r="E28" s="5"/>
      <c r="F28" s="45"/>
      <c r="G28" s="45"/>
    </row>
    <row r="29" spans="2:7" ht="27.75" customHeight="1">
      <c r="B29" s="73" t="s">
        <v>217</v>
      </c>
      <c r="C29" s="20" t="s">
        <v>218</v>
      </c>
      <c r="D29" s="30"/>
      <c r="E29" s="5"/>
      <c r="F29" s="45"/>
      <c r="G29" s="45"/>
    </row>
    <row r="30" spans="2:7" ht="27.75" customHeight="1">
      <c r="B30" s="74" t="s">
        <v>219</v>
      </c>
      <c r="C30" s="16" t="s">
        <v>220</v>
      </c>
      <c r="D30" s="30"/>
      <c r="E30" s="5"/>
      <c r="F30" s="45"/>
      <c r="G30" s="45"/>
    </row>
    <row r="31" spans="2:7" ht="27.75" customHeight="1">
      <c r="B31" s="73" t="s">
        <v>221</v>
      </c>
      <c r="C31" s="20" t="s">
        <v>222</v>
      </c>
      <c r="D31" s="30"/>
      <c r="E31" s="5"/>
      <c r="F31" s="45"/>
      <c r="G31" s="45"/>
    </row>
    <row r="32" spans="2:7" ht="27.75" customHeight="1">
      <c r="B32" s="74" t="s">
        <v>223</v>
      </c>
      <c r="C32" s="16" t="s">
        <v>224</v>
      </c>
      <c r="D32" s="30"/>
      <c r="E32" s="5"/>
      <c r="F32" s="45"/>
      <c r="G32" s="45"/>
    </row>
    <row r="34" spans="2:7" ht="21.75" customHeight="1">
      <c r="B34" s="106" t="s">
        <v>225</v>
      </c>
      <c r="C34" s="106"/>
      <c r="D34" s="106"/>
      <c r="E34" s="106"/>
      <c r="F34" s="106"/>
      <c r="G34" s="106"/>
    </row>
    <row r="35" spans="2:7" ht="27.75" customHeight="1">
      <c r="B35" s="73" t="s">
        <v>226</v>
      </c>
      <c r="C35" s="20" t="s">
        <v>227</v>
      </c>
      <c r="D35" s="30"/>
      <c r="E35" s="5"/>
      <c r="F35" s="45"/>
      <c r="G35" s="45"/>
    </row>
    <row r="36" spans="2:7" ht="27.75" customHeight="1">
      <c r="B36" s="74" t="s">
        <v>228</v>
      </c>
      <c r="C36" s="16" t="s">
        <v>229</v>
      </c>
      <c r="D36" s="30"/>
      <c r="E36" s="5"/>
      <c r="F36" s="45"/>
      <c r="G36" s="45"/>
    </row>
    <row r="37" spans="2:7" ht="27.75" customHeight="1">
      <c r="B37" s="73" t="s">
        <v>230</v>
      </c>
      <c r="C37" s="20" t="s">
        <v>231</v>
      </c>
      <c r="D37" s="30"/>
      <c r="E37" s="5"/>
      <c r="F37" s="45"/>
      <c r="G37" s="45"/>
    </row>
    <row r="39" spans="2:7" ht="21.75" customHeight="1">
      <c r="B39" s="106" t="s">
        <v>232</v>
      </c>
      <c r="C39" s="106"/>
      <c r="D39" s="106"/>
      <c r="E39" s="106"/>
      <c r="F39" s="106"/>
      <c r="G39" s="106"/>
    </row>
    <row r="40" spans="2:7" ht="27.75" customHeight="1">
      <c r="B40" s="74" t="s">
        <v>233</v>
      </c>
      <c r="C40" s="16" t="s">
        <v>234</v>
      </c>
      <c r="D40" s="30"/>
      <c r="E40" s="5"/>
      <c r="F40" s="45"/>
      <c r="G40" s="45"/>
    </row>
    <row r="41" spans="2:7" ht="27.75" customHeight="1">
      <c r="B41" s="73" t="s">
        <v>235</v>
      </c>
      <c r="C41" s="20" t="s">
        <v>236</v>
      </c>
      <c r="D41" s="30"/>
      <c r="E41" s="5"/>
      <c r="F41" s="45"/>
      <c r="G41" s="45"/>
    </row>
    <row r="43" spans="2:7" ht="27.75" customHeight="1">
      <c r="B43" s="103" t="s">
        <v>237</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238</v>
      </c>
      <c r="C45" s="170"/>
      <c r="D45" s="170"/>
      <c r="E45" s="170"/>
      <c r="F45" s="170"/>
      <c r="G45" s="170"/>
    </row>
    <row r="46" spans="2:7" ht="21.75" customHeight="1">
      <c r="B46" s="6" t="s">
        <v>239</v>
      </c>
      <c r="C46" s="6" t="s">
        <v>240</v>
      </c>
      <c r="D46" s="6" t="s">
        <v>241</v>
      </c>
      <c r="E46" s="6" t="s">
        <v>242</v>
      </c>
      <c r="F46" s="6" t="s">
        <v>243</v>
      </c>
      <c r="G46" s="6" t="s">
        <v>244</v>
      </c>
    </row>
    <row r="47" spans="2:7" ht="21.75" customHeight="1">
      <c r="B47" s="77" t="s">
        <v>245</v>
      </c>
      <c r="C47" s="78"/>
      <c r="D47" s="78"/>
      <c r="E47" s="78"/>
      <c r="F47" s="78"/>
      <c r="G47" s="78"/>
    </row>
    <row r="48" spans="2:7" ht="21.75" customHeight="1">
      <c r="B48" s="79" t="s">
        <v>246</v>
      </c>
      <c r="C48" s="80"/>
      <c r="D48" s="80"/>
      <c r="E48" s="80"/>
      <c r="F48" s="80"/>
      <c r="G48" s="80"/>
    </row>
    <row r="49" spans="2:7" ht="21.75" customHeight="1">
      <c r="B49" s="77" t="s">
        <v>247</v>
      </c>
      <c r="C49" s="78"/>
      <c r="D49" s="78"/>
      <c r="E49" s="78"/>
      <c r="F49" s="78"/>
      <c r="G49" s="78"/>
    </row>
    <row r="50" spans="2:7" ht="21.75" customHeight="1">
      <c r="B50" s="79" t="s">
        <v>248</v>
      </c>
      <c r="C50" s="80"/>
      <c r="D50" s="80"/>
      <c r="E50" s="80"/>
      <c r="F50" s="80"/>
      <c r="G50" s="80"/>
    </row>
    <row r="51" spans="2:7" ht="21.75" customHeight="1">
      <c r="B51" s="77" t="s">
        <v>249</v>
      </c>
      <c r="C51" s="78"/>
      <c r="D51" s="78"/>
      <c r="E51" s="78"/>
      <c r="F51" s="78"/>
      <c r="G51" s="78"/>
    </row>
    <row r="52" spans="2:7" ht="21.75" customHeight="1">
      <c r="B52" s="79" t="s">
        <v>250</v>
      </c>
      <c r="C52" s="80"/>
      <c r="D52" s="80"/>
      <c r="E52" s="80"/>
      <c r="F52" s="80"/>
      <c r="G52" s="80"/>
    </row>
    <row r="53" spans="2:7" ht="21.75" customHeight="1">
      <c r="B53" s="77" t="s">
        <v>251</v>
      </c>
      <c r="C53" s="78"/>
      <c r="D53" s="78"/>
      <c r="E53" s="78"/>
      <c r="F53" s="78"/>
      <c r="G53" s="78"/>
    </row>
    <row r="54" spans="2:7" ht="21.75" customHeight="1">
      <c r="B54" s="79" t="s">
        <v>252</v>
      </c>
      <c r="C54" s="80"/>
      <c r="D54" s="80"/>
      <c r="E54" s="80"/>
      <c r="F54" s="80"/>
      <c r="G54" s="80"/>
    </row>
    <row r="55" spans="2:7" ht="21.75" customHeight="1">
      <c r="B55" s="77" t="s">
        <v>253</v>
      </c>
      <c r="C55" s="78"/>
      <c r="D55" s="78"/>
      <c r="E55" s="78"/>
      <c r="F55" s="78"/>
      <c r="G55" s="78"/>
    </row>
    <row r="56" spans="2:7" ht="21.75" customHeight="1">
      <c r="B56" s="79" t="s">
        <v>254</v>
      </c>
      <c r="C56" s="80"/>
      <c r="D56" s="80"/>
      <c r="E56" s="80"/>
      <c r="F56" s="80"/>
      <c r="G56" s="80"/>
    </row>
    <row r="57" spans="2:7" ht="21.75" customHeight="1">
      <c r="B57" s="77" t="s">
        <v>255</v>
      </c>
      <c r="C57" s="78"/>
      <c r="D57" s="78"/>
      <c r="E57" s="78"/>
      <c r="F57" s="78"/>
      <c r="G57" s="78"/>
    </row>
    <row r="58" spans="2:7" ht="21.75" customHeight="1">
      <c r="B58" s="79" t="s">
        <v>256</v>
      </c>
      <c r="C58" s="80"/>
      <c r="D58" s="80"/>
      <c r="E58" s="80"/>
      <c r="F58" s="80"/>
      <c r="G58" s="80"/>
    </row>
    <row r="60" spans="2:7" ht="24" customHeight="1">
      <c r="B60" s="170" t="s">
        <v>257</v>
      </c>
      <c r="C60" s="170"/>
      <c r="D60" s="170"/>
      <c r="E60" s="170"/>
      <c r="F60" s="170"/>
      <c r="G60" s="170"/>
    </row>
    <row r="61" spans="2:7" ht="21.75" customHeight="1">
      <c r="B61" s="6" t="s">
        <v>258</v>
      </c>
      <c r="C61" s="6" t="s">
        <v>259</v>
      </c>
      <c r="D61" s="6" t="s">
        <v>260</v>
      </c>
      <c r="E61" s="6" t="s">
        <v>261</v>
      </c>
      <c r="F61" s="6" t="s">
        <v>262</v>
      </c>
    </row>
    <row r="62" spans="2:7" ht="19.5" customHeight="1">
      <c r="B62" s="77" t="s">
        <v>263</v>
      </c>
      <c r="C62" s="78"/>
      <c r="D62" s="78"/>
      <c r="E62" s="78"/>
      <c r="F62" s="78"/>
    </row>
    <row r="63" spans="2:7" ht="19.5" customHeight="1">
      <c r="B63" s="79" t="s">
        <v>264</v>
      </c>
      <c r="C63" s="80"/>
      <c r="D63" s="80"/>
      <c r="E63" s="80"/>
      <c r="F63" s="80"/>
    </row>
    <row r="64" spans="2:7" ht="19.5" customHeight="1">
      <c r="B64" s="77" t="s">
        <v>265</v>
      </c>
      <c r="C64" s="78"/>
      <c r="D64" s="78"/>
      <c r="E64" s="78"/>
      <c r="F64" s="78"/>
    </row>
    <row r="65" spans="2:7" ht="19.5" customHeight="1">
      <c r="B65" s="79" t="s">
        <v>266</v>
      </c>
      <c r="C65" s="80"/>
      <c r="D65" s="80"/>
      <c r="E65" s="80"/>
      <c r="F65" s="80"/>
    </row>
    <row r="66" spans="2:7" ht="19.5" customHeight="1">
      <c r="B66" s="77" t="s">
        <v>267</v>
      </c>
      <c r="C66" s="78"/>
      <c r="D66" s="78"/>
      <c r="E66" s="78"/>
      <c r="F66" s="78"/>
    </row>
    <row r="67" spans="2:7" ht="19.5" customHeight="1">
      <c r="B67" s="79" t="s">
        <v>268</v>
      </c>
      <c r="C67" s="80"/>
      <c r="D67" s="80"/>
      <c r="E67" s="80"/>
      <c r="F67" s="80"/>
    </row>
    <row r="68" spans="2:7" ht="19.5" customHeight="1">
      <c r="B68" s="77" t="s">
        <v>269</v>
      </c>
      <c r="C68" s="78"/>
      <c r="D68" s="78"/>
      <c r="E68" s="78"/>
      <c r="F68" s="78"/>
    </row>
    <row r="69" spans="2:7" ht="19.5" customHeight="1">
      <c r="B69" s="79" t="s">
        <v>270</v>
      </c>
      <c r="C69" s="80"/>
      <c r="D69" s="80"/>
      <c r="E69" s="80"/>
      <c r="F69" s="80"/>
    </row>
    <row r="71" spans="2:7" ht="24" customHeight="1">
      <c r="B71" s="170" t="s">
        <v>271</v>
      </c>
      <c r="C71" s="170"/>
      <c r="D71" s="170"/>
      <c r="E71" s="170"/>
      <c r="F71" s="170"/>
      <c r="G71" s="170"/>
    </row>
    <row r="72" spans="2:7" ht="21.75" customHeight="1">
      <c r="B72" s="6" t="s">
        <v>272</v>
      </c>
      <c r="C72" s="6" t="s">
        <v>240</v>
      </c>
      <c r="D72" s="6" t="s">
        <v>273</v>
      </c>
      <c r="E72" s="6" t="s">
        <v>274</v>
      </c>
      <c r="F72" s="6" t="s">
        <v>262</v>
      </c>
    </row>
    <row r="73" spans="2:7" ht="21.75" customHeight="1">
      <c r="B73" s="16" t="s">
        <v>275</v>
      </c>
      <c r="C73" s="78"/>
      <c r="D73" s="78"/>
      <c r="E73" s="78"/>
      <c r="F73" s="78"/>
    </row>
    <row r="74" spans="2:7" ht="21.75" customHeight="1">
      <c r="B74" s="20" t="s">
        <v>276</v>
      </c>
      <c r="C74" s="80"/>
      <c r="D74" s="80"/>
      <c r="E74" s="80"/>
      <c r="F74" s="80"/>
    </row>
    <row r="75" spans="2:7" ht="21.75" customHeight="1">
      <c r="B75" s="16" t="s">
        <v>277</v>
      </c>
      <c r="C75" s="78"/>
      <c r="D75" s="78"/>
      <c r="E75" s="78"/>
      <c r="F75" s="78"/>
    </row>
    <row r="76" spans="2:7" ht="21.75" customHeight="1">
      <c r="B76" s="20" t="s">
        <v>278</v>
      </c>
      <c r="C76" s="80"/>
      <c r="D76" s="80"/>
      <c r="E76" s="80"/>
      <c r="F76" s="80"/>
    </row>
    <row r="77" spans="2:7" ht="21.75" customHeight="1">
      <c r="B77" s="16" t="s">
        <v>279</v>
      </c>
      <c r="C77" s="78"/>
      <c r="D77" s="78"/>
      <c r="E77" s="78"/>
      <c r="F77" s="78"/>
    </row>
    <row r="78" spans="2:7" ht="21.75" customHeight="1">
      <c r="B78" s="20" t="s">
        <v>280</v>
      </c>
      <c r="C78" s="80"/>
      <c r="D78" s="80"/>
      <c r="E78" s="80"/>
      <c r="F78" s="80"/>
    </row>
    <row r="79" spans="2:7" ht="21.75" customHeight="1">
      <c r="B79" s="16" t="s">
        <v>281</v>
      </c>
      <c r="C79" s="78"/>
      <c r="D79" s="78"/>
      <c r="E79" s="78"/>
      <c r="F79" s="78"/>
    </row>
    <row r="81" spans="2:7" ht="24" customHeight="1">
      <c r="B81" s="170" t="s">
        <v>282</v>
      </c>
      <c r="C81" s="170"/>
      <c r="D81" s="170"/>
      <c r="E81" s="170"/>
      <c r="F81" s="170"/>
      <c r="G81" s="170"/>
    </row>
    <row r="82" spans="2:7" ht="27.75" customHeight="1">
      <c r="B82" s="6" t="s">
        <v>153</v>
      </c>
      <c r="C82" s="6" t="s">
        <v>283</v>
      </c>
      <c r="D82" s="6" t="s">
        <v>284</v>
      </c>
      <c r="E82" s="6" t="s">
        <v>285</v>
      </c>
      <c r="F82" s="6" t="s">
        <v>286</v>
      </c>
      <c r="G82" s="6" t="s">
        <v>287</v>
      </c>
    </row>
    <row r="83" spans="2:7" ht="25.5" customHeight="1">
      <c r="B83" s="82" t="s">
        <v>288</v>
      </c>
      <c r="C83" s="30"/>
      <c r="D83" s="16" t="s">
        <v>289</v>
      </c>
      <c r="E83" s="83"/>
      <c r="F83" s="45"/>
      <c r="G83" s="5"/>
    </row>
    <row r="84" spans="2:7" ht="25.5" customHeight="1">
      <c r="B84" s="84" t="s">
        <v>290</v>
      </c>
      <c r="C84" s="30"/>
      <c r="D84" s="20" t="s">
        <v>291</v>
      </c>
      <c r="E84" s="83"/>
      <c r="F84" s="45"/>
      <c r="G84" s="5"/>
    </row>
    <row r="85" spans="2:7" ht="25.5" customHeight="1">
      <c r="B85" s="82" t="s">
        <v>292</v>
      </c>
      <c r="C85" s="30"/>
      <c r="D85" s="16" t="s">
        <v>293</v>
      </c>
      <c r="E85" s="83"/>
      <c r="F85" s="45"/>
      <c r="G85" s="5"/>
    </row>
    <row r="86" spans="2:7" ht="25.5" customHeight="1">
      <c r="B86" s="84" t="s">
        <v>294</v>
      </c>
      <c r="C86" s="30"/>
      <c r="D86" s="20" t="s">
        <v>295</v>
      </c>
      <c r="E86" s="83"/>
      <c r="F86" s="45"/>
      <c r="G86" s="5"/>
    </row>
    <row r="87" spans="2:7" ht="25.5" customHeight="1">
      <c r="B87" s="82" t="s">
        <v>296</v>
      </c>
      <c r="C87" s="30"/>
      <c r="D87" s="16" t="s">
        <v>297</v>
      </c>
      <c r="E87" s="83"/>
      <c r="F87" s="45"/>
      <c r="G87" s="5"/>
    </row>
    <row r="88" spans="2:7" ht="25.5" customHeight="1">
      <c r="B88" s="84" t="s">
        <v>298</v>
      </c>
      <c r="C88" s="30"/>
      <c r="D88" s="20" t="s">
        <v>299</v>
      </c>
      <c r="E88" s="83"/>
      <c r="F88" s="45"/>
      <c r="G88" s="5"/>
    </row>
    <row r="89" spans="2:7" ht="25.5" customHeight="1">
      <c r="B89" s="82" t="s">
        <v>300</v>
      </c>
      <c r="C89" s="30"/>
      <c r="D89" s="16" t="s">
        <v>301</v>
      </c>
      <c r="E89" s="83"/>
      <c r="F89" s="45"/>
      <c r="G89" s="5"/>
    </row>
    <row r="91" spans="2:7" ht="24" customHeight="1">
      <c r="B91" s="170" t="s">
        <v>302</v>
      </c>
      <c r="C91" s="170"/>
      <c r="D91" s="170"/>
      <c r="E91" s="170"/>
      <c r="F91" s="170"/>
      <c r="G91" s="170"/>
    </row>
    <row r="92" spans="2:7" ht="21.75" customHeight="1">
      <c r="B92" s="6" t="s">
        <v>303</v>
      </c>
      <c r="C92" s="6" t="s">
        <v>304</v>
      </c>
    </row>
    <row r="93" spans="2:7" ht="21.75" customHeight="1">
      <c r="B93" s="14" t="s">
        <v>305</v>
      </c>
      <c r="C93" s="107"/>
      <c r="D93" s="107"/>
      <c r="E93" s="107"/>
      <c r="F93" s="107"/>
      <c r="G93" s="107"/>
    </row>
    <row r="94" spans="2:7" ht="21.75" customHeight="1">
      <c r="B94" s="18" t="s">
        <v>306</v>
      </c>
      <c r="C94" s="107"/>
      <c r="D94" s="107"/>
      <c r="E94" s="107"/>
      <c r="F94" s="107"/>
      <c r="G94" s="107"/>
    </row>
    <row r="95" spans="2:7" ht="21.75" customHeight="1">
      <c r="B95" s="14" t="s">
        <v>307</v>
      </c>
      <c r="C95" s="107"/>
      <c r="D95" s="107"/>
      <c r="E95" s="107"/>
      <c r="F95" s="107"/>
      <c r="G95" s="107"/>
    </row>
    <row r="96" spans="2:7" ht="21.75" customHeight="1">
      <c r="B96" s="18" t="s">
        <v>308</v>
      </c>
      <c r="C96" s="107"/>
      <c r="D96" s="107"/>
      <c r="E96" s="107"/>
      <c r="F96" s="107"/>
      <c r="G96" s="107"/>
    </row>
    <row r="97" spans="2:7" ht="21.75" customHeight="1">
      <c r="B97" s="14" t="s">
        <v>309</v>
      </c>
      <c r="C97" s="107"/>
      <c r="D97" s="107"/>
      <c r="E97" s="107"/>
      <c r="F97" s="107"/>
      <c r="G97" s="107"/>
    </row>
    <row r="98" spans="2:7" ht="21.75" customHeight="1">
      <c r="B98" s="18" t="s">
        <v>310</v>
      </c>
      <c r="C98" s="107"/>
      <c r="D98" s="107"/>
      <c r="E98" s="107"/>
      <c r="F98" s="107"/>
      <c r="G98" s="107"/>
    </row>
    <row r="99" spans="2:7" ht="21.75" customHeight="1">
      <c r="B99" s="14" t="s">
        <v>311</v>
      </c>
      <c r="C99" s="107"/>
      <c r="D99" s="107"/>
      <c r="E99" s="107"/>
      <c r="F99" s="107"/>
      <c r="G99" s="107"/>
    </row>
    <row r="101" spans="2:7" ht="24" customHeight="1">
      <c r="B101" s="170" t="s">
        <v>312</v>
      </c>
      <c r="C101" s="170"/>
      <c r="D101" s="170"/>
      <c r="E101" s="170"/>
      <c r="F101" s="170"/>
      <c r="G101" s="170"/>
    </row>
    <row r="102" spans="2:7" ht="21.75" customHeight="1">
      <c r="B102" s="6" t="s">
        <v>313</v>
      </c>
      <c r="C102" s="6" t="s">
        <v>314</v>
      </c>
      <c r="D102" s="6" t="s">
        <v>315</v>
      </c>
      <c r="E102" s="6" t="s">
        <v>316</v>
      </c>
      <c r="F102" s="6" t="s">
        <v>317</v>
      </c>
    </row>
    <row r="103" spans="2:7" ht="21.75" customHeight="1">
      <c r="B103" s="77" t="s">
        <v>318</v>
      </c>
      <c r="C103" s="78"/>
      <c r="D103" s="78"/>
      <c r="E103" s="16"/>
      <c r="F103" s="78"/>
    </row>
    <row r="104" spans="2:7" ht="21.75" customHeight="1">
      <c r="B104" s="79" t="s">
        <v>319</v>
      </c>
      <c r="C104" s="80"/>
      <c r="D104" s="80"/>
      <c r="E104" s="20"/>
      <c r="F104" s="80"/>
    </row>
    <row r="105" spans="2:7" ht="21.75" customHeight="1">
      <c r="B105" s="77" t="s">
        <v>320</v>
      </c>
      <c r="C105" s="78"/>
      <c r="D105" s="78"/>
      <c r="E105" s="16"/>
      <c r="F105" s="78"/>
    </row>
    <row r="106" spans="2:7" ht="21.75" customHeight="1">
      <c r="B106" s="79" t="s">
        <v>321</v>
      </c>
      <c r="C106" s="80"/>
      <c r="D106" s="80"/>
      <c r="E106" s="20"/>
      <c r="F106" s="80"/>
    </row>
    <row r="107" spans="2:7" ht="21.75" customHeight="1">
      <c r="B107" s="77" t="s">
        <v>322</v>
      </c>
      <c r="C107" s="78"/>
      <c r="D107" s="78"/>
      <c r="E107" s="16"/>
      <c r="F107" s="78"/>
    </row>
    <row r="108" spans="2:7" ht="21.75" customHeight="1">
      <c r="B108" s="79" t="s">
        <v>323</v>
      </c>
      <c r="C108" s="80"/>
      <c r="D108" s="80"/>
      <c r="E108" s="20"/>
      <c r="F108" s="80"/>
    </row>
    <row r="109" spans="2:7" ht="21.75" customHeight="1">
      <c r="B109" s="77" t="s">
        <v>324</v>
      </c>
      <c r="C109" s="78"/>
      <c r="D109" s="78"/>
      <c r="E109" s="16"/>
      <c r="F109" s="78"/>
    </row>
    <row r="110" spans="2:7" ht="21.75" customHeight="1">
      <c r="B110" s="79" t="s">
        <v>325</v>
      </c>
      <c r="C110" s="80"/>
      <c r="D110" s="80"/>
      <c r="E110" s="20"/>
      <c r="F110" s="80"/>
    </row>
    <row r="111" spans="2:7" ht="21.75" customHeight="1">
      <c r="B111" s="77" t="s">
        <v>326</v>
      </c>
      <c r="C111" s="78"/>
      <c r="D111" s="78"/>
      <c r="E111" s="16"/>
      <c r="F111" s="78"/>
    </row>
    <row r="112" spans="2:7" ht="21.75" customHeight="1">
      <c r="B112" s="79" t="s">
        <v>327</v>
      </c>
      <c r="C112" s="80"/>
      <c r="D112" s="80"/>
      <c r="E112" s="20"/>
      <c r="F112" s="80"/>
    </row>
    <row r="114" spans="2:7" ht="24" customHeight="1">
      <c r="B114" s="170" t="s">
        <v>328</v>
      </c>
      <c r="C114" s="170"/>
      <c r="D114" s="170"/>
      <c r="E114" s="170"/>
      <c r="F114" s="170"/>
      <c r="G114" s="170"/>
    </row>
    <row r="115" spans="2:7" ht="21.75" customHeight="1">
      <c r="B115" s="6" t="s">
        <v>329</v>
      </c>
      <c r="C115" s="6" t="s">
        <v>330</v>
      </c>
    </row>
    <row r="116" spans="2:7" ht="21.75" customHeight="1">
      <c r="B116" s="14" t="s">
        <v>331</v>
      </c>
      <c r="C116" s="107"/>
      <c r="D116" s="107"/>
      <c r="E116" s="107"/>
      <c r="F116" s="107"/>
      <c r="G116" s="107"/>
    </row>
    <row r="117" spans="2:7" ht="21.75" customHeight="1">
      <c r="B117" s="18" t="s">
        <v>332</v>
      </c>
      <c r="C117" s="107"/>
      <c r="D117" s="107"/>
      <c r="E117" s="107"/>
      <c r="F117" s="107"/>
      <c r="G117" s="107"/>
    </row>
    <row r="118" spans="2:7" ht="21.75" customHeight="1">
      <c r="B118" s="14" t="s">
        <v>333</v>
      </c>
      <c r="C118" s="107"/>
      <c r="D118" s="107"/>
      <c r="E118" s="107"/>
      <c r="F118" s="107"/>
      <c r="G118" s="107"/>
    </row>
    <row r="119" spans="2:7" ht="21.75" customHeight="1">
      <c r="B119" s="18" t="s">
        <v>334</v>
      </c>
      <c r="C119" s="107"/>
      <c r="D119" s="107"/>
      <c r="E119" s="107"/>
      <c r="F119" s="107"/>
      <c r="G119" s="107"/>
    </row>
    <row r="120" spans="2:7" ht="21.75" customHeight="1">
      <c r="B120" s="14" t="s">
        <v>335</v>
      </c>
      <c r="C120" s="107"/>
      <c r="D120" s="107"/>
      <c r="E120" s="107"/>
      <c r="F120" s="107"/>
      <c r="G120" s="107"/>
    </row>
    <row r="121" spans="2:7" ht="21.75" customHeight="1">
      <c r="B121" s="18" t="s">
        <v>336</v>
      </c>
      <c r="C121" s="107"/>
      <c r="D121" s="107"/>
      <c r="E121" s="107"/>
      <c r="F121" s="107"/>
      <c r="G121" s="107"/>
    </row>
    <row r="122" spans="2:7" ht="21.75" customHeight="1">
      <c r="B122" s="14" t="s">
        <v>337</v>
      </c>
      <c r="C122" s="107"/>
      <c r="D122" s="107"/>
      <c r="E122" s="107"/>
      <c r="F122" s="107"/>
      <c r="G122" s="107"/>
    </row>
    <row r="124" spans="2:7" ht="24" customHeight="1">
      <c r="B124" s="170" t="s">
        <v>338</v>
      </c>
      <c r="C124" s="170"/>
      <c r="D124" s="170"/>
      <c r="E124" s="170"/>
      <c r="F124" s="170"/>
      <c r="G124" s="170"/>
    </row>
    <row r="125" spans="2:7" ht="21.75" customHeight="1">
      <c r="B125" s="6" t="s">
        <v>339</v>
      </c>
      <c r="C125" s="6" t="s">
        <v>340</v>
      </c>
    </row>
    <row r="126" spans="2:7" ht="30" customHeight="1">
      <c r="B126" s="85" t="s">
        <v>341</v>
      </c>
      <c r="C126" s="107"/>
      <c r="D126" s="107"/>
      <c r="E126" s="107"/>
      <c r="F126" s="107"/>
      <c r="G126" s="107"/>
    </row>
    <row r="127" spans="2:7" ht="30" customHeight="1">
      <c r="B127" s="86" t="s">
        <v>342</v>
      </c>
      <c r="C127" s="107"/>
      <c r="D127" s="107"/>
      <c r="E127" s="107"/>
      <c r="F127" s="107"/>
      <c r="G127" s="107"/>
    </row>
    <row r="128" spans="2:7" ht="30" customHeight="1">
      <c r="B128" s="85" t="s">
        <v>343</v>
      </c>
      <c r="C128" s="107"/>
      <c r="D128" s="107"/>
      <c r="E128" s="107"/>
      <c r="F128" s="107"/>
      <c r="G128" s="107"/>
    </row>
    <row r="129" spans="2:7" ht="30" customHeight="1">
      <c r="B129" s="86" t="s">
        <v>344</v>
      </c>
      <c r="C129" s="107"/>
      <c r="D129" s="107"/>
      <c r="E129" s="107"/>
      <c r="F129" s="107"/>
      <c r="G129" s="107"/>
    </row>
    <row r="130" spans="2:7" ht="30" customHeight="1">
      <c r="B130" s="85" t="s">
        <v>345</v>
      </c>
      <c r="C130" s="107"/>
      <c r="D130" s="107"/>
      <c r="E130" s="107"/>
      <c r="F130" s="107"/>
      <c r="G130" s="107"/>
    </row>
    <row r="131" spans="2:7" ht="30" customHeight="1">
      <c r="B131" s="86" t="s">
        <v>346</v>
      </c>
      <c r="C131" s="107"/>
      <c r="D131" s="107"/>
      <c r="E131" s="107"/>
      <c r="F131" s="107"/>
      <c r="G131" s="107"/>
    </row>
    <row r="132" spans="2:7" ht="30" customHeight="1">
      <c r="B132" s="85" t="s">
        <v>347</v>
      </c>
      <c r="C132" s="107"/>
      <c r="D132" s="107"/>
      <c r="E132" s="107"/>
      <c r="F132" s="107"/>
      <c r="G132" s="107"/>
    </row>
  </sheetData>
  <mergeCells count="46">
    <mergeCell ref="C132:G132"/>
    <mergeCell ref="C127:G127"/>
    <mergeCell ref="C128:G128"/>
    <mergeCell ref="C129:G129"/>
    <mergeCell ref="C130:G130"/>
    <mergeCell ref="C131:G131"/>
    <mergeCell ref="C120:G120"/>
    <mergeCell ref="C121:G121"/>
    <mergeCell ref="C122:G122"/>
    <mergeCell ref="B124:G124"/>
    <mergeCell ref="C126:G126"/>
    <mergeCell ref="B114:G114"/>
    <mergeCell ref="C116:G116"/>
    <mergeCell ref="C117:G117"/>
    <mergeCell ref="C118:G118"/>
    <mergeCell ref="C119:G119"/>
    <mergeCell ref="C96:G96"/>
    <mergeCell ref="C97:G97"/>
    <mergeCell ref="C98:G98"/>
    <mergeCell ref="C99:G99"/>
    <mergeCell ref="B101:G101"/>
    <mergeCell ref="B81:G81"/>
    <mergeCell ref="B91:G91"/>
    <mergeCell ref="C93:G93"/>
    <mergeCell ref="C94:G94"/>
    <mergeCell ref="C95:G95"/>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C00-000003000000}">
      <formula1>"Alta,Media,Baja,Sin mejora"</formula1>
      <formula2>0</formula2>
    </dataValidation>
    <dataValidation type="list" allowBlank="1" sqref="C83:C89" xr:uid="{00000000-0002-0000-0C00-000004000000}">
      <formula1>"Sí,No,Parcial"</formula1>
      <formula2>0</formula2>
    </dataValidation>
    <dataValidation type="date" allowBlank="1" showInputMessage="1" showErrorMessage="1" sqref="C10:E10" xr:uid="{23B6FA74-B55B-4F5F-9B2A-F87D50C9230B}">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xr:uid="{00000000-0002-0000-0C00-000000000000}">
          <x14:formula1>
            <xm:f>Listas!$H$5:$H$9</xm:f>
          </x14:formula1>
          <x14:formula2>
            <xm:f>0</xm:f>
          </x14:formula2>
          <xm:sqref>C12</xm:sqref>
        </x14:dataValidation>
        <x14:dataValidation type="list" allowBlank="1" xr:uid="{00000000-0002-0000-0C00-000001000000}">
          <x14:formula1>
            <xm:f>Listas!$D$5:$D$10</xm:f>
          </x14:formula1>
          <x14:formula2>
            <xm:f>0</xm:f>
          </x14:formula2>
          <xm:sqref>C14</xm:sqref>
        </x14:dataValidation>
        <x14:dataValidation type="list" allowBlank="1" xr:uid="{00000000-0002-0000-0C00-000002000000}">
          <x14:formula1>
            <xm:f>Listas!$B$5:$B$8</xm:f>
          </x14:formula1>
          <x14:formula2>
            <xm:f>0</xm:f>
          </x14:formula2>
          <xm:sqref>D19:D23 D26:D32 D35:D37 D40:D41</xm:sqref>
        </x14:dataValidation>
        <x14:dataValidation type="list" allowBlank="1" xr:uid="{00000000-0002-0000-0C00-000005000000}">
          <x14:formula1>
            <xm:f>Listas!$F$5:$F$7</xm:f>
          </x14:formula1>
          <x14:formula2>
            <xm:f>0</xm:f>
          </x14:formula2>
          <xm:sqref>F83:F89</xm:sqref>
        </x14:dataValidation>
        <x14:dataValidation type="list" allowBlank="1" xr:uid="{00000000-0002-0000-0C00-000006000000}">
          <x14:formula1>
            <xm:f>Listas!$L$5:$L$7</xm:f>
          </x14:formula1>
          <x14:formula2>
            <xm:f>0</xm:f>
          </x14:formula2>
          <xm:sqref>C130</xm:sqref>
        </x14:dataValidation>
        <x14:dataValidation type="list" allowBlank="1" showInputMessage="1" showErrorMessage="1" xr:uid="{E7644973-BB4C-4B66-9A44-F504E4940817}">
          <x14:formula1>
            <xm:f>Listas!$N$5:$N$10</xm:f>
          </x14:formula1>
          <xm:sqref>C5:E5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54"/>
  <sheetViews>
    <sheetView showGridLines="0" topLeftCell="A34" zoomScaleNormal="100" workbookViewId="0">
      <selection activeCell="M41" sqref="M41"/>
    </sheetView>
  </sheetViews>
  <sheetFormatPr defaultColWidth="8.5703125" defaultRowHeight="14.45"/>
  <cols>
    <col min="1" max="16384" width="8.5703125" style="1"/>
  </cols>
  <sheetData>
    <row r="1" spans="1:6" ht="15" customHeight="1">
      <c r="A1" s="87" t="s">
        <v>384</v>
      </c>
    </row>
    <row r="2" spans="1:6" ht="15" customHeight="1">
      <c r="A2" s="88" t="s">
        <v>385</v>
      </c>
      <c r="B2" s="88" t="s">
        <v>386</v>
      </c>
      <c r="C2" s="88" t="s">
        <v>387</v>
      </c>
      <c r="D2" s="88" t="s">
        <v>388</v>
      </c>
    </row>
    <row r="3" spans="1:6" ht="15" customHeight="1">
      <c r="A3" s="1" t="s">
        <v>389</v>
      </c>
      <c r="B3" s="1" t="str">
        <f>IFERROR('SURA Cotizadores'!$C$13,"N0")</f>
        <v>N4</v>
      </c>
      <c r="C3" s="1">
        <f>IFERROR(MATCH('SURA Cotizadores'!C13,{"N0","N1","N2","N3","N4","N5"},0)-1,0)</f>
        <v>4</v>
      </c>
      <c r="D3" s="1">
        <v>3</v>
      </c>
    </row>
    <row r="4" spans="1:6" ht="15" customHeight="1">
      <c r="A4" s="1" t="s">
        <v>390</v>
      </c>
      <c r="B4" s="1" t="str">
        <f>IFERROR('SURA Venta Digital'!$C$14,"N0")</f>
        <v>N1</v>
      </c>
      <c r="C4" s="1">
        <f>IFERROR(MATCH('SURA Venta Digital'!C14,{"N0","N1","N2","N3","N4","N5"},0)-1,0)</f>
        <v>1</v>
      </c>
      <c r="D4" s="1">
        <v>3</v>
      </c>
    </row>
    <row r="5" spans="1:6" ht="15" customHeight="1">
      <c r="A5" s="1" t="s">
        <v>391</v>
      </c>
      <c r="B5" s="1">
        <f>IFERROR('SURA Torre Control'!$C$14,"N0")</f>
        <v>0</v>
      </c>
      <c r="C5" s="1">
        <f>IFERROR(MATCH('SURA Torre Control'!C14,{"N0","N1","N2","N3","N4","N5"},0)-1,0)</f>
        <v>0</v>
      </c>
      <c r="D5" s="1">
        <v>3</v>
      </c>
    </row>
    <row r="6" spans="1:6" ht="15" customHeight="1">
      <c r="A6" s="1" t="s">
        <v>392</v>
      </c>
      <c r="B6" s="1">
        <f>IFERROR('SURA Mesa 4'!$C$14,"N0")</f>
        <v>0</v>
      </c>
      <c r="C6" s="1">
        <f>IFERROR(MATCH('SURA Mesa 4'!C14,{"N0","N1","N2","N3","N4","N5"},0)-1,0)</f>
        <v>0</v>
      </c>
      <c r="D6" s="1">
        <v>3</v>
      </c>
    </row>
    <row r="7" spans="1:6" ht="15" customHeight="1">
      <c r="A7" s="1" t="s">
        <v>393</v>
      </c>
      <c r="B7" s="1" t="str">
        <f>IFERROR('BCO Gioti 1'!$C$14,"N0")</f>
        <v>N3</v>
      </c>
      <c r="C7" s="1">
        <f>IFERROR(MATCH('BCO Gioti 1'!C14,{"N0","N1","N2","N3","N4","N5"},0)-1,0)</f>
        <v>3</v>
      </c>
      <c r="D7" s="1">
        <v>3</v>
      </c>
    </row>
    <row r="8" spans="1:6" ht="15" customHeight="1">
      <c r="A8" s="1" t="s">
        <v>394</v>
      </c>
      <c r="B8" s="1">
        <f>IFERROR('BCO Gioti 2'!$C$14,"N0")</f>
        <v>0</v>
      </c>
      <c r="C8" s="1">
        <f>IFERROR(MATCH('BCO Gioti 2'!C14,{"N0","N1","N2","N3","N4","N5"},0)-1,0)</f>
        <v>0</v>
      </c>
      <c r="D8" s="1">
        <v>3</v>
      </c>
    </row>
    <row r="9" spans="1:6" ht="15" customHeight="1">
      <c r="A9" s="1" t="s">
        <v>395</v>
      </c>
      <c r="B9" s="1">
        <f>IFERROR('BCO Gioti 3'!$C$14,"N0")</f>
        <v>0</v>
      </c>
      <c r="C9" s="1">
        <f>IFERROR(MATCH('BCO Gioti 3'!C14,{"N0","N1","N2","N3","N4","N5"},0)-1,0)</f>
        <v>0</v>
      </c>
      <c r="D9" s="1">
        <v>3</v>
      </c>
    </row>
    <row r="10" spans="1:6" ht="15" customHeight="1">
      <c r="A10" s="1" t="s">
        <v>396</v>
      </c>
      <c r="B10" s="1">
        <f>IFERROR('BCO Gioti 4'!$C$14,"N0")</f>
        <v>0</v>
      </c>
      <c r="C10" s="1">
        <f>IFERROR(MATCH('BCO Gioti 4'!C14,{"N0","N1","N2","N3","N4","N5"},0)-1,0)</f>
        <v>0</v>
      </c>
      <c r="D10" s="1">
        <v>3</v>
      </c>
    </row>
    <row r="13" spans="1:6" ht="15" customHeight="1">
      <c r="A13" s="87" t="s">
        <v>397</v>
      </c>
    </row>
    <row r="14" spans="1:6" ht="15" customHeight="1">
      <c r="A14" s="88" t="s">
        <v>385</v>
      </c>
      <c r="B14" s="88" t="s">
        <v>398</v>
      </c>
      <c r="C14" s="88" t="s">
        <v>399</v>
      </c>
      <c r="D14" s="88" t="s">
        <v>400</v>
      </c>
      <c r="E14" s="88" t="s">
        <v>401</v>
      </c>
      <c r="F14" s="88" t="s">
        <v>402</v>
      </c>
    </row>
    <row r="15" spans="1:6" ht="15" customHeight="1">
      <c r="A15" s="1" t="s">
        <v>389</v>
      </c>
      <c r="B15" s="89">
        <f>(IF('SURA Cotizadores'!D18="Sí",1,IF('SURA Cotizadores'!D18="Parcial",0.5,0))+IF('SURA Cotizadores'!D19="Sí",1,IF('SURA Cotizadores'!D19="Parcial",0.5,0))+IF('SURA Cotizadores'!D20="Sí",1,IF('SURA Cotizadores'!D20="Parcial",0.5,0))+IF('SURA Cotizadores'!D21="Sí",1,IF('SURA Cotizadores'!D21="Parcial",0.5,0))+IF('SURA Cotizadores'!D22="Sí",1,IF('SURA Cotizadores'!D22="Parcial",0.5,0)))/5</f>
        <v>0.6</v>
      </c>
      <c r="C15" s="89">
        <f>(IF('SURA Cotizadores'!D25="Sí",1,IF('SURA Cotizadores'!D25="Parcial",0.5,0))+IF('SURA Cotizadores'!D26="Sí",1,IF('SURA Cotizadores'!D26="Parcial",0.5,0))+IF('SURA Cotizadores'!D27="Sí",1,IF('SURA Cotizadores'!D27="Parcial",0.5,0))+IF('SURA Cotizadores'!D28="Sí",1,IF('SURA Cotizadores'!D28="Parcial",0.5,0))+IF('SURA Cotizadores'!D29="Sí",1,IF('SURA Cotizadores'!D29="Parcial",0.5,0))+IF('SURA Cotizadores'!D30="Sí",1,IF('SURA Cotizadores'!D30="Parcial",0.5,0))+IF('SURA Cotizadores'!D31="Sí",1,IF('SURA Cotizadores'!D31="Parcial",0.5,0)))/7</f>
        <v>0.5</v>
      </c>
      <c r="D15" s="89">
        <f>(IF('SURA Cotizadores'!D34="Sí",1,IF('SURA Cotizadores'!D34="Parcial",0.5,0))+IF('SURA Cotizadores'!D35="Sí",1,IF('SURA Cotizadores'!D35="Parcial",0.5,0))+IF('SURA Cotizadores'!D36="Sí",1,IF('SURA Cotizadores'!D36="Parcial",0.5,0)))/3</f>
        <v>0.5</v>
      </c>
      <c r="E15" s="89">
        <f>(IF('SURA Cotizadores'!D39="Sí",1,IF('SURA Cotizadores'!D39="Parcial",0.5,0))+IF('SURA Cotizadores'!D40="Sí",1,IF('SURA Cotizadores'!D40="Parcial",0.5,0)))/2</f>
        <v>0.25</v>
      </c>
      <c r="F15" s="89">
        <f>IFERROR('SURA Cotizadores'!$E$42,0)</f>
        <v>0.5</v>
      </c>
    </row>
    <row r="16" spans="1:6" ht="15" customHeight="1">
      <c r="A16" s="1" t="s">
        <v>390</v>
      </c>
      <c r="B16" s="89">
        <f>(IF('SURA Venta Digital'!D19="Sí",1,IF('SURA Venta Digital'!D19="Parcial",0.5,0))+IF('SURA Venta Digital'!D20="Sí",1,IF('SURA Venta Digital'!D20="Parcial",0.5,0))+IF('SURA Venta Digital'!D21="Sí",1,IF('SURA Venta Digital'!D21="Parcial",0.5,0))+IF('SURA Venta Digital'!D22="Sí",1,IF('SURA Venta Digital'!D22="Parcial",0.5,0))+IF('SURA Venta Digital'!D23="Sí",1,IF('SURA Venta Digital'!D23="Parcial",0.5,0)))/5</f>
        <v>0.2</v>
      </c>
      <c r="C16" s="89">
        <f>(IF('SURA Venta Digital'!D26="Sí",1,IF('SURA Venta Digital'!D26="Parcial",0.5,0))+IF('SURA Venta Digital'!D27="Sí",1,IF('SURA Venta Digital'!D27="Parcial",0.5,0))+IF('SURA Venta Digital'!D28="Sí",1,IF('SURA Venta Digital'!D28="Parcial",0.5,0))+IF('SURA Venta Digital'!D29="Sí",1,IF('SURA Venta Digital'!D29="Parcial",0.5,0))+IF('SURA Venta Digital'!D30="Sí",1,IF('SURA Venta Digital'!D30="Parcial",0.5,0))+IF('SURA Venta Digital'!D31="Sí",1,IF('SURA Venta Digital'!D31="Parcial",0.5,0))+IF('SURA Venta Digital'!D32="Sí",1,IF('SURA Venta Digital'!D32="Parcial",0.5,0)))/7</f>
        <v>0.21428571428571427</v>
      </c>
      <c r="D16" s="89">
        <f>(IF('SURA Venta Digital'!D35="Sí",1,IF('SURA Venta Digital'!D35="Parcial",0.5,0))+IF('SURA Venta Digital'!D36="Sí",1,IF('SURA Venta Digital'!D36="Parcial",0.5,0))+IF('SURA Venta Digital'!D37="Sí",1,IF('SURA Venta Digital'!D37="Parcial",0.5,0)))/3</f>
        <v>0.16666666666666666</v>
      </c>
      <c r="E16" s="89">
        <f>(IF('SURA Venta Digital'!D40="Sí",1,IF('SURA Venta Digital'!D40="Parcial",0.5,0))+IF('SURA Venta Digital'!D41="Sí",1,IF('SURA Venta Digital'!D41="Parcial",0.5,0)))/2</f>
        <v>0</v>
      </c>
      <c r="F16" s="89">
        <f>IFERROR('SURA Venta Digital'!$E$43,0)</f>
        <v>0.17647058823529413</v>
      </c>
    </row>
    <row r="17" spans="1:9" ht="15" customHeight="1">
      <c r="A17" s="1" t="s">
        <v>391</v>
      </c>
      <c r="B17" s="89">
        <f>(IF('SURA Torre Control'!D19="Sí",1,IF('SURA Torre Control'!D19="Parcial",0.5,0))+IF('SURA Torre Control'!D20="Sí",1,IF('SURA Torre Control'!D20="Parcial",0.5,0))+IF('SURA Torre Control'!D21="Sí",1,IF('SURA Torre Control'!D21="Parcial",0.5,0))+IF('SURA Torre Control'!D22="Sí",1,IF('SURA Torre Control'!D22="Parcial",0.5,0))+IF('SURA Torre Control'!D23="Sí",1,IF('SURA Torre Control'!D23="Parcial",0.5,0)))/5</f>
        <v>0</v>
      </c>
      <c r="C17" s="89">
        <f>(IF('SURA Torre Control'!D26="Sí",1,IF('SURA Torre Control'!D26="Parcial",0.5,0))+IF('SURA Torre Control'!D27="Sí",1,IF('SURA Torre Control'!D27="Parcial",0.5,0))+IF('SURA Torre Control'!D28="Sí",1,IF('SURA Torre Control'!D28="Parcial",0.5,0))+IF('SURA Torre Control'!D29="Sí",1,IF('SURA Torre Control'!D29="Parcial",0.5,0))+IF('SURA Torre Control'!D30="Sí",1,IF('SURA Torre Control'!D30="Parcial",0.5,0))+IF('SURA Torre Control'!D31="Sí",1,IF('SURA Torre Control'!D31="Parcial",0.5,0))+IF('SURA Torre Control'!D32="Sí",1,IF('SURA Torre Control'!D32="Parcial",0.5,0)))/7</f>
        <v>0</v>
      </c>
      <c r="D17" s="89">
        <f>(IF('SURA Torre Control'!D35="Sí",1,IF('SURA Torre Control'!D35="Parcial",0.5,0))+IF('SURA Torre Control'!D36="Sí",1,IF('SURA Torre Control'!D36="Parcial",0.5,0))+IF('SURA Torre Control'!D37="Sí",1,IF('SURA Torre Control'!D37="Parcial",0.5,0)))/3</f>
        <v>0</v>
      </c>
      <c r="E17" s="89">
        <f>(IF('SURA Torre Control'!D40="Sí",1,IF('SURA Torre Control'!D40="Parcial",0.5,0))+IF('SURA Torre Control'!D41="Sí",1,IF('SURA Torre Control'!D41="Parcial",0.5,0)))/2</f>
        <v>0</v>
      </c>
      <c r="F17" s="89">
        <f>IFERROR('SURA Torre Control'!$E$43,0)</f>
        <v>0</v>
      </c>
    </row>
    <row r="18" spans="1:9" ht="15" customHeight="1">
      <c r="A18" s="1" t="s">
        <v>392</v>
      </c>
      <c r="B18" s="89">
        <f>(IF('SURA Mesa 4'!D19="Sí",1,IF('SURA Mesa 4'!D19="Parcial",0.5,0))+IF('SURA Mesa 4'!D20="Sí",1,IF('SURA Mesa 4'!D20="Parcial",0.5,0))+IF('SURA Mesa 4'!D21="Sí",1,IF('SURA Mesa 4'!D21="Parcial",0.5,0))+IF('SURA Mesa 4'!D22="Sí",1,IF('SURA Mesa 4'!D22="Parcial",0.5,0))+IF('SURA Mesa 4'!D23="Sí",1,IF('SURA Mesa 4'!D23="Parcial",0.5,0)))/5</f>
        <v>0</v>
      </c>
      <c r="C18" s="89">
        <f>(IF('SURA Mesa 4'!D26="Sí",1,IF('SURA Mesa 4'!D26="Parcial",0.5,0))+IF('SURA Mesa 4'!D27="Sí",1,IF('SURA Mesa 4'!D27="Parcial",0.5,0))+IF('SURA Mesa 4'!D28="Sí",1,IF('SURA Mesa 4'!D28="Parcial",0.5,0))+IF('SURA Mesa 4'!D29="Sí",1,IF('SURA Mesa 4'!D29="Parcial",0.5,0))+IF('SURA Mesa 4'!D30="Sí",1,IF('SURA Mesa 4'!D30="Parcial",0.5,0))+IF('SURA Mesa 4'!D31="Sí",1,IF('SURA Mesa 4'!D31="Parcial",0.5,0))+IF('SURA Mesa 4'!D32="Sí",1,IF('SURA Mesa 4'!D32="Parcial",0.5,0)))/7</f>
        <v>0</v>
      </c>
      <c r="D18" s="89">
        <f>(IF('SURA Mesa 4'!D35="Sí",1,IF('SURA Mesa 4'!D35="Parcial",0.5,0))+IF('SURA Mesa 4'!D36="Sí",1,IF('SURA Mesa 4'!D36="Parcial",0.5,0))+IF('SURA Mesa 4'!D37="Sí",1,IF('SURA Mesa 4'!D37="Parcial",0.5,0)))/3</f>
        <v>0</v>
      </c>
      <c r="E18" s="89">
        <f>(IF('SURA Mesa 4'!D40="Sí",1,IF('SURA Mesa 4'!D40="Parcial",0.5,0))+IF('SURA Mesa 4'!D41="Sí",1,IF('SURA Mesa 4'!D41="Parcial",0.5,0)))/2</f>
        <v>0</v>
      </c>
      <c r="F18" s="89">
        <f>IFERROR('SURA Mesa 4'!$E$43,0)</f>
        <v>0</v>
      </c>
    </row>
    <row r="19" spans="1:9" ht="15" customHeight="1">
      <c r="A19" s="1" t="s">
        <v>393</v>
      </c>
      <c r="B19" s="89">
        <f>(IF('BCO Gioti 1'!D19="Sí",1,IF('BCO Gioti 1'!D19="Parcial",0.5,0))+IF('BCO Gioti 1'!D20="Sí",1,IF('BCO Gioti 1'!D20="Parcial",0.5,0))+IF('BCO Gioti 1'!D21="Sí",1,IF('BCO Gioti 1'!D21="Parcial",0.5,0))+IF('BCO Gioti 1'!D22="Sí",1,IF('BCO Gioti 1'!D22="Parcial",0.5,0))+IF('BCO Gioti 1'!D23="Sí",1,IF('BCO Gioti 1'!D23="Parcial",0.5,0)))/5</f>
        <v>0.8</v>
      </c>
      <c r="C19" s="89">
        <f>(IF('BCO Gioti 1'!D26="Sí",1,IF('BCO Gioti 1'!D26="Parcial",0.5,0))+IF('BCO Gioti 1'!D27="Sí",1,IF('BCO Gioti 1'!D27="Parcial",0.5,0))+IF('BCO Gioti 1'!D28="Sí",1,IF('BCO Gioti 1'!D28="Parcial",0.5,0))+IF('BCO Gioti 1'!D29="Sí",1,IF('BCO Gioti 1'!D29="Parcial",0.5,0))+IF('BCO Gioti 1'!D30="Sí",1,IF('BCO Gioti 1'!D30="Parcial",0.5,0))+IF('BCO Gioti 1'!D31="Sí",1,IF('BCO Gioti 1'!D31="Parcial",0.5,0))+IF('BCO Gioti 1'!D32="Sí",1,IF('BCO Gioti 1'!D32="Parcial",0.5,0)))/7</f>
        <v>0.7857142857142857</v>
      </c>
      <c r="D19" s="89">
        <f>(IF('BCO Gioti 1'!D35="Sí",1,IF('BCO Gioti 1'!D35="Parcial",0.5,0))+IF('BCO Gioti 1'!D36="Sí",1,IF('BCO Gioti 1'!D36="Parcial",0.5,0))+IF('BCO Gioti 1'!D37="Sí",1,IF('BCO Gioti 1'!D37="Parcial",0.5,0)))/3</f>
        <v>0.83333333333333337</v>
      </c>
      <c r="E19" s="89">
        <f>(IF('BCO Gioti 1'!D40="Sí",1,IF('BCO Gioti 1'!D40="Parcial",0.5,0))+IF('BCO Gioti 1'!D41="Sí",1,IF('BCO Gioti 1'!D41="Parcial",0.5,0)))/2</f>
        <v>0.75</v>
      </c>
      <c r="F19" s="89">
        <f>IFERROR('BCO Gioti 1'!$E$43,0)</f>
        <v>0.79411764705882348</v>
      </c>
    </row>
    <row r="20" spans="1:9" ht="15" customHeight="1">
      <c r="A20" s="1" t="s">
        <v>394</v>
      </c>
      <c r="B20" s="89">
        <f>(IF('BCO Gioti 2'!D19="Sí",1,IF('BCO Gioti 2'!D19="Parcial",0.5,0))+IF('BCO Gioti 2'!D20="Sí",1,IF('BCO Gioti 2'!D20="Parcial",0.5,0))+IF('BCO Gioti 2'!D21="Sí",1,IF('BCO Gioti 2'!D21="Parcial",0.5,0))+IF('BCO Gioti 2'!D22="Sí",1,IF('BCO Gioti 2'!D22="Parcial",0.5,0))+IF('BCO Gioti 2'!D23="Sí",1,IF('BCO Gioti 2'!D23="Parcial",0.5,0)))/5</f>
        <v>0</v>
      </c>
      <c r="C20" s="89">
        <f>(IF('BCO Gioti 2'!D26="Sí",1,IF('BCO Gioti 2'!D26="Parcial",0.5,0))+IF('BCO Gioti 2'!D27="Sí",1,IF('BCO Gioti 2'!D27="Parcial",0.5,0))+IF('BCO Gioti 2'!D28="Sí",1,IF('BCO Gioti 2'!D28="Parcial",0.5,0))+IF('BCO Gioti 2'!D29="Sí",1,IF('BCO Gioti 2'!D29="Parcial",0.5,0))+IF('BCO Gioti 2'!D30="Sí",1,IF('BCO Gioti 2'!D30="Parcial",0.5,0))+IF('BCO Gioti 2'!D31="Sí",1,IF('BCO Gioti 2'!D31="Parcial",0.5,0))+IF('BCO Gioti 2'!D32="Sí",1,IF('BCO Gioti 2'!D32="Parcial",0.5,0)))/7</f>
        <v>0</v>
      </c>
      <c r="D20" s="89">
        <f>(IF('BCO Gioti 2'!D35="Sí",1,IF('BCO Gioti 2'!D35="Parcial",0.5,0))+IF('BCO Gioti 2'!D36="Sí",1,IF('BCO Gioti 2'!D36="Parcial",0.5,0))+IF('BCO Gioti 2'!D37="Sí",1,IF('BCO Gioti 2'!D37="Parcial",0.5,0)))/3</f>
        <v>0</v>
      </c>
      <c r="E20" s="89">
        <f>(IF('BCO Gioti 2'!D40="Sí",1,IF('BCO Gioti 2'!D40="Parcial",0.5,0))+IF('BCO Gioti 2'!D41="Sí",1,IF('BCO Gioti 2'!D41="Parcial",0.5,0)))/2</f>
        <v>0</v>
      </c>
      <c r="F20" s="89">
        <f>IFERROR('BCO Gioti 2'!$E$43,0)</f>
        <v>0</v>
      </c>
    </row>
    <row r="21" spans="1:9" ht="15" customHeight="1">
      <c r="A21" s="1" t="s">
        <v>395</v>
      </c>
      <c r="B21" s="89">
        <f>(IF('BCO Gioti 3'!D19="Sí",1,IF('BCO Gioti 3'!D19="Parcial",0.5,0))+IF('BCO Gioti 3'!D20="Sí",1,IF('BCO Gioti 3'!D20="Parcial",0.5,0))+IF('BCO Gioti 3'!D21="Sí",1,IF('BCO Gioti 3'!D21="Parcial",0.5,0))+IF('BCO Gioti 3'!D22="Sí",1,IF('BCO Gioti 3'!D22="Parcial",0.5,0))+IF('BCO Gioti 3'!D23="Sí",1,IF('BCO Gioti 3'!D23="Parcial",0.5,0)))/5</f>
        <v>0</v>
      </c>
      <c r="C21" s="89">
        <f>(IF('BCO Gioti 3'!D26="Sí",1,IF('BCO Gioti 3'!D26="Parcial",0.5,0))+IF('BCO Gioti 3'!D27="Sí",1,IF('BCO Gioti 3'!D27="Parcial",0.5,0))+IF('BCO Gioti 3'!D28="Sí",1,IF('BCO Gioti 3'!D28="Parcial",0.5,0))+IF('BCO Gioti 3'!D29="Sí",1,IF('BCO Gioti 3'!D29="Parcial",0.5,0))+IF('BCO Gioti 3'!D30="Sí",1,IF('BCO Gioti 3'!D30="Parcial",0.5,0))+IF('BCO Gioti 3'!D31="Sí",1,IF('BCO Gioti 3'!D31="Parcial",0.5,0))+IF('BCO Gioti 3'!D32="Sí",1,IF('BCO Gioti 3'!D32="Parcial",0.5,0)))/7</f>
        <v>0</v>
      </c>
      <c r="D21" s="89">
        <f>(IF('BCO Gioti 3'!D35="Sí",1,IF('BCO Gioti 3'!D35="Parcial",0.5,0))+IF('BCO Gioti 3'!D36="Sí",1,IF('BCO Gioti 3'!D36="Parcial",0.5,0))+IF('BCO Gioti 3'!D37="Sí",1,IF('BCO Gioti 3'!D37="Parcial",0.5,0)))/3</f>
        <v>0</v>
      </c>
      <c r="E21" s="89">
        <f>(IF('BCO Gioti 3'!D40="Sí",1,IF('BCO Gioti 3'!D40="Parcial",0.5,0))+IF('BCO Gioti 3'!D41="Sí",1,IF('BCO Gioti 3'!D41="Parcial",0.5,0)))/2</f>
        <v>0</v>
      </c>
      <c r="F21" s="89">
        <f>IFERROR('BCO Gioti 3'!$E$43,0)</f>
        <v>0</v>
      </c>
    </row>
    <row r="22" spans="1:9" ht="15" customHeight="1">
      <c r="A22" s="1" t="s">
        <v>396</v>
      </c>
      <c r="B22" s="89">
        <f>(IF('BCO Gioti 4'!D19="Sí",1,IF('BCO Gioti 4'!D19="Parcial",0.5,0))+IF('BCO Gioti 4'!D20="Sí",1,IF('BCO Gioti 4'!D20="Parcial",0.5,0))+IF('BCO Gioti 4'!D21="Sí",1,IF('BCO Gioti 4'!D21="Parcial",0.5,0))+IF('BCO Gioti 4'!D22="Sí",1,IF('BCO Gioti 4'!D22="Parcial",0.5,0))+IF('BCO Gioti 4'!D23="Sí",1,IF('BCO Gioti 4'!D23="Parcial",0.5,0)))/5</f>
        <v>0</v>
      </c>
      <c r="C22" s="89">
        <f>(IF('BCO Gioti 4'!D26="Sí",1,IF('BCO Gioti 4'!D26="Parcial",0.5,0))+IF('BCO Gioti 4'!D27="Sí",1,IF('BCO Gioti 4'!D27="Parcial",0.5,0))+IF('BCO Gioti 4'!D28="Sí",1,IF('BCO Gioti 4'!D28="Parcial",0.5,0))+IF('BCO Gioti 4'!D29="Sí",1,IF('BCO Gioti 4'!D29="Parcial",0.5,0))+IF('BCO Gioti 4'!D30="Sí",1,IF('BCO Gioti 4'!D30="Parcial",0.5,0))+IF('BCO Gioti 4'!D31="Sí",1,IF('BCO Gioti 4'!D31="Parcial",0.5,0))+IF('BCO Gioti 4'!D32="Sí",1,IF('BCO Gioti 4'!D32="Parcial",0.5,0)))/7</f>
        <v>0</v>
      </c>
      <c r="D22" s="89">
        <f>(IF('BCO Gioti 4'!D35="Sí",1,IF('BCO Gioti 4'!D35="Parcial",0.5,0))+IF('BCO Gioti 4'!D36="Sí",1,IF('BCO Gioti 4'!D36="Parcial",0.5,0))+IF('BCO Gioti 4'!D37="Sí",1,IF('BCO Gioti 4'!D37="Parcial",0.5,0)))/3</f>
        <v>0</v>
      </c>
      <c r="E22" s="89">
        <f>(IF('BCO Gioti 4'!D40="Sí",1,IF('BCO Gioti 4'!D40="Parcial",0.5,0))+IF('BCO Gioti 4'!D41="Sí",1,IF('BCO Gioti 4'!D41="Parcial",0.5,0)))/2</f>
        <v>0</v>
      </c>
      <c r="F22" s="89">
        <f>IFERROR('BCO Gioti 4'!$E$43,0)</f>
        <v>0</v>
      </c>
    </row>
    <row r="25" spans="1:9" ht="15" customHeight="1">
      <c r="A25" s="87" t="s">
        <v>403</v>
      </c>
    </row>
    <row r="26" spans="1:9" ht="15" customHeight="1">
      <c r="A26" s="88" t="s">
        <v>385</v>
      </c>
      <c r="B26" s="88" t="s">
        <v>404</v>
      </c>
      <c r="C26" s="88" t="s">
        <v>405</v>
      </c>
      <c r="D26" s="88" t="s">
        <v>406</v>
      </c>
      <c r="E26" s="88" t="s">
        <v>407</v>
      </c>
      <c r="F26" s="88" t="s">
        <v>408</v>
      </c>
      <c r="G26" s="88" t="s">
        <v>409</v>
      </c>
      <c r="H26" s="88" t="s">
        <v>410</v>
      </c>
      <c r="I26" s="88" t="s">
        <v>411</v>
      </c>
    </row>
    <row r="27" spans="1:9" ht="15" customHeight="1">
      <c r="A27" s="1" t="s">
        <v>389</v>
      </c>
      <c r="B27" s="90">
        <f>IF(IFERROR('SURA Cotizadores'!C82,"")="Sí",1,IF(IFERROR('SURA Cotizadores'!C82,"")="Parcial",0.5,0))</f>
        <v>1</v>
      </c>
      <c r="C27" s="90">
        <f>IF(IFERROR('SURA Cotizadores'!C83,"")="Sí",1,IF(IFERROR('SURA Cotizadores'!C83,"")="Parcial",0.5,0))</f>
        <v>0.5</v>
      </c>
      <c r="D27" s="90">
        <f>IF(IFERROR('SURA Cotizadores'!C84,"")="Sí",1,IF(IFERROR('SURA Cotizadores'!C84,"")="Parcial",0.5,0))</f>
        <v>1</v>
      </c>
      <c r="E27" s="90">
        <f>IF(IFERROR('SURA Cotizadores'!C85,"")="Sí",1,IF(IFERROR('SURA Cotizadores'!C85,"")="Parcial",0.5,0))</f>
        <v>1</v>
      </c>
      <c r="F27" s="90">
        <f>IF(IFERROR('SURA Cotizadores'!C86,"")="Sí",1,IF(IFERROR('SURA Cotizadores'!C86,"")="Parcial",0.5,0))</f>
        <v>1</v>
      </c>
      <c r="G27" s="90">
        <f>IF(IFERROR('SURA Cotizadores'!C87,"")="Sí",1,IF(IFERROR('SURA Cotizadores'!C87,"")="Parcial",0.5,0))</f>
        <v>0.5</v>
      </c>
      <c r="H27" s="90">
        <f>IF(IFERROR('SURA Cotizadores'!C88,"")="Sí",1,IF(IFERROR('SURA Cotizadores'!C88,"")="Parcial",0.5,0))</f>
        <v>0</v>
      </c>
      <c r="I27" s="90">
        <f t="shared" ref="I27:I34" si="0">SUM(B27:H27)</f>
        <v>5</v>
      </c>
    </row>
    <row r="28" spans="1:9" ht="15" customHeight="1">
      <c r="A28" s="1" t="s">
        <v>390</v>
      </c>
      <c r="B28" s="90">
        <f>IF(IFERROR('SURA Venta Digital'!C83,"")="Sí",1,IF(IFERROR('SURA Venta Digital'!C83,"")="Parcial",0.5,0))</f>
        <v>1</v>
      </c>
      <c r="C28" s="90">
        <f>IF(IFERROR('SURA Venta Digital'!C84,"")="Sí",1,IF(IFERROR('SURA Venta Digital'!C84,"")="Parcial",0.5,0))</f>
        <v>1</v>
      </c>
      <c r="D28" s="90">
        <f>IF(IFERROR('SURA Venta Digital'!C85,"")="Sí",1,IF(IFERROR('SURA Venta Digital'!C85,"")="Parcial",0.5,0))</f>
        <v>1</v>
      </c>
      <c r="E28" s="90">
        <f>IF(IFERROR('SURA Venta Digital'!C86,"")="Sí",1,IF(IFERROR('SURA Venta Digital'!C86,"")="Parcial",0.5,0))</f>
        <v>1</v>
      </c>
      <c r="F28" s="90">
        <f>IF(IFERROR('SURA Venta Digital'!C87,"")="Sí",1,IF(IFERROR('SURA Venta Digital'!C87,"")="Parcial",0.5,0))</f>
        <v>1</v>
      </c>
      <c r="G28" s="90">
        <f>IF(IFERROR('SURA Venta Digital'!C88,"")="Sí",1,IF(IFERROR('SURA Venta Digital'!C88,"")="Parcial",0.5,0))</f>
        <v>1</v>
      </c>
      <c r="H28" s="90">
        <f>IF(IFERROR('SURA Venta Digital'!C89,"")="Sí",1,IF(IFERROR('SURA Venta Digital'!C89,"")="Parcial",0.5,0))</f>
        <v>1</v>
      </c>
      <c r="I28" s="90">
        <f t="shared" si="0"/>
        <v>7</v>
      </c>
    </row>
    <row r="29" spans="1:9" ht="15" customHeight="1">
      <c r="A29" s="1" t="s">
        <v>391</v>
      </c>
      <c r="B29" s="90">
        <f>IF(IFERROR('SURA Torre Control'!C83,"")="Sí",1,IF(IFERROR('SURA Torre Control'!C83,"")="Parcial",0.5,0))</f>
        <v>0</v>
      </c>
      <c r="C29" s="90">
        <f>IF(IFERROR('SURA Torre Control'!C84,"")="Sí",1,IF(IFERROR('SURA Torre Control'!C84,"")="Parcial",0.5,0))</f>
        <v>0</v>
      </c>
      <c r="D29" s="90">
        <f>IF(IFERROR('SURA Torre Control'!C85,"")="Sí",1,IF(IFERROR('SURA Torre Control'!C85,"")="Parcial",0.5,0))</f>
        <v>0</v>
      </c>
      <c r="E29" s="90">
        <f>IF(IFERROR('SURA Torre Control'!C86,"")="Sí",1,IF(IFERROR('SURA Torre Control'!C86,"")="Parcial",0.5,0))</f>
        <v>0</v>
      </c>
      <c r="F29" s="90">
        <f>IF(IFERROR('SURA Torre Control'!C87,"")="Sí",1,IF(IFERROR('SURA Torre Control'!C87,"")="Parcial",0.5,0))</f>
        <v>0</v>
      </c>
      <c r="G29" s="90">
        <f>IF(IFERROR('SURA Torre Control'!C88,"")="Sí",1,IF(IFERROR('SURA Torre Control'!C88,"")="Parcial",0.5,0))</f>
        <v>0</v>
      </c>
      <c r="H29" s="90">
        <f>IF(IFERROR('SURA Torre Control'!C89,"")="Sí",1,IF(IFERROR('SURA Torre Control'!C89,"")="Parcial",0.5,0))</f>
        <v>0</v>
      </c>
      <c r="I29" s="90">
        <f t="shared" si="0"/>
        <v>0</v>
      </c>
    </row>
    <row r="30" spans="1:9" ht="15" customHeight="1">
      <c r="A30" s="1" t="s">
        <v>392</v>
      </c>
      <c r="B30" s="90">
        <f>IF(IFERROR('SURA Mesa 4'!C83,"")="Sí",1,IF(IFERROR('SURA Mesa 4'!C83,"")="Parcial",0.5,0))</f>
        <v>0</v>
      </c>
      <c r="C30" s="90">
        <f>IF(IFERROR('SURA Mesa 4'!C84,"")="Sí",1,IF(IFERROR('SURA Mesa 4'!C84,"")="Parcial",0.5,0))</f>
        <v>0</v>
      </c>
      <c r="D30" s="90">
        <f>IF(IFERROR('SURA Mesa 4'!C85,"")="Sí",1,IF(IFERROR('SURA Mesa 4'!C85,"")="Parcial",0.5,0))</f>
        <v>0</v>
      </c>
      <c r="E30" s="90">
        <f>IF(IFERROR('SURA Mesa 4'!C86,"")="Sí",1,IF(IFERROR('SURA Mesa 4'!C86,"")="Parcial",0.5,0))</f>
        <v>0</v>
      </c>
      <c r="F30" s="90">
        <f>IF(IFERROR('SURA Mesa 4'!C87,"")="Sí",1,IF(IFERROR('SURA Mesa 4'!C87,"")="Parcial",0.5,0))</f>
        <v>0</v>
      </c>
      <c r="G30" s="90">
        <f>IF(IFERROR('SURA Mesa 4'!C88,"")="Sí",1,IF(IFERROR('SURA Mesa 4'!C88,"")="Parcial",0.5,0))</f>
        <v>0</v>
      </c>
      <c r="H30" s="90">
        <f>IF(IFERROR('SURA Mesa 4'!C89,"")="Sí",1,IF(IFERROR('SURA Mesa 4'!C89,"")="Parcial",0.5,0))</f>
        <v>0</v>
      </c>
      <c r="I30" s="90">
        <f t="shared" si="0"/>
        <v>0</v>
      </c>
    </row>
    <row r="31" spans="1:9" ht="15" customHeight="1">
      <c r="A31" s="1" t="s">
        <v>393</v>
      </c>
      <c r="B31" s="90">
        <f>IF(IFERROR('BCO Gioti 1'!C83,"")="Sí",1,IF(IFERROR('BCO Gioti 1'!C83,"")="Parcial",0.5,0))</f>
        <v>0.5</v>
      </c>
      <c r="C31" s="90">
        <f>IF(IFERROR('BCO Gioti 1'!C84,"")="Sí",1,IF(IFERROR('BCO Gioti 1'!C84,"")="Parcial",0.5,0))</f>
        <v>0</v>
      </c>
      <c r="D31" s="90">
        <f>IF(IFERROR('BCO Gioti 1'!C85,"")="Sí",1,IF(IFERROR('BCO Gioti 1'!C85,"")="Parcial",0.5,0))</f>
        <v>0.5</v>
      </c>
      <c r="E31" s="90">
        <f>IF(IFERROR('BCO Gioti 1'!C86,"")="Sí",1,IF(IFERROR('BCO Gioti 1'!C86,"")="Parcial",0.5,0))</f>
        <v>0</v>
      </c>
      <c r="F31" s="90">
        <f>IF(IFERROR('BCO Gioti 1'!C87,"")="Sí",1,IF(IFERROR('BCO Gioti 1'!C87,"")="Parcial",0.5,0))</f>
        <v>0</v>
      </c>
      <c r="G31" s="90">
        <f>IF(IFERROR('BCO Gioti 1'!C88,"")="Sí",1,IF(IFERROR('BCO Gioti 1'!C88,"")="Parcial",0.5,0))</f>
        <v>0</v>
      </c>
      <c r="H31" s="90">
        <f>IF(IFERROR('BCO Gioti 1'!C89,"")="Sí",1,IF(IFERROR('BCO Gioti 1'!C89,"")="Parcial",0.5,0))</f>
        <v>0</v>
      </c>
      <c r="I31" s="90">
        <f t="shared" si="0"/>
        <v>1</v>
      </c>
    </row>
    <row r="32" spans="1:9" ht="15" customHeight="1">
      <c r="A32" s="1" t="s">
        <v>394</v>
      </c>
      <c r="B32" s="90">
        <f>IF(IFERROR('BCO Gioti 2'!C83,"")="Sí",1,IF(IFERROR('BCO Gioti 2'!C83,"")="Parcial",0.5,0))</f>
        <v>0</v>
      </c>
      <c r="C32" s="90">
        <f>IF(IFERROR('BCO Gioti 2'!C84,"")="Sí",1,IF(IFERROR('BCO Gioti 2'!C84,"")="Parcial",0.5,0))</f>
        <v>0</v>
      </c>
      <c r="D32" s="90">
        <f>IF(IFERROR('BCO Gioti 2'!C85,"")="Sí",1,IF(IFERROR('BCO Gioti 2'!C85,"")="Parcial",0.5,0))</f>
        <v>0</v>
      </c>
      <c r="E32" s="90">
        <f>IF(IFERROR('BCO Gioti 2'!C86,"")="Sí",1,IF(IFERROR('BCO Gioti 2'!C86,"")="Parcial",0.5,0))</f>
        <v>0</v>
      </c>
      <c r="F32" s="90">
        <f>IF(IFERROR('BCO Gioti 2'!C87,"")="Sí",1,IF(IFERROR('BCO Gioti 2'!C87,"")="Parcial",0.5,0))</f>
        <v>0</v>
      </c>
      <c r="G32" s="90">
        <f>IF(IFERROR('BCO Gioti 2'!C88,"")="Sí",1,IF(IFERROR('BCO Gioti 2'!C88,"")="Parcial",0.5,0))</f>
        <v>0</v>
      </c>
      <c r="H32" s="90">
        <f>IF(IFERROR('BCO Gioti 2'!C89,"")="Sí",1,IF(IFERROR('BCO Gioti 2'!C89,"")="Parcial",0.5,0))</f>
        <v>0</v>
      </c>
      <c r="I32" s="90">
        <f t="shared" si="0"/>
        <v>0</v>
      </c>
    </row>
    <row r="33" spans="1:9" ht="15" customHeight="1">
      <c r="A33" s="1" t="s">
        <v>395</v>
      </c>
      <c r="B33" s="90">
        <f>IF(IFERROR('BCO Gioti 3'!C83,"")="Sí",1,IF(IFERROR('BCO Gioti 3'!C83,"")="Parcial",0.5,0))</f>
        <v>0</v>
      </c>
      <c r="C33" s="90">
        <f>IF(IFERROR('BCO Gioti 3'!C84,"")="Sí",1,IF(IFERROR('BCO Gioti 3'!C84,"")="Parcial",0.5,0))</f>
        <v>0</v>
      </c>
      <c r="D33" s="90">
        <f>IF(IFERROR('BCO Gioti 3'!C85,"")="Sí",1,IF(IFERROR('BCO Gioti 3'!C85,"")="Parcial",0.5,0))</f>
        <v>0</v>
      </c>
      <c r="E33" s="90">
        <f>IF(IFERROR('BCO Gioti 3'!C86,"")="Sí",1,IF(IFERROR('BCO Gioti 3'!C86,"")="Parcial",0.5,0))</f>
        <v>0</v>
      </c>
      <c r="F33" s="90">
        <f>IF(IFERROR('BCO Gioti 3'!C87,"")="Sí",1,IF(IFERROR('BCO Gioti 3'!C87,"")="Parcial",0.5,0))</f>
        <v>0</v>
      </c>
      <c r="G33" s="90">
        <f>IF(IFERROR('BCO Gioti 3'!C88,"")="Sí",1,IF(IFERROR('BCO Gioti 3'!C88,"")="Parcial",0.5,0))</f>
        <v>0</v>
      </c>
      <c r="H33" s="90">
        <f>IF(IFERROR('BCO Gioti 3'!C89,"")="Sí",1,IF(IFERROR('BCO Gioti 3'!C89,"")="Parcial",0.5,0))</f>
        <v>0</v>
      </c>
      <c r="I33" s="90">
        <f t="shared" si="0"/>
        <v>0</v>
      </c>
    </row>
    <row r="34" spans="1:9" ht="15" customHeight="1">
      <c r="A34" s="1" t="s">
        <v>396</v>
      </c>
      <c r="B34" s="90">
        <f>IF(IFERROR('BCO Gioti 4'!C83,"")="Sí",1,IF(IFERROR('BCO Gioti 4'!C83,"")="Parcial",0.5,0))</f>
        <v>0</v>
      </c>
      <c r="C34" s="90">
        <f>IF(IFERROR('BCO Gioti 4'!C84,"")="Sí",1,IF(IFERROR('BCO Gioti 4'!C84,"")="Parcial",0.5,0))</f>
        <v>0</v>
      </c>
      <c r="D34" s="90">
        <f>IF(IFERROR('BCO Gioti 4'!C85,"")="Sí",1,IF(IFERROR('BCO Gioti 4'!C85,"")="Parcial",0.5,0))</f>
        <v>0</v>
      </c>
      <c r="E34" s="90">
        <f>IF(IFERROR('BCO Gioti 4'!C86,"")="Sí",1,IF(IFERROR('BCO Gioti 4'!C86,"")="Parcial",0.5,0))</f>
        <v>0</v>
      </c>
      <c r="F34" s="90">
        <f>IF(IFERROR('BCO Gioti 4'!C87,"")="Sí",1,IF(IFERROR('BCO Gioti 4'!C87,"")="Parcial",0.5,0))</f>
        <v>0</v>
      </c>
      <c r="G34" s="90">
        <f>IF(IFERROR('BCO Gioti 4'!C88,"")="Sí",1,IF(IFERROR('BCO Gioti 4'!C88,"")="Parcial",0.5,0))</f>
        <v>0</v>
      </c>
      <c r="H34" s="90">
        <f>IF(IFERROR('BCO Gioti 4'!C89,"")="Sí",1,IF(IFERROR('BCO Gioti 4'!C89,"")="Parcial",0.5,0))</f>
        <v>0</v>
      </c>
      <c r="I34" s="90">
        <f t="shared" si="0"/>
        <v>0</v>
      </c>
    </row>
    <row r="36" spans="1:9" ht="15" customHeight="1">
      <c r="A36" s="88" t="s">
        <v>412</v>
      </c>
      <c r="B36" s="1">
        <f t="shared" ref="B36:H36" si="1">SUM(B27:B34)</f>
        <v>2.5</v>
      </c>
      <c r="C36" s="1">
        <f t="shared" si="1"/>
        <v>1.5</v>
      </c>
      <c r="D36" s="1">
        <f t="shared" si="1"/>
        <v>2.5</v>
      </c>
      <c r="E36" s="1">
        <f t="shared" si="1"/>
        <v>2</v>
      </c>
      <c r="F36" s="1">
        <f t="shared" si="1"/>
        <v>2</v>
      </c>
      <c r="G36" s="1">
        <f t="shared" si="1"/>
        <v>1.5</v>
      </c>
      <c r="H36" s="1">
        <f t="shared" si="1"/>
        <v>1</v>
      </c>
    </row>
    <row r="39" spans="1:9" ht="15" customHeight="1">
      <c r="A39" s="87" t="s">
        <v>413</v>
      </c>
    </row>
    <row r="40" spans="1:9" ht="15" customHeight="1">
      <c r="A40" s="88" t="s">
        <v>414</v>
      </c>
      <c r="B40" s="88" t="s">
        <v>415</v>
      </c>
      <c r="C40" s="88" t="s">
        <v>416</v>
      </c>
      <c r="D40" s="88" t="s">
        <v>417</v>
      </c>
    </row>
    <row r="41" spans="1:9" ht="15" customHeight="1">
      <c r="A41" s="1" t="s">
        <v>398</v>
      </c>
      <c r="B41" s="89">
        <f>AVERAGE(B15:B18)</f>
        <v>0.2</v>
      </c>
      <c r="C41" s="89">
        <f>AVERAGE(B19:B22)</f>
        <v>0.2</v>
      </c>
      <c r="D41" s="89">
        <v>1</v>
      </c>
    </row>
    <row r="42" spans="1:9" ht="15" customHeight="1">
      <c r="A42" s="1" t="s">
        <v>399</v>
      </c>
      <c r="B42" s="89">
        <f>AVERAGE(C15:C18)</f>
        <v>0.17857142857142858</v>
      </c>
      <c r="C42" s="89">
        <f>AVERAGE(C19:C22)</f>
        <v>0.19642857142857142</v>
      </c>
      <c r="D42" s="89">
        <v>1</v>
      </c>
    </row>
    <row r="43" spans="1:9" ht="15" customHeight="1">
      <c r="A43" s="1" t="s">
        <v>400</v>
      </c>
      <c r="B43" s="89">
        <f>AVERAGE(D15:D18)</f>
        <v>0.16666666666666666</v>
      </c>
      <c r="C43" s="89">
        <f>AVERAGE(D19:D22)</f>
        <v>0.20833333333333334</v>
      </c>
      <c r="D43" s="89">
        <v>1</v>
      </c>
    </row>
    <row r="44" spans="1:9" ht="15" customHeight="1">
      <c r="A44" s="1" t="s">
        <v>401</v>
      </c>
      <c r="B44" s="89">
        <f>AVERAGE(E15:E18)</f>
        <v>6.25E-2</v>
      </c>
      <c r="C44" s="89">
        <f>AVERAGE(E19:E22)</f>
        <v>0.1875</v>
      </c>
      <c r="D44" s="89">
        <v>1</v>
      </c>
    </row>
    <row r="47" spans="1:9" ht="15" customHeight="1">
      <c r="A47" s="87" t="s">
        <v>418</v>
      </c>
    </row>
    <row r="48" spans="1:9" ht="15" customHeight="1">
      <c r="A48" s="88" t="s">
        <v>419</v>
      </c>
      <c r="B48" s="88" t="s">
        <v>420</v>
      </c>
      <c r="C48" s="88" t="s">
        <v>421</v>
      </c>
      <c r="D48" s="88" t="s">
        <v>422</v>
      </c>
    </row>
    <row r="49" spans="1:4" ht="15" customHeight="1">
      <c r="A49" s="1" t="s">
        <v>423</v>
      </c>
      <c r="B49" s="89">
        <v>0.75</v>
      </c>
      <c r="C49" s="89">
        <v>0.85</v>
      </c>
      <c r="D49" s="89">
        <f>(IFERROR('SURA Cotizadores'!C50,0)+IFERROR('SURA Venta Digital'!C51,0)+IFERROR('SURA Torre Control'!C51,0)+IFERROR('SURA Mesa 4'!C51,0)+IFERROR('BCO Gioti 1'!C51,0)+IFERROR('BCO Gioti 2'!C51,0)+IFERROR('BCO Gioti 3'!C51,0)+IFERROR('BCO Gioti 4'!C51,0))/8</f>
        <v>0.25624999999999998</v>
      </c>
    </row>
    <row r="50" spans="1:4" ht="15" customHeight="1">
      <c r="A50" s="1" t="s">
        <v>251</v>
      </c>
      <c r="B50" s="89">
        <v>0.95</v>
      </c>
      <c r="C50" s="89">
        <v>0.98</v>
      </c>
      <c r="D50" s="89">
        <f>(IFERROR('SURA Cotizadores'!C52,0)+IFERROR('SURA Venta Digital'!C53,0)+IFERROR('SURA Torre Control'!C53,0)+IFERROR('SURA Mesa 4'!C53,0)+IFERROR('BCO Gioti 1'!C53,0)+IFERROR('BCO Gioti 2'!C53,0)+IFERROR('BCO Gioti 3'!C53,0)+IFERROR('BCO Gioti 4'!C53,0))/8</f>
        <v>0.32874999999999999</v>
      </c>
    </row>
    <row r="51" spans="1:4" ht="15" customHeight="1">
      <c r="A51" s="1" t="s">
        <v>128</v>
      </c>
      <c r="B51" s="1">
        <v>45</v>
      </c>
      <c r="C51" s="1">
        <v>65</v>
      </c>
    </row>
    <row r="52" spans="1:4" ht="15" customHeight="1">
      <c r="A52" s="1" t="s">
        <v>424</v>
      </c>
      <c r="B52" s="89">
        <v>0.15</v>
      </c>
      <c r="C52" s="89">
        <v>0.08</v>
      </c>
    </row>
    <row r="53" spans="1:4" ht="15" customHeight="1">
      <c r="A53" s="1" t="s">
        <v>425</v>
      </c>
      <c r="B53" s="89">
        <v>0.2</v>
      </c>
      <c r="C53" s="89">
        <v>0.4</v>
      </c>
    </row>
    <row r="54" spans="1:4" ht="15" customHeight="1">
      <c r="A54" s="1" t="s">
        <v>426</v>
      </c>
      <c r="B54" s="1">
        <v>15</v>
      </c>
      <c r="C54" s="1">
        <v>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2026-07-06T14:59:58Z</dcterms:modified>
  <cp:category/>
  <cp:contentStatus/>
</cp:coreProperties>
</file>