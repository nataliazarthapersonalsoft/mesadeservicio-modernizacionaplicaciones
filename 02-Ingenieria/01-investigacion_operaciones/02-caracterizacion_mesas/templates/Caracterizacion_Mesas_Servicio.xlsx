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1" activeTab="1" autoFilterDateGrouping="1"/>
  </bookViews>
  <sheets>
    <sheet xmlns:r="http://schemas.openxmlformats.org/officeDocument/2006/relationships" name="Listas" sheetId="1" state="hidden" r:id="rId1"/>
    <sheet xmlns:r="http://schemas.openxmlformats.org/officeDocument/2006/relationships" name="SURA Cotizadores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SURA Venta Digital" sheetId="5" state="visible" r:id="rId5"/>
    <sheet xmlns:r="http://schemas.openxmlformats.org/officeDocument/2006/relationships" name="SURA Torre Control" sheetId="6" state="visible" r:id="rId6"/>
    <sheet xmlns:r="http://schemas.openxmlformats.org/officeDocument/2006/relationships" name="SURA Mesa 4" sheetId="7" state="visible" r:id="rId7"/>
    <sheet xmlns:r="http://schemas.openxmlformats.org/officeDocument/2006/relationships" name="BCO Gioti 1" sheetId="8" state="visible" r:id="rId8"/>
    <sheet xmlns:r="http://schemas.openxmlformats.org/officeDocument/2006/relationships" name="BCO Gioti 2" sheetId="9" state="visible" r:id="rId9"/>
    <sheet xmlns:r="http://schemas.openxmlformats.org/officeDocument/2006/relationships" name="BCO Gioti 3" sheetId="10" state="visible" r:id="rId10"/>
    <sheet xmlns:r="http://schemas.openxmlformats.org/officeDocument/2006/relationships" name="BCO Gioti 4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"/>
  </numFmts>
  <fonts count="6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color rgb="FF374151"/>
      <sz val="10"/>
    </font>
    <font>
      <name val="Calibri"/>
      <charset val="1"/>
      <family val="0"/>
      <b val="1"/>
      <color rgb="FFFFFFFF"/>
      <sz val="15"/>
    </font>
    <font>
      <name val="Calibri"/>
      <charset val="1"/>
      <family val="0"/>
      <color rgb="FFFFFFFF"/>
      <sz val="10"/>
    </font>
    <font>
      <name val="Calibri"/>
      <charset val="1"/>
      <family val="0"/>
      <color rgb="FF6B7280"/>
      <sz val="9"/>
    </font>
    <font>
      <name val="Calibri"/>
      <charset val="1"/>
      <family val="0"/>
      <color rgb="FFD97706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i val="1"/>
      <color rgb="FF6B7280"/>
      <sz val="9"/>
    </font>
    <font>
      <name val="Calibri"/>
      <charset val="1"/>
      <family val="0"/>
      <b val="1"/>
      <color rgb="FF1B3A5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b val="1"/>
      <color rgb="FF374151"/>
      <sz val="10"/>
    </font>
    <font>
      <name val="Calibri"/>
      <charset val="1"/>
      <family val="0"/>
      <color rgb="FF991B1B"/>
      <sz val="10"/>
    </font>
    <font>
      <name val="Calibri"/>
      <charset val="1"/>
      <family val="0"/>
      <color rgb="FFFFFFFF"/>
      <sz val="9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i val="1"/>
      <color rgb="FF92400E"/>
      <sz val="10"/>
    </font>
    <font>
      <name val="Calibri"/>
      <charset val="1"/>
      <family val="0"/>
      <b val="1"/>
      <color rgb="FFC00000"/>
      <sz val="10"/>
    </font>
    <font>
      <name val="Calibri"/>
      <charset val="1"/>
      <family val="0"/>
      <b val="1"/>
      <color rgb="FFC00000"/>
      <sz val="9"/>
    </font>
    <font>
      <name val="Calibri"/>
      <charset val="1"/>
      <family val="0"/>
      <color rgb="FFC00000"/>
      <sz val="9"/>
    </font>
    <font>
      <name val="Calibri"/>
      <charset val="1"/>
      <family val="0"/>
      <b val="1"/>
      <color rgb="FF633806"/>
      <sz val="10"/>
    </font>
    <font>
      <name val="Calibri"/>
      <charset val="1"/>
      <family val="0"/>
      <b val="1"/>
      <color rgb="FF633806"/>
      <sz val="9"/>
    </font>
    <font>
      <name val="Calibri"/>
      <charset val="1"/>
      <family val="0"/>
      <color rgb="FF633806"/>
      <sz val="9"/>
    </font>
    <font>
      <name val="Calibri"/>
      <charset val="1"/>
      <family val="0"/>
      <b val="1"/>
      <color rgb="FF1D4ED8"/>
      <sz val="10"/>
    </font>
    <font>
      <name val="Calibri"/>
      <charset val="1"/>
      <family val="0"/>
      <b val="1"/>
      <color rgb="FF1D4ED8"/>
      <sz val="9"/>
    </font>
    <font>
      <name val="Calibri"/>
      <charset val="1"/>
      <family val="0"/>
      <color rgb="FF1D4ED8"/>
      <sz val="9"/>
    </font>
    <font>
      <name val="Calibri"/>
      <charset val="1"/>
      <family val="0"/>
      <b val="1"/>
      <color rgb="FF5B21B6"/>
      <sz val="10"/>
    </font>
    <font>
      <name val="Calibri"/>
      <charset val="1"/>
      <family val="0"/>
      <b val="1"/>
      <color rgb="FF5B21B6"/>
      <sz val="9"/>
    </font>
    <font>
      <name val="Calibri"/>
      <charset val="1"/>
      <family val="0"/>
      <color rgb="FF5B21B6"/>
      <sz val="9"/>
    </font>
    <font>
      <name val="Calibri"/>
      <charset val="1"/>
      <family val="0"/>
      <b val="1"/>
      <color rgb="FF065F46"/>
      <sz val="10"/>
    </font>
    <font>
      <name val="Calibri"/>
      <charset val="1"/>
      <family val="0"/>
      <b val="1"/>
      <color rgb="FF065F46"/>
      <sz val="9"/>
    </font>
    <font>
      <name val="Calibri"/>
      <charset val="1"/>
      <family val="0"/>
      <color rgb="FF065F46"/>
      <sz val="9"/>
    </font>
    <font>
      <name val="Calibri"/>
      <charset val="1"/>
      <family val="0"/>
      <b val="1"/>
      <color rgb="FF1F4E78"/>
      <sz val="10"/>
    </font>
    <font>
      <name val="Calibri"/>
      <charset val="1"/>
      <family val="0"/>
      <b val="1"/>
      <color rgb="FF000000"/>
      <sz val="11"/>
    </font>
    <font>
      <name val="Calibri"/>
      <charset val="1"/>
      <family val="0"/>
      <i val="1"/>
      <color rgb="FF888888"/>
      <sz val="9"/>
    </font>
    <font>
      <name val="Calibri"/>
      <charset val="1"/>
      <family val="0"/>
      <b val="1"/>
      <color rgb="FF92400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FFFFFF"/>
      <sz val="16"/>
    </font>
    <font>
      <name val="Calibri"/>
      <charset val="1"/>
      <family val="0"/>
      <b val="1"/>
      <color rgb="FFFFFFFF"/>
      <sz val="12"/>
    </font>
    <font>
      <name val="Calibri"/>
      <charset val="1"/>
      <family val="0"/>
      <color rgb="FF374151"/>
      <sz val="9"/>
    </font>
    <font>
      <name val="Calibri"/>
      <charset val="1"/>
      <family val="0"/>
      <b val="1"/>
      <color rgb="FFFFFFFF"/>
      <sz val="13"/>
    </font>
    <font>
      <name val="Calibri"/>
      <charset val="1"/>
      <family val="0"/>
      <i val="1"/>
      <color rgb="FF7A7974"/>
      <sz val="9"/>
    </font>
    <font>
      <name val="Calibri"/>
      <charset val="1"/>
      <family val="0"/>
      <b val="1"/>
      <sz val="9"/>
    </font>
    <font>
      <name val="Calibri"/>
      <charset val="1"/>
      <family val="0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 Light"/>
      <color rgb="001A1A2E"/>
      <sz val="11"/>
    </font>
    <font>
      <name val="Calibri Light"/>
      <b val="1"/>
      <color rgb="00F2F2F2"/>
      <sz val="10"/>
    </font>
    <font>
      <name val="Calibri Light"/>
      <color rgb="001A1A2E"/>
      <sz val="10"/>
    </font>
    <font>
      <name val="Calibri Light"/>
      <b val="1"/>
      <color rgb="00F2F2F2"/>
      <sz val="15"/>
    </font>
    <font>
      <name val="Calibri Light"/>
      <color rgb="001A1A2E"/>
      <sz val="9"/>
    </font>
    <font>
      <name val="Calibri Light"/>
      <b val="1"/>
      <color rgb="00F2F2F2"/>
      <sz val="11"/>
    </font>
    <font>
      <name val="Calibri Light"/>
      <b val="1"/>
      <color rgb="00F2F2F2"/>
      <sz val="9"/>
    </font>
    <font>
      <name val="Calibri Light"/>
      <b val="1"/>
      <color rgb="001A1A2E"/>
      <sz val="10"/>
    </font>
    <font>
      <name val="Calibri Light"/>
      <color rgb="00F2F2F2"/>
      <sz val="9"/>
    </font>
    <font>
      <name val="Calibri Light"/>
      <b val="1"/>
      <color rgb="00F2F2F2"/>
      <sz val="14"/>
    </font>
    <font>
      <name val="Calibri Light"/>
      <b val="1"/>
      <color rgb="001A1A2E"/>
      <sz val="9"/>
    </font>
    <font>
      <name val="Calibri Light"/>
      <b val="1"/>
      <color rgb="001A1A2E"/>
      <sz val="11"/>
    </font>
    <font>
      <name val="Calibri Light"/>
      <b val="1"/>
      <color rgb="00F2F2F2"/>
      <sz val="16"/>
    </font>
    <font>
      <name val="Calibri Light"/>
      <b val="1"/>
      <color rgb="00F2F2F2"/>
      <sz val="12"/>
    </font>
    <font>
      <name val="Calibri Light"/>
      <b val="1"/>
      <color rgb="00F2F2F2"/>
      <sz val="13"/>
    </font>
    <font>
      <name val="Calibri Light"/>
      <color rgb="00AAAACC"/>
      <sz val="10"/>
    </font>
  </fonts>
  <fills count="28">
    <fill>
      <patternFill/>
    </fill>
    <fill>
      <patternFill patternType="gray125"/>
    </fill>
    <fill>
      <patternFill patternType="solid">
        <fgColor rgb="FF1B3A5C"/>
        <bgColor rgb="FF1B474D"/>
      </patternFill>
    </fill>
    <fill>
      <patternFill patternType="solid">
        <fgColor rgb="FFF3F4F6"/>
        <bgColor rgb="FFEBF3FB"/>
      </patternFill>
    </fill>
    <fill>
      <patternFill patternType="solid">
        <fgColor rgb="FFFFFFFF"/>
        <bgColor rgb="FFFEFCE8"/>
      </patternFill>
    </fill>
    <fill>
      <patternFill patternType="solid">
        <fgColor rgb="FF01696F"/>
        <bgColor rgb="FF065F46"/>
      </patternFill>
    </fill>
    <fill>
      <patternFill patternType="solid">
        <fgColor rgb="FFFEFCE8"/>
        <bgColor rgb="FFFFFDE7"/>
      </patternFill>
    </fill>
    <fill>
      <patternFill patternType="solid">
        <fgColor rgb="FF2E5FA3"/>
        <bgColor rgb="FF3574BF"/>
      </patternFill>
    </fill>
    <fill>
      <patternFill patternType="solid">
        <fgColor rgb="FFD6E4F7"/>
        <bgColor rgb="FFDBEAFE"/>
      </patternFill>
    </fill>
    <fill>
      <patternFill patternType="solid">
        <fgColor rgb="FFD0ECEC"/>
        <bgColor rgb="FFD6E4F7"/>
      </patternFill>
    </fill>
    <fill>
      <patternFill patternType="solid">
        <fgColor rgb="FFFEE2E2"/>
        <bgColor rgb="FFFAECE7"/>
      </patternFill>
    </fill>
    <fill>
      <patternFill patternType="solid">
        <fgColor rgb="FFDCFCE7"/>
        <bgColor rgb="FFD1FAE5"/>
      </patternFill>
    </fill>
    <fill>
      <patternFill patternType="solid">
        <fgColor rgb="FF374151"/>
        <bgColor rgb="FF1B474D"/>
      </patternFill>
    </fill>
    <fill>
      <patternFill patternType="solid">
        <fgColor rgb="FFFF6B35"/>
        <bgColor rgb="FFED7D31"/>
      </patternFill>
    </fill>
    <fill>
      <patternFill patternType="solid">
        <fgColor rgb="FFFEF3C7"/>
        <bgColor rgb="FFFAEEDA"/>
      </patternFill>
    </fill>
    <fill>
      <patternFill patternType="solid">
        <fgColor rgb="FF1F4E78"/>
        <bgColor rgb="FF1B474D"/>
      </patternFill>
    </fill>
    <fill>
      <patternFill patternType="solid">
        <fgColor rgb="FFFAECE7"/>
        <bgColor rgb="FFFAEEDA"/>
      </patternFill>
    </fill>
    <fill>
      <patternFill patternType="solid">
        <fgColor rgb="FFFAEEDA"/>
        <bgColor rgb="FFFAECE7"/>
      </patternFill>
    </fill>
    <fill>
      <patternFill patternType="solid">
        <fgColor rgb="FFDBEAFE"/>
        <bgColor rgb="FFD6E4F7"/>
      </patternFill>
    </fill>
    <fill>
      <patternFill patternType="solid">
        <fgColor rgb="FFEDE9FE"/>
        <bgColor rgb="FFEBF3FB"/>
      </patternFill>
    </fill>
    <fill>
      <patternFill patternType="solid">
        <fgColor rgb="FFD1FAE5"/>
        <bgColor rgb="FFDCFCE7"/>
      </patternFill>
    </fill>
    <fill>
      <patternFill patternType="solid">
        <fgColor rgb="FFEBF3FB"/>
        <bgColor rgb="FFF3F4F6"/>
      </patternFill>
    </fill>
    <fill>
      <patternFill patternType="solid">
        <fgColor rgb="FFFFFDE7"/>
        <bgColor rgb="FFFEFCE8"/>
      </patternFill>
    </fill>
    <fill>
      <patternFill patternType="solid">
        <fgColor rgb="FFFFFAE5"/>
        <bgColor rgb="FFFEFCE8"/>
      </patternFill>
    </fill>
    <fill>
      <patternFill patternType="solid">
        <fgColor rgb="FF1B474D"/>
        <bgColor rgb="FF1B3A5C"/>
      </patternFill>
    </fill>
    <fill>
      <patternFill patternType="solid">
        <fgColor rgb="00132346"/>
      </patternFill>
    </fill>
    <fill>
      <patternFill patternType="solid">
        <fgColor rgb="00DCE6F1"/>
      </patternFill>
    </fill>
    <fill>
      <patternFill patternType="solid">
        <fgColor rgb="000072BC"/>
      </patternFill>
    </fill>
  </fills>
  <borders count="3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medium">
        <color rgb="FFF59E0B"/>
      </left>
      <right style="medium">
        <color rgb="FFF59E0B"/>
      </right>
      <top style="medium">
        <color rgb="FFF59E0B"/>
      </top>
      <bottom style="medium">
        <color rgb="FFF59E0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left" vertical="center" wrapText="1"/>
    </xf>
    <xf numFmtId="0" fontId="9" fillId="6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11" fillId="3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12" fillId="8" borderId="0" applyAlignment="1" pivotButton="0" quotePrefix="0" xfId="0">
      <alignment horizontal="left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14" fillId="8" borderId="0" applyAlignment="1" pivotButton="0" quotePrefix="0" xfId="0">
      <alignment horizontal="left" vertical="center" wrapText="1"/>
    </xf>
    <xf numFmtId="0" fontId="14" fillId="8" borderId="0" applyAlignment="1" pivotButton="0" quotePrefix="0" xfId="0">
      <alignment horizontal="center" vertical="center" wrapText="1"/>
    </xf>
    <xf numFmtId="0" fontId="14" fillId="8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left" vertical="center" wrapText="1"/>
    </xf>
    <xf numFmtId="0" fontId="5" fillId="9" borderId="0" applyAlignment="1" pivotButton="0" quotePrefix="0" xfId="0">
      <alignment horizontal="left" vertical="center" wrapText="1"/>
    </xf>
    <xf numFmtId="0" fontId="12" fillId="1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left" vertical="center" wrapText="1"/>
    </xf>
    <xf numFmtId="0" fontId="12" fillId="11" borderId="0" applyAlignment="1" pivotButton="0" quotePrefix="0" xfId="0">
      <alignment horizontal="left" vertical="center" wrapText="1"/>
    </xf>
    <xf numFmtId="0" fontId="16" fillId="12" borderId="0" applyAlignment="1" pivotButton="0" quotePrefix="0" xfId="0">
      <alignment horizontal="center" vertical="center" wrapText="1"/>
    </xf>
    <xf numFmtId="0" fontId="17" fillId="13" borderId="0" applyAlignment="1" pivotButton="0" quotePrefix="0" xfId="0">
      <alignment horizontal="center" vertical="center" wrapText="1"/>
    </xf>
    <xf numFmtId="0" fontId="18" fillId="14" borderId="0" applyAlignment="1" pivotButton="0" quotePrefix="0" xfId="0">
      <alignment horizontal="center" vertical="center" wrapText="1"/>
    </xf>
    <xf numFmtId="0" fontId="4" fillId="15" borderId="0" applyAlignment="1" pivotButton="0" quotePrefix="0" xfId="0">
      <alignment horizontal="center" vertical="center" wrapText="1"/>
    </xf>
    <xf numFmtId="0" fontId="4" fillId="15" borderId="0" applyAlignment="1" pivotButton="0" quotePrefix="0" xfId="0">
      <alignment horizontal="left" vertical="center" wrapText="1"/>
    </xf>
    <xf numFmtId="0" fontId="19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1" fillId="16" borderId="0" applyAlignment="1" pivotButton="0" quotePrefix="0" xfId="0">
      <alignment horizontal="left" vertical="center" wrapText="1"/>
    </xf>
    <xf numFmtId="0" fontId="22" fillId="17" borderId="0" applyAlignment="1" pivotButton="0" quotePrefix="0" xfId="0">
      <alignment horizontal="center" vertical="center" wrapText="1"/>
    </xf>
    <xf numFmtId="0" fontId="23" fillId="17" borderId="0" applyAlignment="1" pivotButton="0" quotePrefix="0" xfId="0">
      <alignment horizontal="center" vertical="center" wrapText="1"/>
    </xf>
    <xf numFmtId="0" fontId="24" fillId="17" borderId="0" applyAlignment="1" pivotButton="0" quotePrefix="0" xfId="0">
      <alignment horizontal="left" vertical="center" wrapText="1"/>
    </xf>
    <xf numFmtId="0" fontId="25" fillId="18" borderId="0" applyAlignment="1" pivotButton="0" quotePrefix="0" xfId="0">
      <alignment horizontal="center" vertical="center" wrapText="1"/>
    </xf>
    <xf numFmtId="0" fontId="26" fillId="18" borderId="0" applyAlignment="1" pivotButton="0" quotePrefix="0" xfId="0">
      <alignment horizontal="center" vertical="center" wrapText="1"/>
    </xf>
    <xf numFmtId="0" fontId="27" fillId="18" borderId="0" applyAlignment="1" pivotButton="0" quotePrefix="0" xfId="0">
      <alignment horizontal="left" vertical="center" wrapText="1"/>
    </xf>
    <xf numFmtId="0" fontId="28" fillId="19" borderId="0" applyAlignment="1" pivotButton="0" quotePrefix="0" xfId="0">
      <alignment horizontal="center" vertical="center" wrapText="1"/>
    </xf>
    <xf numFmtId="0" fontId="29" fillId="19" borderId="0" applyAlignment="1" pivotButton="0" quotePrefix="0" xfId="0">
      <alignment horizontal="center" vertical="center" wrapText="1"/>
    </xf>
    <xf numFmtId="0" fontId="30" fillId="19" borderId="0" applyAlignment="1" pivotButton="0" quotePrefix="0" xfId="0">
      <alignment horizontal="left" vertical="center" wrapText="1"/>
    </xf>
    <xf numFmtId="0" fontId="31" fillId="20" borderId="0" applyAlignment="1" pivotButton="0" quotePrefix="0" xfId="0">
      <alignment horizontal="center" vertical="center" wrapText="1"/>
    </xf>
    <xf numFmtId="0" fontId="32" fillId="20" borderId="0" applyAlignment="1" pivotButton="0" quotePrefix="0" xfId="0">
      <alignment horizontal="center" vertical="center" wrapText="1"/>
    </xf>
    <xf numFmtId="0" fontId="33" fillId="20" borderId="0" applyAlignment="1" pivotButton="0" quotePrefix="0" xfId="0">
      <alignment horizontal="left" vertical="center" wrapText="1"/>
    </xf>
    <xf numFmtId="0" fontId="34" fillId="21" borderId="1" applyAlignment="1" pivotButton="0" quotePrefix="0" xfId="0">
      <alignment horizontal="left" vertical="center" wrapText="1"/>
    </xf>
    <xf numFmtId="0" fontId="35" fillId="22" borderId="2" applyAlignment="1" pivotButton="0" quotePrefix="0" xfId="0">
      <alignment horizontal="center" vertical="center" wrapText="1"/>
    </xf>
    <xf numFmtId="0" fontId="36" fillId="23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horizontal="left" vertical="center" wrapText="1"/>
    </xf>
    <xf numFmtId="0" fontId="37" fillId="14" borderId="1" applyAlignment="1" pivotButton="0" quotePrefix="0" xfId="0">
      <alignment horizontal="left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2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/>
    </xf>
    <xf numFmtId="0" fontId="40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16" fillId="12" borderId="0" applyAlignment="1" pivotButton="0" quotePrefix="0" xfId="0">
      <alignment horizontal="center" vertical="center"/>
    </xf>
    <xf numFmtId="0" fontId="40" fillId="7" borderId="0" applyAlignment="1" pivotButton="0" quotePrefix="0" xfId="0">
      <alignment horizontal="left" vertical="center" wrapText="1"/>
    </xf>
    <xf numFmtId="0" fontId="41" fillId="3" borderId="0" applyAlignment="1" pivotButton="0" quotePrefix="0" xfId="0">
      <alignment horizontal="left" vertical="center" wrapText="1"/>
    </xf>
    <xf numFmtId="0" fontId="41" fillId="6" borderId="0" applyAlignment="1" pivotButton="0" quotePrefix="0" xfId="0">
      <alignment horizontal="center" vertical="center"/>
    </xf>
    <xf numFmtId="0" fontId="41" fillId="4" borderId="0" applyAlignment="1" pivotButton="0" quotePrefix="0" xfId="0">
      <alignment horizontal="left" vertical="center" wrapText="1"/>
    </xf>
    <xf numFmtId="0" fontId="40" fillId="5" borderId="0" applyAlignment="1" pivotButton="0" quotePrefix="0" xfId="0">
      <alignment horizontal="left" vertical="center" wrapText="1"/>
    </xf>
    <xf numFmtId="0" fontId="41" fillId="9" borderId="0" applyAlignment="1" pivotButton="0" quotePrefix="0" xfId="0">
      <alignment horizontal="left" vertical="center" wrapText="1"/>
    </xf>
    <xf numFmtId="0" fontId="42" fillId="24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center" vertical="bottom"/>
    </xf>
    <xf numFmtId="0" fontId="4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9" fillId="0" borderId="0" applyAlignment="1" pivotButton="0" quotePrefix="0" xfId="0">
      <alignment horizontal="general" vertical="bottom"/>
    </xf>
    <xf numFmtId="0" fontId="50" fillId="25" borderId="0" applyAlignment="1" pivotButton="0" quotePrefix="0" xfId="0">
      <alignment horizontal="center" vertical="center" wrapText="1"/>
    </xf>
    <xf numFmtId="0" fontId="58" fillId="25" borderId="0" applyAlignment="1" pivotButton="0" quotePrefix="0" xfId="0">
      <alignment horizontal="left" vertical="center"/>
    </xf>
    <xf numFmtId="0" fontId="64" fillId="25" borderId="0" applyAlignment="1" pivotButton="0" quotePrefix="0" xfId="0">
      <alignment horizontal="left" vertical="center"/>
    </xf>
    <xf numFmtId="0" fontId="51" fillId="26" borderId="0" applyAlignment="1" pivotButton="0" quotePrefix="0" xfId="0">
      <alignment horizontal="left" vertical="center"/>
    </xf>
    <xf numFmtId="0" fontId="51" fillId="4" borderId="0" applyAlignment="1" pivotButton="0" quotePrefix="0" xfId="0">
      <alignment horizontal="left" vertical="center"/>
    </xf>
    <xf numFmtId="0" fontId="49" fillId="0" borderId="0" pivotButton="0" quotePrefix="0" xfId="0"/>
    <xf numFmtId="0" fontId="53" fillId="4" borderId="0" applyAlignment="1" pivotButton="0" quotePrefix="0" xfId="0">
      <alignment horizontal="left" vertical="center" wrapText="1"/>
    </xf>
    <xf numFmtId="0" fontId="53" fillId="26" borderId="0" applyAlignment="1" pivotButton="0" quotePrefix="0" xfId="0">
      <alignment horizontal="left" vertical="center" wrapText="1"/>
    </xf>
    <xf numFmtId="0" fontId="54" fillId="27" borderId="0" applyAlignment="1" pivotButton="0" quotePrefix="0" xfId="0">
      <alignment horizontal="left" vertical="center" wrapText="1"/>
    </xf>
    <xf numFmtId="0" fontId="51" fillId="26" borderId="0" applyAlignment="1" pivotButton="0" quotePrefix="0" xfId="0">
      <alignment horizontal="left" vertical="center" wrapText="1"/>
    </xf>
    <xf numFmtId="0" fontId="51" fillId="4" borderId="0" applyAlignment="1" pivotButton="0" quotePrefix="0" xfId="0">
      <alignment horizontal="left" vertical="center" wrapText="1"/>
    </xf>
    <xf numFmtId="0" fontId="55" fillId="25" borderId="0" applyAlignment="1" pivotButton="0" quotePrefix="0" xfId="0">
      <alignment horizontal="center" vertical="center" wrapText="1"/>
    </xf>
    <xf numFmtId="0" fontId="51" fillId="26" borderId="0" applyAlignment="1" pivotButton="0" quotePrefix="0" xfId="0">
      <alignment horizontal="center" vertical="center" wrapText="1"/>
    </xf>
    <xf numFmtId="0" fontId="51" fillId="4" borderId="0" applyAlignment="1" pivotButton="0" quotePrefix="0" xfId="0">
      <alignment horizontal="center" vertical="center" wrapText="1"/>
    </xf>
    <xf numFmtId="0" fontId="51" fillId="9" borderId="0" applyAlignment="1" pivotButton="0" quotePrefix="0" xfId="0">
      <alignment horizontal="left" vertical="center" wrapText="1"/>
    </xf>
    <xf numFmtId="0" fontId="56" fillId="10" borderId="0" applyAlignment="1" pivotButton="0" quotePrefix="0" xfId="0">
      <alignment horizontal="left" vertical="center" wrapText="1"/>
    </xf>
    <xf numFmtId="0" fontId="56" fillId="11" borderId="0" applyAlignment="1" pivotButton="0" quotePrefix="0" xfId="0">
      <alignment horizontal="left" vertical="center" wrapText="1"/>
    </xf>
    <xf numFmtId="0" fontId="57" fillId="12" borderId="0" applyAlignment="1" pivotButton="0" quotePrefix="0" xfId="0">
      <alignment horizontal="center" vertical="center" wrapText="1"/>
    </xf>
    <xf numFmtId="0" fontId="58" fillId="13" borderId="0" applyAlignment="1" pivotButton="0" quotePrefix="0" xfId="0">
      <alignment horizontal="center" vertical="center" wrapText="1"/>
    </xf>
    <xf numFmtId="0" fontId="51" fillId="14" borderId="0" applyAlignment="1" pivotButton="0" quotePrefix="0" xfId="0">
      <alignment horizontal="center" vertical="center" wrapText="1"/>
    </xf>
    <xf numFmtId="0" fontId="50" fillId="15" borderId="0" applyAlignment="1" pivotButton="0" quotePrefix="0" xfId="0">
      <alignment horizontal="center" vertical="center" wrapText="1"/>
    </xf>
    <xf numFmtId="0" fontId="50" fillId="15" borderId="0" applyAlignment="1" pivotButton="0" quotePrefix="0" xfId="0">
      <alignment horizontal="left" vertical="center" wrapText="1"/>
    </xf>
    <xf numFmtId="0" fontId="56" fillId="16" borderId="0" applyAlignment="1" pivotButton="0" quotePrefix="0" xfId="0">
      <alignment horizontal="center" vertical="center" wrapText="1"/>
    </xf>
    <xf numFmtId="0" fontId="59" fillId="16" borderId="0" applyAlignment="1" pivotButton="0" quotePrefix="0" xfId="0">
      <alignment horizontal="center" vertical="center" wrapText="1"/>
    </xf>
    <xf numFmtId="0" fontId="53" fillId="16" borderId="0" applyAlignment="1" pivotButton="0" quotePrefix="0" xfId="0">
      <alignment horizontal="left" vertical="center" wrapText="1"/>
    </xf>
    <xf numFmtId="0" fontId="56" fillId="17" borderId="0" applyAlignment="1" pivotButton="0" quotePrefix="0" xfId="0">
      <alignment horizontal="center" vertical="center" wrapText="1"/>
    </xf>
    <xf numFmtId="0" fontId="59" fillId="17" borderId="0" applyAlignment="1" pivotButton="0" quotePrefix="0" xfId="0">
      <alignment horizontal="center" vertical="center" wrapText="1"/>
    </xf>
    <xf numFmtId="0" fontId="53" fillId="17" borderId="0" applyAlignment="1" pivotButton="0" quotePrefix="0" xfId="0">
      <alignment horizontal="left" vertical="center" wrapText="1"/>
    </xf>
    <xf numFmtId="0" fontId="56" fillId="18" borderId="0" applyAlignment="1" pivotButton="0" quotePrefix="0" xfId="0">
      <alignment horizontal="center" vertical="center" wrapText="1"/>
    </xf>
    <xf numFmtId="0" fontId="59" fillId="18" borderId="0" applyAlignment="1" pivotButton="0" quotePrefix="0" xfId="0">
      <alignment horizontal="center" vertical="center" wrapText="1"/>
    </xf>
    <xf numFmtId="0" fontId="53" fillId="18" borderId="0" applyAlignment="1" pivotButton="0" quotePrefix="0" xfId="0">
      <alignment horizontal="left" vertical="center" wrapText="1"/>
    </xf>
    <xf numFmtId="0" fontId="56" fillId="19" borderId="0" applyAlignment="1" pivotButton="0" quotePrefix="0" xfId="0">
      <alignment horizontal="center" vertical="center" wrapText="1"/>
    </xf>
    <xf numFmtId="0" fontId="59" fillId="19" borderId="0" applyAlignment="1" pivotButton="0" quotePrefix="0" xfId="0">
      <alignment horizontal="center" vertical="center" wrapText="1"/>
    </xf>
    <xf numFmtId="0" fontId="53" fillId="19" borderId="0" applyAlignment="1" pivotButton="0" quotePrefix="0" xfId="0">
      <alignment horizontal="left" vertical="center" wrapText="1"/>
    </xf>
    <xf numFmtId="0" fontId="56" fillId="20" borderId="0" applyAlignment="1" pivotButton="0" quotePrefix="0" xfId="0">
      <alignment horizontal="center" vertical="center" wrapText="1"/>
    </xf>
    <xf numFmtId="0" fontId="59" fillId="20" borderId="0" applyAlignment="1" pivotButton="0" quotePrefix="0" xfId="0">
      <alignment horizontal="center" vertical="center" wrapText="1"/>
    </xf>
    <xf numFmtId="0" fontId="53" fillId="20" borderId="0" applyAlignment="1" pivotButton="0" quotePrefix="0" xfId="0">
      <alignment horizontal="left" vertical="center" wrapText="1"/>
    </xf>
    <xf numFmtId="0" fontId="56" fillId="21" borderId="1" applyAlignment="1" pivotButton="0" quotePrefix="0" xfId="0">
      <alignment horizontal="left" vertical="center" wrapText="1"/>
    </xf>
    <xf numFmtId="0" fontId="60" fillId="22" borderId="2" applyAlignment="1" pivotButton="0" quotePrefix="0" xfId="0">
      <alignment horizontal="center" vertical="center" wrapText="1"/>
    </xf>
    <xf numFmtId="0" fontId="53" fillId="23" borderId="0" applyAlignment="1" pivotButton="0" quotePrefix="0" xfId="0">
      <alignment horizontal="left" vertical="center" wrapText="1"/>
    </xf>
    <xf numFmtId="0" fontId="54" fillId="12" borderId="0" applyAlignment="1" pivotButton="0" quotePrefix="0" xfId="0">
      <alignment horizontal="left" vertical="center" wrapText="1"/>
    </xf>
    <xf numFmtId="0" fontId="56" fillId="14" borderId="1" applyAlignment="1" pivotButton="0" quotePrefix="0" xfId="0">
      <alignment horizontal="left" vertical="center" wrapText="1"/>
    </xf>
    <xf numFmtId="0" fontId="51" fillId="4" borderId="1" applyAlignment="1" pivotButton="0" quotePrefix="0" xfId="0">
      <alignment horizontal="center" vertical="center" wrapText="1"/>
    </xf>
    <xf numFmtId="0" fontId="62" fillId="27" borderId="0" applyAlignment="1" pivotButton="0" quotePrefix="0" xfId="0">
      <alignment horizontal="center" vertical="center"/>
    </xf>
    <xf numFmtId="0" fontId="50" fillId="25" borderId="0" applyAlignment="1" pivotButton="0" quotePrefix="0" xfId="0">
      <alignment horizontal="left" vertical="center" wrapText="1"/>
    </xf>
    <xf numFmtId="0" fontId="54" fillId="27" borderId="0" applyAlignment="1" pivotButton="0" quotePrefix="0" xfId="0">
      <alignment horizontal="center" vertical="center"/>
    </xf>
    <xf numFmtId="0" fontId="57" fillId="12" borderId="0" applyAlignment="1" pivotButton="0" quotePrefix="0" xfId="0">
      <alignment horizontal="center" vertical="center"/>
    </xf>
    <xf numFmtId="0" fontId="62" fillId="27" borderId="0" applyAlignment="1" pivotButton="0" quotePrefix="0" xfId="0">
      <alignment horizontal="left" vertical="center" wrapText="1"/>
    </xf>
    <xf numFmtId="0" fontId="53" fillId="26" borderId="0" applyAlignment="1" pivotButton="0" quotePrefix="0" xfId="0">
      <alignment horizontal="center" vertical="center"/>
    </xf>
    <xf numFmtId="0" fontId="53" fillId="9" borderId="0" applyAlignment="1" pivotButton="0" quotePrefix="0" xfId="0">
      <alignment horizontal="left" vertical="center" wrapText="1"/>
    </xf>
    <xf numFmtId="0" fontId="63" fillId="24" borderId="0" applyAlignment="1" pivotButton="0" quotePrefix="0" xfId="0">
      <alignment horizontal="left" vertical="center"/>
    </xf>
    <xf numFmtId="0" fontId="53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center" vertical="bottom"/>
    </xf>
    <xf numFmtId="164" fontId="4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EBF3FB"/>
      <rgbColor rgb="FFFAECE7"/>
      <rgbColor rgb="FFCCDAB7"/>
      <rgbColor rgb="FFED7D31"/>
      <rgbColor rgb="FFDBEAFE"/>
      <rgbColor rgb="FF991B1B"/>
      <rgbColor rgb="FF2E5FA3"/>
      <rgbColor rgb="FFFFFAE5"/>
      <rgbColor rgb="FFD97706"/>
      <rgbColor rgb="FF5B21B6"/>
      <rgbColor rgb="FF01696F"/>
      <rgbColor rgb="FFB2BBA7"/>
      <rgbColor rgb="FF7A7974"/>
      <rgbColor rgb="FF85AACD"/>
      <rgbColor rgb="FFAF4946"/>
      <rgbColor rgb="FFFFFDE7"/>
      <rgbColor rgb="FFDCFCE7"/>
      <rgbColor rgb="FFEDE9FE"/>
      <rgbColor rgb="FFE78C41"/>
      <rgbColor rgb="FF1D4ED8"/>
      <rgbColor rgb="FFBBCADD"/>
      <rgbColor rgb="FFFEFCE8"/>
      <rgbColor rgb="FFFEE2E2"/>
      <rgbColor rgb="FFFAEEDA"/>
      <rgbColor rgb="FFD9D9D9"/>
      <rgbColor rgb="FFCA7E7D"/>
      <rgbColor rgb="FFD67E39"/>
      <rgbColor rgb="FF065F46"/>
      <rgbColor rgb="FFF3F4F6"/>
      <rgbColor rgb="FFD6E4F7"/>
      <rgbColor rgb="FFD0ECEC"/>
      <rgbColor rgb="FFD1FAE5"/>
      <rgbColor rgb="FFFEF3C7"/>
      <rgbColor rgb="FFD3D1C7"/>
      <rgbColor rgb="FFDDB5B5"/>
      <rgbColor rgb="FFD09493"/>
      <rgbColor rgb="FFFACAB4"/>
      <rgbColor rgb="FF3574BF"/>
      <rgbColor rgb="FF4080A7"/>
      <rgbColor rgb="FF84AC4E"/>
      <rgbColor rgb="FFF8AA7A"/>
      <rgbColor rgb="FFF59E0B"/>
      <rgbColor rgb="FFFF6B35"/>
      <rgbColor rgb="FF6B7280"/>
      <rgbColor rgb="FF8B888F"/>
      <rgbColor rgb="FF1B3A5C"/>
      <rgbColor rgb="FF449DB5"/>
      <rgbColor rgb="FF1B474D"/>
      <rgbColor rgb="FF633806"/>
      <rgbColor rgb="FF92400E"/>
      <rgbColor rgb="FF70578D"/>
      <rgbColor rgb="FF1F4E78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Volumetría — Tickets / Mes por Mesa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2e75b6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Dashboard!$C$72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ab4744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Dashboard!$D$72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rgbClr val="8aa64f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Dashboard!$E$72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rgbClr val="725990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Dashboard!$F$72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rgbClr val="4299b0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Dashboard!$G$72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rgbClr val="dc853e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Dashboard!$H$72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rgbClr val="93a9ce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Dashboard!$I$72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rgbClr val="d09493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Dashboard!$J$72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20582135"/>
        <axId val="28845558"/>
      </barChart>
      <catAx>
        <axId val="205821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8845558"/>
        <crosses val="autoZero"/>
        <auto val="1"/>
        <lblAlgn val="ctr"/>
        <lblOffset val="100"/>
        <noMultiLvlLbl val="0"/>
      </catAx>
      <valAx>
        <axId val="28845558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# Tickets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05821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Composición del Equipo — FTEs Totales por Mesa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stacked"/>
        <varyColors val="0"/>
        <ser>
          <idx val="0"/>
          <order val="0"/>
          <spPr>
            <a:solidFill xmlns:a="http://schemas.openxmlformats.org/drawingml/2006/main">
              <a:srgbClr val="4472c4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Dashboard!$C$64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ed7d31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Dashboard!$D$64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rgbClr val="70ad47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Dashboard!$E$64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rgbClr val="654e7f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Dashboard!$F$64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rgbClr val="3b879c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Dashboard!$G$64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rgbClr val="c27637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Dashboard!$H$64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rgbClr val="4978b1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Dashboard!$I$64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rgbClr val="b34a4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Dashboard!$J$64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8"/>
          <order val="8"/>
          <spPr>
            <a:solidFill xmlns:a="http://schemas.openxmlformats.org/drawingml/2006/main">
              <a:srgbClr val="91af53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Dashboard!$C$65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9"/>
          <order val="9"/>
          <spPr>
            <a:solidFill xmlns:a="http://schemas.openxmlformats.org/drawingml/2006/main">
              <a:srgbClr val="775d97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Dashboard!$D$65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10"/>
          <order val="10"/>
          <spPr>
            <a:solidFill xmlns:a="http://schemas.openxmlformats.org/drawingml/2006/main">
              <a:srgbClr val="46a1b9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Dashboard!$E$65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spPr>
            <a:solidFill xmlns:a="http://schemas.openxmlformats.org/drawingml/2006/main">
              <a:srgbClr val="e78c41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Dashboard!$F$65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spPr>
            <a:solidFill xmlns:a="http://schemas.openxmlformats.org/drawingml/2006/main">
              <a:srgbClr val="7e9bc7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Dashboard!$G$65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13"/>
          <order val="13"/>
          <spPr>
            <a:solidFill xmlns:a="http://schemas.openxmlformats.org/drawingml/2006/main">
              <a:srgbClr val="ca7e7d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Dashboard!$H$65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spPr>
            <a:solidFill xmlns:a="http://schemas.openxmlformats.org/drawingml/2006/main">
              <a:srgbClr val="adc683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Dashboard!$I$65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15"/>
          <order val="15"/>
          <spPr>
            <a:solidFill xmlns:a="http://schemas.openxmlformats.org/drawingml/2006/main">
              <a:srgbClr val="9a89b2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Dashboard!$J$65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16"/>
          <order val="16"/>
          <spPr>
            <a:solidFill xmlns:a="http://schemas.openxmlformats.org/drawingml/2006/main">
              <a:srgbClr val="7cbacf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Dashboard!$C$66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17"/>
          <order val="17"/>
          <spPr>
            <a:solidFill xmlns:a="http://schemas.openxmlformats.org/drawingml/2006/main">
              <a:srgbClr val="f8aa7a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Dashboard!$D$66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18"/>
          <order val="18"/>
          <spPr>
            <a:solidFill xmlns:a="http://schemas.openxmlformats.org/drawingml/2006/main">
              <a:srgbClr val="b5c3db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Dashboard!$E$66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spPr>
            <a:solidFill xmlns:a="http://schemas.openxmlformats.org/drawingml/2006/main">
              <a:srgbClr val="ddb5b5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Dashboard!$F$66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20"/>
          <order val="20"/>
          <spPr>
            <a:solidFill xmlns:a="http://schemas.openxmlformats.org/drawingml/2006/main">
              <a:srgbClr val="ccdab7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Dashboard!$G$66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21"/>
          <order val="21"/>
          <spPr>
            <a:solidFill xmlns:a="http://schemas.openxmlformats.org/drawingml/2006/main">
              <a:srgbClr val="c2bacf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Dashboard!$H$66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22"/>
          <order val="22"/>
          <spPr>
            <a:solidFill xmlns:a="http://schemas.openxmlformats.org/drawingml/2006/main">
              <a:srgbClr val="b5d4e0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Dashboard!$I$66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ser>
          <idx val="23"/>
          <order val="23"/>
          <spPr>
            <a:solidFill xmlns:a="http://schemas.openxmlformats.org/drawingml/2006/main">
              <a:srgbClr val="facab4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Dashboard!$C$71:$J$71</f>
              <strCache>
                <ptCount val="8"/>
                <pt idx="0">
                  <v>SURA Cotizador</v>
                </pt>
                <pt idx="1">
                  <v>SURA Venta Dig</v>
                </pt>
                <pt idx="2">
                  <v>SURA Torre Con</v>
                </pt>
                <pt idx="3">
                  <v>SURA Mesa 4</v>
                </pt>
                <pt idx="4">
                  <v>BCO Gioti 1</v>
                </pt>
                <pt idx="5">
                  <v>BCO Gioti 2</v>
                </pt>
                <pt idx="6">
                  <v>BCO Gioti 3</v>
                </pt>
                <pt idx="7">
                  <v>BCO Gioti 4</v>
                </pt>
              </strCache>
            </strRef>
          </cat>
          <val>
            <numRef>
              <f>Dashboard!$J$66</f>
              <numCache>
                <formatCode>#,##0.0</formatCode>
                <ptCount val="1"/>
                <pt idx="0">
                  <v>0</v>
                </pt>
              </numCache>
            </numRef>
          </val>
        </ser>
        <gapWidth val="150"/>
        <overlap val="100"/>
        <axId val="65919168"/>
        <axId val="22355779"/>
      </barChart>
      <catAx>
        <axId val="659191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2355779"/>
        <crosses val="autoZero"/>
        <auto val="1"/>
        <lblAlgn val="ctr"/>
        <lblOffset val="100"/>
        <noMultiLvlLbl val="0"/>
      </catAx>
      <valAx>
        <axId val="22355779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# FTEs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591916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53</row>
      <rowOff>0</rowOff>
    </from>
    <to>
      <col>8</col>
      <colOff>25560</colOff>
      <row>73</row>
      <rowOff>63720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</col>
      <colOff>0</colOff>
      <row>72</row>
      <rowOff>0</rowOff>
    </from>
    <to>
      <col>8</col>
      <colOff>25560</colOff>
      <row>92</row>
      <rowOff>149760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007F7F7F"/>
    <outlinePr summaryBelow="1" summaryRight="1"/>
    <pageSetUpPr fitToPage="0"/>
  </sheetPr>
  <dimension ref="A1:P1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0" customWidth="1" style="77" min="2" max="15"/>
  </cols>
  <sheetData>
    <row r="1" ht="21.75" customHeight="1" s="78">
      <c r="A1" s="79" t="inlineStr">
        <is>
          <t>N0</t>
        </is>
      </c>
      <c r="B1" s="80" t="inlineStr">
        <is>
          <t>Tipo de mesa</t>
        </is>
      </c>
      <c r="C1" s="80" t="inlineStr">
        <is>
          <t>Sector</t>
        </is>
      </c>
      <c r="D1" s="80" t="inlineStr">
        <is>
          <t>Cliente</t>
        </is>
      </c>
      <c r="E1" s="80" t="inlineStr">
        <is>
          <t>Sabor PS</t>
        </is>
      </c>
      <c r="F1" s="80" t="inlineStr">
        <is>
          <t>Horario</t>
        </is>
      </c>
      <c r="G1" s="80" t="inlineStr">
        <is>
          <t>Herramienta tickets</t>
        </is>
      </c>
      <c r="H1" s="80" t="inlineStr">
        <is>
          <t>Modelo cobro</t>
        </is>
      </c>
      <c r="I1" s="80" t="inlineStr">
        <is>
          <t>Nivel rotación</t>
        </is>
      </c>
      <c r="J1" s="80" t="inlineStr">
        <is>
          <t>Potencial IA</t>
        </is>
      </c>
      <c r="K1" s="80" t="inlineStr">
        <is>
          <t>Potencial automatización</t>
        </is>
      </c>
      <c r="L1" s="80" t="inlineStr">
        <is>
          <t>Apetito cambio cliente</t>
        </is>
      </c>
      <c r="M1" s="80" t="inlineStr">
        <is>
          <t>Señal churn</t>
        </is>
      </c>
      <c r="N1" s="80" t="inlineStr">
        <is>
          <t>Fuente dato</t>
        </is>
      </c>
      <c r="O1" s="80" t="inlineStr">
        <is>
          <t>Criticidad</t>
        </is>
      </c>
      <c r="P1" s="79" t="inlineStr">
        <is>
          <t>Completamente Reactivo</t>
        </is>
      </c>
    </row>
    <row r="2" ht="15" customHeight="1" s="78">
      <c r="A2" s="81" t="inlineStr">
        <is>
          <t>N1</t>
        </is>
      </c>
      <c r="B2" s="81" t="inlineStr">
        <is>
          <t>Mesa de Ayuda</t>
        </is>
      </c>
      <c r="C2" s="81" t="inlineStr">
        <is>
          <t>Banca y Seguros</t>
        </is>
      </c>
      <c r="D2" s="81" t="inlineStr">
        <is>
          <t>SURA</t>
        </is>
      </c>
      <c r="E2" s="81" t="inlineStr">
        <is>
          <t>Equipo dedicado</t>
        </is>
      </c>
      <c r="F2" s="81" t="inlineStr">
        <is>
          <t>L-V 7am-6pm</t>
        </is>
      </c>
      <c r="G2" s="81" t="inlineStr">
        <is>
          <t>ServiceNow</t>
        </is>
      </c>
      <c r="H2" s="81" t="inlineStr">
        <is>
          <t>Por FTE</t>
        </is>
      </c>
      <c r="I2" s="81" t="inlineStr">
        <is>
          <t>Bajo (&lt;10% anual)</t>
        </is>
      </c>
      <c r="J2" s="81" t="inlineStr">
        <is>
          <t>Alto</t>
        </is>
      </c>
      <c r="K2" s="81" t="inlineStr">
        <is>
          <t>Alto</t>
        </is>
      </c>
      <c r="L2" s="81" t="inlineStr">
        <is>
          <t>Alto — promotor activo</t>
        </is>
      </c>
      <c r="M2" s="81" t="inlineStr">
        <is>
          <t>Verde — sin riesgo</t>
        </is>
      </c>
      <c r="N2" s="81" t="inlineStr">
        <is>
          <t>Cliente (declarado)</t>
        </is>
      </c>
      <c r="O2" s="81" t="inlineStr">
        <is>
          <t>Alta — PDN directo</t>
        </is>
      </c>
      <c r="P2" s="81" t="inlineStr">
        <is>
          <t>Reactivo con alertas básicas</t>
        </is>
      </c>
    </row>
    <row r="3" ht="15" customHeight="1" s="78">
      <c r="A3" s="82" t="inlineStr">
        <is>
          <t>N2</t>
        </is>
      </c>
      <c r="B3" s="82" t="inlineStr">
        <is>
          <t>Mesa de Soporte</t>
        </is>
      </c>
      <c r="C3" s="82" t="inlineStr">
        <is>
          <t>Salud (EPS)</t>
        </is>
      </c>
      <c r="D3" s="82" t="inlineStr">
        <is>
          <t>Bancolombia</t>
        </is>
      </c>
      <c r="E3" s="82" t="inlineStr">
        <is>
          <t>Soporte compartido</t>
        </is>
      </c>
      <c r="F3" s="82" t="inlineStr">
        <is>
          <t>L-V 8am-5pm</t>
        </is>
      </c>
      <c r="G3" s="82" t="inlineStr">
        <is>
          <t>Jira Service Management</t>
        </is>
      </c>
      <c r="H3" s="82" t="inlineStr">
        <is>
          <t>Por ticket</t>
        </is>
      </c>
      <c r="I3" s="82" t="inlineStr">
        <is>
          <t>Medio (10-25% anual)</t>
        </is>
      </c>
      <c r="J3" s="82" t="inlineStr">
        <is>
          <t>Medio</t>
        </is>
      </c>
      <c r="K3" s="82" t="inlineStr">
        <is>
          <t>Medio</t>
        </is>
      </c>
      <c r="L3" s="82" t="inlineStr">
        <is>
          <t>Medio — receptivo con evidencia</t>
        </is>
      </c>
      <c r="M3" s="82" t="inlineStr">
        <is>
          <t>Amarillo — señales menores</t>
        </is>
      </c>
      <c r="N3" s="82" t="inlineStr">
        <is>
          <t>Herramienta (medido)</t>
        </is>
      </c>
      <c r="O3" s="82" t="inlineStr">
        <is>
          <t>Media — impacto a usuarios</t>
        </is>
      </c>
      <c r="P3" s="82" t="inlineStr">
        <is>
          <t>Reactivo + Proactivo</t>
        </is>
      </c>
    </row>
    <row r="4" ht="15" customHeight="1" s="78">
      <c r="A4" s="79" t="inlineStr">
        <is>
          <t>N3</t>
        </is>
      </c>
      <c r="B4" s="83" t="inlineStr">
        <is>
          <t>Torre de Control</t>
        </is>
      </c>
      <c r="C4" s="83" t="inlineStr">
        <is>
          <t>Energía y Utilities</t>
        </is>
      </c>
      <c r="D4" s="83" t="inlineStr">
        <is>
          <t>XM</t>
        </is>
      </c>
      <c r="E4" s="83" t="inlineStr">
        <is>
          <t>Express (Alfa)</t>
        </is>
      </c>
      <c r="F4" s="83" t="inlineStr">
        <is>
          <t>5x8</t>
        </is>
      </c>
      <c r="G4" s="83" t="inlineStr">
        <is>
          <t>BMC Remedy</t>
        </is>
      </c>
      <c r="H4" s="83" t="inlineStr">
        <is>
          <t>Precio fijo mensual</t>
        </is>
      </c>
      <c r="I4" s="83" t="inlineStr">
        <is>
          <t>Alto (&gt;25% anual)</t>
        </is>
      </c>
      <c r="J4" s="83" t="inlineStr">
        <is>
          <t>Bajo</t>
        </is>
      </c>
      <c r="K4" s="83" t="inlineStr">
        <is>
          <t>Bajo</t>
        </is>
      </c>
      <c r="L4" s="83" t="inlineStr">
        <is>
          <t>Bajo — conservador</t>
        </is>
      </c>
      <c r="M4" s="83" t="inlineStr">
        <is>
          <t>Naranja — atención requerida</t>
        </is>
      </c>
      <c r="N4" s="83" t="inlineStr">
        <is>
          <t>Estimado PS</t>
        </is>
      </c>
      <c r="O4" s="83" t="inlineStr">
        <is>
          <t>Baja — interna</t>
        </is>
      </c>
      <c r="P4" s="79" t="inlineStr">
        <is>
          <t>Proactivo — detecta antes</t>
        </is>
      </c>
    </row>
    <row r="5" ht="15" customHeight="1" s="78">
      <c r="A5" s="79" t="inlineStr">
        <is>
          <t>N4</t>
        </is>
      </c>
      <c r="B5" s="84" t="inlineStr">
        <is>
          <t>Mesa Híbrida</t>
        </is>
      </c>
      <c r="C5" s="84" t="inlineStr">
        <is>
          <t>Retail</t>
        </is>
      </c>
      <c r="D5" s="84" t="inlineStr">
        <is>
          <t>AES</t>
        </is>
      </c>
      <c r="E5" s="85" t="n"/>
      <c r="F5" s="84" t="inlineStr">
        <is>
          <t>5x12</t>
        </is>
      </c>
      <c r="G5" s="84" t="inlineStr">
        <is>
          <t>Computer Associates</t>
        </is>
      </c>
      <c r="H5" s="84" t="inlineStr">
        <is>
          <t>Mixto (FTE+ticket)</t>
        </is>
      </c>
      <c r="I5" s="84" t="inlineStr">
        <is>
          <t>Muy alto (&gt;50% anual)</t>
        </is>
      </c>
      <c r="J5" s="84" t="inlineStr">
        <is>
          <t>No evaluado</t>
        </is>
      </c>
      <c r="K5" s="84" t="inlineStr">
        <is>
          <t>No evaluado</t>
        </is>
      </c>
      <c r="L5" s="84" t="inlineStr">
        <is>
          <t>Ninguno — riesgo churn</t>
        </is>
      </c>
      <c r="M5" s="84" t="inlineStr">
        <is>
          <t>Rojo — riesgo alto</t>
        </is>
      </c>
      <c r="N5" s="84" t="inlineStr">
        <is>
          <t>Sin dato</t>
        </is>
      </c>
      <c r="O5" s="85" t="n"/>
      <c r="P5" s="79" t="inlineStr">
        <is>
          <t>Predictivo</t>
        </is>
      </c>
    </row>
    <row r="6" ht="15" customHeight="1" s="78">
      <c r="A6" s="79" t="inlineStr">
        <is>
          <t>N5</t>
        </is>
      </c>
      <c r="B6" s="83" t="inlineStr">
        <is>
          <t>Mesa de Operaciones</t>
        </is>
      </c>
      <c r="C6" s="83" t="inlineStr">
        <is>
          <t>Manufactura</t>
        </is>
      </c>
      <c r="D6" s="83" t="inlineStr">
        <is>
          <t>Medicarte</t>
        </is>
      </c>
      <c r="E6" s="85" t="n"/>
      <c r="F6" s="83" t="inlineStr">
        <is>
          <t>7x12h</t>
        </is>
      </c>
      <c r="G6" s="83" t="inlineStr">
        <is>
          <t>Freshservice</t>
        </is>
      </c>
      <c r="H6" s="83" t="inlineStr">
        <is>
          <t>Precio fijo + variable</t>
        </is>
      </c>
      <c r="I6" s="85" t="n"/>
      <c r="J6" s="85" t="n"/>
      <c r="K6" s="85" t="n"/>
      <c r="L6" s="85" t="n"/>
      <c r="M6" s="85" t="n"/>
      <c r="N6" s="85" t="n"/>
      <c r="O6" s="85" t="n"/>
      <c r="P6" s="79" t="inlineStr">
        <is>
          <t>Autónomo e Inteligente</t>
        </is>
      </c>
    </row>
    <row r="7" ht="15" customHeight="1" s="78">
      <c r="A7" s="85" t="n"/>
      <c r="B7" s="85" t="n"/>
      <c r="C7" s="84" t="inlineStr">
        <is>
          <t>Gobierno</t>
        </is>
      </c>
      <c r="D7" s="84" t="inlineStr">
        <is>
          <t>Centro América</t>
        </is>
      </c>
      <c r="E7" s="85" t="n"/>
      <c r="F7" s="84" t="inlineStr">
        <is>
          <t>7x24h</t>
        </is>
      </c>
      <c r="G7" s="84" t="inlineStr">
        <is>
          <t>VMC (SURA)</t>
        </is>
      </c>
      <c r="H7" s="85" t="n"/>
      <c r="I7" s="85" t="n"/>
      <c r="J7" s="85" t="n"/>
      <c r="K7" s="85" t="n"/>
      <c r="L7" s="85" t="n"/>
      <c r="M7" s="85" t="n"/>
      <c r="N7" s="85" t="n"/>
      <c r="O7" s="85" t="n"/>
      <c r="P7" s="85" t="n"/>
    </row>
    <row r="8" ht="15" customHeight="1" s="78">
      <c r="A8" s="85" t="n"/>
      <c r="B8" s="85" t="n"/>
      <c r="C8" s="83" t="inlineStr">
        <is>
          <t>Telecomunicaciones</t>
        </is>
      </c>
      <c r="D8" s="83" t="inlineStr">
        <is>
          <t>Otro</t>
        </is>
      </c>
      <c r="E8" s="85" t="n"/>
      <c r="F8" s="83" t="inlineStr">
        <is>
          <t>Turnos rotativos</t>
        </is>
      </c>
      <c r="G8" s="83" t="inlineStr">
        <is>
          <t>Azure DevOps</t>
        </is>
      </c>
      <c r="H8" s="85" t="n"/>
      <c r="I8" s="85" t="n"/>
      <c r="J8" s="85" t="n"/>
      <c r="K8" s="85" t="n"/>
      <c r="L8" s="85" t="n"/>
      <c r="M8" s="85" t="n"/>
      <c r="N8" s="85" t="n"/>
      <c r="O8" s="85" t="n"/>
      <c r="P8" s="85" t="n"/>
    </row>
    <row r="9" ht="15" customHeight="1" s="78">
      <c r="A9" s="85" t="n"/>
      <c r="B9" s="85" t="n"/>
      <c r="C9" s="84" t="inlineStr">
        <is>
          <t>Tecnología</t>
        </is>
      </c>
      <c r="D9" s="85" t="n"/>
      <c r="E9" s="85" t="n"/>
      <c r="F9" s="84" t="inlineStr">
        <is>
          <t>Best effort</t>
        </is>
      </c>
      <c r="G9" s="84" t="inlineStr">
        <is>
          <t>Zendesk</t>
        </is>
      </c>
      <c r="H9" s="85" t="n"/>
      <c r="I9" s="85" t="n"/>
      <c r="J9" s="85" t="n"/>
      <c r="K9" s="85" t="n"/>
      <c r="L9" s="85" t="n"/>
      <c r="M9" s="85" t="n"/>
      <c r="N9" s="85" t="n"/>
      <c r="O9" s="85" t="n"/>
      <c r="P9" s="85" t="n"/>
    </row>
    <row r="10" ht="15" customHeight="1" s="78">
      <c r="A10" s="85" t="n"/>
      <c r="B10" s="85" t="n"/>
      <c r="C10" s="83" t="inlineStr">
        <is>
          <t>OT/IT</t>
        </is>
      </c>
      <c r="D10" s="85" t="n"/>
      <c r="E10" s="85" t="n"/>
      <c r="F10" s="85" t="n"/>
      <c r="G10" s="83" t="inlineStr">
        <is>
          <t>Herramienta propia PS</t>
        </is>
      </c>
      <c r="H10" s="85" t="n"/>
      <c r="I10" s="85" t="n"/>
      <c r="J10" s="85" t="n"/>
      <c r="K10" s="85" t="n"/>
      <c r="L10" s="85" t="n"/>
      <c r="M10" s="85" t="n"/>
      <c r="N10" s="85" t="n"/>
      <c r="O10" s="85" t="n"/>
      <c r="P10" s="85" t="n"/>
    </row>
    <row r="11" ht="15" customHeight="1" s="78">
      <c r="A11" s="85" t="n"/>
      <c r="B11" s="85" t="n"/>
      <c r="C11" s="84" t="inlineStr">
        <is>
          <t>Otro</t>
        </is>
      </c>
      <c r="D11" s="85" t="n"/>
      <c r="E11" s="85" t="n"/>
      <c r="F11" s="85" t="n"/>
      <c r="G11" s="84" t="inlineStr">
        <is>
          <t>Excel/correo/WhatsApp</t>
        </is>
      </c>
      <c r="H11" s="85" t="n"/>
      <c r="I11" s="85" t="n"/>
      <c r="J11" s="85" t="n"/>
      <c r="K11" s="85" t="n"/>
      <c r="L11" s="85" t="n"/>
      <c r="M11" s="85" t="n"/>
      <c r="N11" s="85" t="n"/>
      <c r="O11" s="85" t="n"/>
      <c r="P11" s="85" t="n"/>
    </row>
    <row r="12" ht="15" customHeight="1" s="78">
      <c r="A12" s="85" t="n"/>
      <c r="B12" s="85" t="n"/>
      <c r="C12" s="85" t="n"/>
      <c r="D12" s="85" t="n"/>
      <c r="E12" s="85" t="n"/>
      <c r="F12" s="85" t="n"/>
      <c r="G12" s="83" t="inlineStr">
        <is>
          <t>Sin herramienta definida</t>
        </is>
      </c>
      <c r="H12" s="85" t="n"/>
      <c r="I12" s="85" t="n"/>
      <c r="J12" s="85" t="n"/>
      <c r="K12" s="85" t="n"/>
      <c r="L12" s="85" t="n"/>
      <c r="M12" s="85" t="n"/>
      <c r="N12" s="85" t="n"/>
      <c r="O12" s="85" t="n"/>
      <c r="P12" s="85" t="n"/>
    </row>
    <row r="13" ht="15" customHeight="1" s="78">
      <c r="A13" s="85" t="n"/>
      <c r="B13" s="85" t="n"/>
      <c r="C13" s="85" t="n"/>
      <c r="D13" s="85" t="n"/>
      <c r="E13" s="85" t="n"/>
      <c r="F13" s="85" t="n"/>
      <c r="G13" s="84" t="inlineStr">
        <is>
          <t>Otra</t>
        </is>
      </c>
      <c r="H13" s="85" t="n"/>
      <c r="I13" s="85" t="n"/>
      <c r="J13" s="85" t="n"/>
      <c r="K13" s="85" t="n"/>
      <c r="L13" s="85" t="n"/>
      <c r="M13" s="85" t="n"/>
      <c r="N13" s="85" t="n"/>
      <c r="O13" s="85" t="n"/>
      <c r="P13" s="8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1F7A4D"/>
    <outlinePr summaryBelow="1" summaryRight="1"/>
    <pageSetUpPr fitToPage="0"/>
  </sheetPr>
  <dimension ref="A1:I1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0" customWidth="1" style="77" min="2" max="2"/>
    <col width="18" customWidth="1" style="77" min="3" max="8"/>
    <col width="22" customWidth="1" style="77" min="9" max="9"/>
  </cols>
  <sheetData>
    <row r="1" ht="4.5" customHeight="1" s="78">
      <c r="A1" s="85" t="n"/>
      <c r="B1" s="85" t="n"/>
      <c r="C1" s="85" t="n"/>
      <c r="D1" s="85" t="n"/>
      <c r="E1" s="85" t="n"/>
      <c r="F1" s="85" t="n"/>
      <c r="G1" s="85" t="n"/>
      <c r="H1" s="85" t="n"/>
      <c r="I1" s="85" t="n"/>
    </row>
    <row r="2" ht="31.5" customHeight="1" s="78">
      <c r="A2" s="85" t="n"/>
      <c r="B2" s="81" t="inlineStr">
        <is>
          <t>Caracterización · SURA Cotizadores</t>
        </is>
      </c>
      <c r="C2" s="85" t="n"/>
      <c r="D2" s="85" t="n"/>
      <c r="E2" s="85" t="n"/>
      <c r="F2" s="85" t="n"/>
      <c r="G2" s="85" t="n"/>
      <c r="H2" s="85" t="n"/>
      <c r="I2" s="85" t="n"/>
    </row>
    <row r="3" ht="18" customHeight="1" s="78">
      <c r="A3" s="85" t="n"/>
      <c r="B3" s="82" t="inlineStr">
        <is>
          <t>PersonalSoft · Mesa de Servicios de Nueva Generación · Julio 2026</t>
        </is>
      </c>
      <c r="C3" s="85" t="n"/>
      <c r="D3" s="85" t="n"/>
      <c r="E3" s="85" t="n"/>
      <c r="F3" s="85" t="n"/>
      <c r="G3" s="85" t="n"/>
      <c r="H3" s="85" t="n"/>
      <c r="I3" s="85" t="n"/>
    </row>
    <row r="4" ht="4.5" customHeight="1" s="78">
      <c r="A4" s="85" t="n"/>
      <c r="B4" s="85" t="n"/>
      <c r="C4" s="85" t="n"/>
      <c r="D4" s="85" t="n"/>
      <c r="E4" s="85" t="n"/>
      <c r="F4" s="85" t="n"/>
      <c r="G4" s="85" t="n"/>
      <c r="H4" s="85" t="n"/>
      <c r="I4" s="85" t="n"/>
    </row>
    <row r="5" ht="15.75" customHeight="1" s="78">
      <c r="A5" s="85" t="n"/>
      <c r="B5" s="86" t="inlineStr">
        <is>
          <t>Blanco = dato requerido (fuente real)</t>
        </is>
      </c>
      <c r="C5" s="85" t="n"/>
      <c r="D5" s="85" t="n"/>
      <c r="E5" s="87" t="inlineStr">
        <is>
          <t>Amarillo = estimación aceptada si no hay dato exacto</t>
        </is>
      </c>
      <c r="F5" s="85" t="n"/>
      <c r="G5" s="85" t="n"/>
      <c r="H5" s="85" t="n"/>
      <c r="I5" s="87" t="inlineStr">
        <is>
          <t>Col. I = Fuente / nota</t>
        </is>
      </c>
    </row>
    <row r="6" ht="4.5" customHeight="1" s="78">
      <c r="A6" s="85" t="n"/>
      <c r="B6" s="85" t="n"/>
      <c r="C6" s="85" t="n"/>
      <c r="D6" s="85" t="n"/>
      <c r="E6" s="85" t="n"/>
      <c r="F6" s="85" t="n"/>
      <c r="G6" s="85" t="n"/>
      <c r="H6" s="85" t="n"/>
      <c r="I6" s="85" t="n"/>
    </row>
    <row r="7" ht="21.75" customHeight="1" s="78">
      <c r="A7" s="85" t="n"/>
      <c r="B7" s="88" t="inlineStr">
        <is>
          <t>①  IDENTIDAD Y ALCANCE  ·  5 min</t>
        </is>
      </c>
      <c r="C7" s="85" t="n"/>
      <c r="D7" s="85" t="n"/>
      <c r="E7" s="85" t="n"/>
      <c r="F7" s="85" t="n"/>
      <c r="G7" s="85" t="n"/>
      <c r="H7" s="85" t="n"/>
      <c r="I7" s="85" t="n"/>
    </row>
    <row r="8" ht="21.75" customHeight="1" s="78">
      <c r="A8" s="85" t="n"/>
      <c r="B8" s="89" t="inlineStr">
        <is>
          <t>Mesa / Cliente:</t>
        </is>
      </c>
      <c r="C8" s="85" t="n"/>
      <c r="D8" s="90" t="n"/>
      <c r="E8" s="85" t="n"/>
      <c r="F8" s="85" t="n"/>
      <c r="G8" s="85" t="n"/>
      <c r="H8" s="85" t="n"/>
      <c r="I8" s="87" t="inlineStr">
        <is>
          <t>Nombre completo de la mesa y del cliente</t>
        </is>
      </c>
    </row>
    <row r="9" ht="21.75" customHeight="1" s="78">
      <c r="A9" s="85" t="n"/>
      <c r="B9" s="89" t="inlineStr">
        <is>
          <t>Tipo de mesa:</t>
        </is>
      </c>
      <c r="C9" s="85" t="n"/>
      <c r="D9" s="89" t="n"/>
      <c r="E9" s="85" t="n"/>
      <c r="F9" s="85" t="n"/>
      <c r="G9" s="85" t="n"/>
      <c r="H9" s="85" t="n"/>
      <c r="I9" s="87" t="inlineStr">
        <is>
          <t>Mesa de Ayuda / Mesa de Soporte / Torre de Control / Mesa Híbrida</t>
        </is>
      </c>
    </row>
    <row r="10" ht="21.75" customHeight="1" s="78">
      <c r="A10" s="85" t="n"/>
      <c r="B10" s="89" t="inlineStr">
        <is>
          <t>Cliente:</t>
        </is>
      </c>
      <c r="C10" s="85" t="n"/>
      <c r="D10" s="90" t="n"/>
      <c r="E10" s="85" t="n"/>
      <c r="F10" s="85" t="n"/>
      <c r="G10" s="85" t="n"/>
      <c r="H10" s="85" t="n"/>
      <c r="I10" s="87" t="inlineStr">
        <is>
          <t>SURA / Bancolombia / XM / AES / Medicarte / Centro América / Otro</t>
        </is>
      </c>
    </row>
    <row r="11" ht="21.75" customHeight="1" s="78">
      <c r="A11" s="85" t="n"/>
      <c r="B11" s="89" t="inlineStr">
        <is>
          <t>Sector:</t>
        </is>
      </c>
      <c r="C11" s="85" t="n"/>
      <c r="D11" s="90" t="n"/>
      <c r="E11" s="85" t="n"/>
      <c r="F11" s="85" t="n"/>
      <c r="G11" s="85" t="n"/>
      <c r="H11" s="85" t="n"/>
      <c r="I11" s="87" t="inlineStr">
        <is>
          <t>Banca y Seguros / Salud / Energía / Retail / Manufactura / Gobierno / Otro</t>
        </is>
      </c>
    </row>
    <row r="12" ht="21.75" customHeight="1" s="78">
      <c r="A12" s="85" t="n"/>
      <c r="B12" s="89" t="inlineStr">
        <is>
          <t>Criticidad para el negocio:</t>
        </is>
      </c>
      <c r="C12" s="85" t="n"/>
      <c r="D12" s="89" t="n"/>
      <c r="E12" s="85" t="n"/>
      <c r="F12" s="85" t="n"/>
      <c r="G12" s="85" t="n"/>
      <c r="H12" s="85" t="n"/>
      <c r="I12" s="87" t="inlineStr">
        <is>
          <t>Alta (PDN directo) / Media (impacto usuarios) / Baja (interna)</t>
        </is>
      </c>
    </row>
    <row r="13" ht="21.75" customHeight="1" s="78">
      <c r="A13" s="85" t="n"/>
      <c r="B13" s="89" t="inlineStr">
        <is>
          <t>Sabor de servicio PS:</t>
        </is>
      </c>
      <c r="C13" s="85" t="n"/>
      <c r="D13" s="89" t="n"/>
      <c r="E13" s="85" t="n"/>
      <c r="F13" s="85" t="n"/>
      <c r="G13" s="85" t="n"/>
      <c r="H13" s="85" t="n"/>
      <c r="I13" s="87" t="inlineStr">
        <is>
          <t>Equipo dedicado / Soporte compartido / Express (Alfa)</t>
        </is>
      </c>
    </row>
    <row r="14" ht="21.75" customHeight="1" s="78">
      <c r="A14" s="85" t="n"/>
      <c r="B14" s="89" t="inlineStr">
        <is>
          <t>Horario contractual:</t>
        </is>
      </c>
      <c r="C14" s="85" t="n"/>
      <c r="D14" s="89" t="n"/>
      <c r="E14" s="85" t="n"/>
      <c r="F14" s="85" t="n"/>
      <c r="G14" s="85" t="n"/>
      <c r="H14" s="85" t="n"/>
      <c r="I14" s="87" t="inlineStr">
        <is>
          <t>Ej: L-V 7am-6pm · 5x8 · 7x24h</t>
        </is>
      </c>
    </row>
    <row r="15" ht="21.75" customHeight="1" s="78">
      <c r="A15" s="85" t="n"/>
      <c r="B15" s="89" t="inlineStr">
        <is>
          <t>Horario real (operación efectiva):</t>
        </is>
      </c>
      <c r="C15" s="85" t="n"/>
      <c r="D15" s="90" t="n"/>
      <c r="E15" s="85" t="n"/>
      <c r="F15" s="85" t="n"/>
      <c r="G15" s="85" t="n"/>
      <c r="H15" s="85" t="n"/>
      <c r="I15" s="87" t="inlineStr">
        <is>
          <t>¿El horario real coincide con el contractual? ¿Hay horas extra?</t>
        </is>
      </c>
    </row>
    <row r="16" ht="21.75" customHeight="1" s="78">
      <c r="A16" s="85" t="n"/>
      <c r="B16" s="89" t="inlineStr">
        <is>
          <t>GAP horario — h/semana adicionales no reconocidas:</t>
        </is>
      </c>
      <c r="C16" s="85" t="n"/>
      <c r="D16" s="90" t="n"/>
      <c r="E16" s="85" t="n"/>
      <c r="F16" s="85" t="n"/>
      <c r="G16" s="85" t="n"/>
      <c r="H16" s="85" t="n"/>
      <c r="I16" s="87" t="inlineStr">
        <is>
          <t>Estimado en horas semanales</t>
        </is>
      </c>
    </row>
    <row r="17" ht="39.75" customHeight="1" s="78">
      <c r="A17" s="85" t="n"/>
      <c r="B17" s="89" t="inlineStr">
        <is>
          <t>Descripción del servicio (2-3 líneas):</t>
        </is>
      </c>
      <c r="C17" s="85" t="n"/>
      <c r="D17" s="90" t="n"/>
      <c r="E17" s="85" t="n"/>
      <c r="F17" s="85" t="n"/>
      <c r="G17" s="85" t="n"/>
      <c r="H17" s="85" t="n"/>
      <c r="I17" s="87" t="inlineStr">
        <is>
          <t>Qué resuelve esta mesa, qué aplicaciones soporta</t>
        </is>
      </c>
    </row>
    <row r="18" ht="6" customHeight="1" s="78">
      <c r="A18" s="85" t="n"/>
      <c r="B18" s="85" t="n"/>
      <c r="C18" s="85" t="n"/>
      <c r="D18" s="85" t="n"/>
      <c r="E18" s="85" t="n"/>
      <c r="F18" s="85" t="n"/>
      <c r="G18" s="85" t="n"/>
      <c r="H18" s="85" t="n"/>
      <c r="I18" s="85" t="n"/>
    </row>
    <row r="19" ht="21.75" customHeight="1" s="78">
      <c r="A19" s="85" t="n"/>
      <c r="B19" s="88" t="inlineStr">
        <is>
          <t>②  VOLUMETRÍA Y ECONOMÍA  ·  10 min</t>
        </is>
      </c>
      <c r="C19" s="85" t="n"/>
      <c r="D19" s="85" t="n"/>
      <c r="E19" s="85" t="n"/>
      <c r="F19" s="85" t="n"/>
      <c r="G19" s="85" t="n"/>
      <c r="H19" s="85" t="n"/>
      <c r="I19" s="85" t="n"/>
    </row>
    <row r="20" ht="18" customHeight="1" s="78">
      <c r="A20" s="85" t="n"/>
      <c r="B20" s="89" t="inlineStr">
        <is>
          <t>Volumetría mensual promedio</t>
        </is>
      </c>
      <c r="C20" s="85" t="n"/>
      <c r="D20" s="85" t="n"/>
      <c r="E20" s="85" t="n"/>
      <c r="F20" s="85" t="n"/>
      <c r="G20" s="85" t="n"/>
      <c r="H20" s="85" t="n"/>
      <c r="I20" s="85" t="n"/>
    </row>
    <row r="21" ht="21.75" customHeight="1" s="78">
      <c r="A21" s="85" t="n"/>
      <c r="B21" s="89" t="inlineStr">
        <is>
          <t>Total tickets / mes:</t>
        </is>
      </c>
      <c r="C21" s="85" t="n"/>
      <c r="D21" s="89" t="n"/>
      <c r="E21" s="85" t="n"/>
      <c r="F21" s="85" t="n"/>
      <c r="G21" s="85" t="n"/>
      <c r="H21" s="85" t="n"/>
      <c r="I21" s="87" t="inlineStr">
        <is>
          <t>Fuente ideal: herramienta de tickets. Estimado OK si no hay datos.</t>
        </is>
      </c>
    </row>
    <row r="22" ht="21.75" customHeight="1" s="78">
      <c r="A22" s="85" t="n"/>
      <c r="B22" s="89" t="inlineStr">
        <is>
          <t xml:space="preserve">  → % Incidentes (del total):</t>
        </is>
      </c>
      <c r="C22" s="85" t="n"/>
      <c r="D22" s="89" t="n"/>
      <c r="E22" s="85" t="n"/>
      <c r="F22" s="85" t="n"/>
      <c r="G22" s="85" t="n"/>
      <c r="H22" s="85" t="n"/>
      <c r="I22" s="87" t="inlineStr">
        <is>
          <t>Ej: 60%</t>
        </is>
      </c>
    </row>
    <row r="23" ht="21.75" customHeight="1" s="78">
      <c r="A23" s="85" t="n"/>
      <c r="B23" s="89" t="inlineStr">
        <is>
          <t xml:space="preserve">  → % Solicitudes (del total):</t>
        </is>
      </c>
      <c r="C23" s="85" t="n"/>
      <c r="D23" s="89" t="n"/>
      <c r="E23" s="85" t="n"/>
      <c r="F23" s="85" t="n"/>
      <c r="G23" s="85" t="n"/>
      <c r="H23" s="85" t="n"/>
      <c r="I23" s="87" t="inlineStr">
        <is>
          <t>Ej: 35%</t>
        </is>
      </c>
    </row>
    <row r="24" ht="21.75" customHeight="1" s="78">
      <c r="A24" s="85" t="n"/>
      <c r="B24" s="89" t="inlineStr">
        <is>
          <t xml:space="preserve">  → % Problemas / RCA (del total):</t>
        </is>
      </c>
      <c r="C24" s="85" t="n"/>
      <c r="D24" s="89" t="n"/>
      <c r="E24" s="85" t="n"/>
      <c r="F24" s="85" t="n"/>
      <c r="G24" s="85" t="n"/>
      <c r="H24" s="85" t="n"/>
      <c r="I24" s="87" t="inlineStr">
        <is>
          <t>Ej: 5%</t>
        </is>
      </c>
    </row>
    <row r="25" ht="21.75" customHeight="1" s="78">
      <c r="A25" s="85" t="n"/>
      <c r="B25" s="89" t="inlineStr">
        <is>
          <t xml:space="preserve">  → % Tickets Críticos / P1:</t>
        </is>
      </c>
      <c r="C25" s="85" t="n"/>
      <c r="D25" s="89" t="n"/>
      <c r="E25" s="85" t="n"/>
      <c r="F25" s="85" t="n"/>
      <c r="G25" s="85" t="n"/>
      <c r="H25" s="85" t="n"/>
      <c r="I25" s="87" t="inlineStr">
        <is>
          <t>Tickets con impacto PDN o multi-usuario</t>
        </is>
      </c>
    </row>
    <row r="26" ht="21.75" customHeight="1" s="78">
      <c r="A26" s="85" t="n"/>
      <c r="B26" s="89" t="inlineStr">
        <is>
          <t>Canales de entrada activos:</t>
        </is>
      </c>
      <c r="C26" s="85" t="n"/>
      <c r="D26" s="89" t="n"/>
      <c r="E26" s="85" t="n"/>
      <c r="F26" s="85" t="n"/>
      <c r="G26" s="85" t="n"/>
      <c r="H26" s="85" t="n"/>
      <c r="I26" s="87" t="inlineStr">
        <is>
          <t>Teléfono / Portal / Correo / Chat / WhatsApp / Presencial</t>
        </is>
      </c>
    </row>
    <row r="27" ht="21.75" customHeight="1" s="78">
      <c r="A27" s="85" t="n"/>
      <c r="B27" s="89" t="inlineStr">
        <is>
          <t>% tickets fuera de horario (sin atender en SLA):</t>
        </is>
      </c>
      <c r="C27" s="85" t="n"/>
      <c r="D27" s="89" t="n"/>
      <c r="E27" s="85" t="n"/>
      <c r="F27" s="85" t="n"/>
      <c r="G27" s="85" t="n"/>
      <c r="H27" s="85" t="n"/>
      <c r="I27" s="87" t="inlineStr">
        <is>
          <t>Tickets que llegan pero no se atienden en horario pactado</t>
        </is>
      </c>
    </row>
    <row r="28" ht="21.75" customHeight="1" s="78">
      <c r="A28" s="85" t="n"/>
      <c r="B28" s="89" t="inlineStr">
        <is>
          <t>Pico de demanda (día / hora):</t>
        </is>
      </c>
      <c r="C28" s="85" t="n"/>
      <c r="D28" s="89" t="n"/>
      <c r="E28" s="85" t="n"/>
      <c r="F28" s="85" t="n"/>
      <c r="G28" s="85" t="n"/>
      <c r="H28" s="85" t="n"/>
      <c r="I28" s="87" t="inlineStr">
        <is>
          <t>Ej: Lunes 9-11am · Cierre de mes · Despliegues viernes</t>
        </is>
      </c>
    </row>
    <row r="29" ht="21.75" customHeight="1" s="78">
      <c r="A29" s="85" t="n"/>
      <c r="B29" s="89" t="inlineStr">
        <is>
          <t>MTTR promedio estimado (horas):</t>
        </is>
      </c>
      <c r="C29" s="85" t="n"/>
      <c r="D29" s="89" t="n"/>
      <c r="E29" s="85" t="n"/>
      <c r="F29" s="85" t="n"/>
      <c r="G29" s="85" t="n"/>
      <c r="H29" s="85" t="n"/>
      <c r="I29" s="87" t="inlineStr">
        <is>
          <t>Tiempo medio de resolución. Por prioridad si es posible.</t>
        </is>
      </c>
    </row>
    <row r="30" ht="21.75" customHeight="1" s="78">
      <c r="A30" s="85" t="n"/>
      <c r="B30" s="89" t="inlineStr">
        <is>
          <t>FCR — First Call Resolution % (estimado):</t>
        </is>
      </c>
      <c r="C30" s="85" t="n"/>
      <c r="D30" s="89" t="n"/>
      <c r="E30" s="85" t="n"/>
      <c r="F30" s="85" t="n"/>
      <c r="G30" s="85" t="n"/>
      <c r="H30" s="85" t="n"/>
      <c r="I30" s="87" t="inlineStr">
        <is>
          <t>% resuelto en primer contacto sin escalar a N2/N3</t>
        </is>
      </c>
    </row>
    <row r="31" ht="3.75" customHeight="1" s="78">
      <c r="A31" s="85" t="n"/>
      <c r="B31" s="85" t="n"/>
      <c r="C31" s="85" t="n"/>
      <c r="D31" s="85" t="n"/>
      <c r="E31" s="85" t="n"/>
      <c r="F31" s="85" t="n"/>
      <c r="G31" s="85" t="n"/>
      <c r="H31" s="85" t="n"/>
      <c r="I31" s="85" t="n"/>
    </row>
    <row r="32" ht="18" customHeight="1" s="78">
      <c r="A32" s="85" t="n"/>
      <c r="B32" s="89" t="inlineStr">
        <is>
          <t>Modelo económico y contrato</t>
        </is>
      </c>
      <c r="C32" s="85" t="n"/>
      <c r="D32" s="85" t="n"/>
      <c r="E32" s="85" t="n"/>
      <c r="F32" s="85" t="n"/>
      <c r="G32" s="85" t="n"/>
      <c r="H32" s="85" t="n"/>
      <c r="I32" s="85" t="n"/>
    </row>
    <row r="33" ht="21.75" customHeight="1" s="78">
      <c r="A33" s="85" t="n"/>
      <c r="B33" s="89" t="inlineStr">
        <is>
          <t>Modelo de cobro:</t>
        </is>
      </c>
      <c r="C33" s="85" t="n"/>
      <c r="D33" s="89" t="n"/>
      <c r="E33" s="85" t="n"/>
      <c r="F33" s="85" t="n"/>
      <c r="G33" s="85" t="n"/>
      <c r="H33" s="85" t="n"/>
      <c r="I33" s="87" t="inlineStr">
        <is>
          <t>Por FTE / Por ticket / Precio fijo mensual / Mixto / Precio fijo + variable</t>
        </is>
      </c>
    </row>
    <row r="34" ht="21.75" customHeight="1" s="78">
      <c r="A34" s="85" t="n"/>
      <c r="B34" s="89" t="inlineStr">
        <is>
          <t># FTEs facturados al cliente:</t>
        </is>
      </c>
      <c r="C34" s="85" t="n"/>
      <c r="D34" s="90" t="n"/>
      <c r="E34" s="85" t="n"/>
      <c r="F34" s="85" t="n"/>
      <c r="G34" s="85" t="n"/>
      <c r="H34" s="85" t="n"/>
      <c r="I34" s="87" t="inlineStr">
        <is>
          <t>Número de personas que PS factura a este cliente</t>
        </is>
      </c>
    </row>
    <row r="35" ht="21.75" customHeight="1" s="78">
      <c r="A35" s="85" t="n"/>
      <c r="B35" s="89" t="inlineStr">
        <is>
          <t>Tarifa mensual total (COP o USD):</t>
        </is>
      </c>
      <c r="C35" s="85" t="n"/>
      <c r="D35" s="90" t="n"/>
      <c r="E35" s="85" t="n"/>
      <c r="F35" s="85" t="n"/>
      <c r="G35" s="85" t="n"/>
      <c r="H35" s="85" t="n"/>
      <c r="I35" s="87" t="inlineStr">
        <is>
          <t>Valor del contrato mensual. Estimado OK si no tienes exacto.</t>
        </is>
      </c>
    </row>
    <row r="36" ht="21.75" customHeight="1" s="78">
      <c r="A36" s="85" t="n"/>
      <c r="B36" s="89" t="inlineStr">
        <is>
          <t>Costo/FTE promedio (costo interno PS):</t>
        </is>
      </c>
      <c r="C36" s="85" t="n"/>
      <c r="D36" s="89" t="n"/>
      <c r="E36" s="85" t="n"/>
      <c r="F36" s="85" t="n"/>
      <c r="G36" s="85" t="n"/>
      <c r="H36" s="85" t="n"/>
      <c r="I36" s="87" t="inlineStr">
        <is>
          <t>Costo interno. Confidencial — solo para análisis de rentabilidad.</t>
        </is>
      </c>
    </row>
    <row r="37" ht="21.75" customHeight="1" s="78">
      <c r="A37" s="85" t="n"/>
      <c r="B37" s="89" t="inlineStr">
        <is>
          <t>Margen estimado (%):</t>
        </is>
      </c>
      <c r="C37" s="85" t="n"/>
      <c r="D37" s="89" t="n"/>
      <c r="E37" s="85" t="n"/>
      <c r="F37" s="85" t="n"/>
      <c r="G37" s="85" t="n"/>
      <c r="H37" s="85" t="n"/>
      <c r="I37" s="87" t="inlineStr">
        <is>
          <t>Rango: Bajo &lt; 15% / Medio 15-25% / Alto &gt; 25%</t>
        </is>
      </c>
    </row>
    <row r="38" ht="21.75" customHeight="1" s="78">
      <c r="A38" s="85" t="n"/>
      <c r="B38" s="89" t="inlineStr">
        <is>
          <t>¿Hay penalidades ANS activas en el contrato?</t>
        </is>
      </c>
      <c r="C38" s="85" t="n"/>
      <c r="D38" s="89" t="n"/>
      <c r="E38" s="85" t="n"/>
      <c r="F38" s="85" t="n"/>
      <c r="G38" s="85" t="n"/>
      <c r="H38" s="85" t="n"/>
      <c r="I38" s="87" t="inlineStr">
        <is>
          <t>Sí / No / Parcial. ¿Se aplican realmente?</t>
        </is>
      </c>
    </row>
    <row r="39" ht="21.75" customHeight="1" s="78">
      <c r="A39" s="85" t="n"/>
      <c r="B39" s="89" t="inlineStr">
        <is>
          <t>¿El modelo permite cobrar expansión de scope?</t>
        </is>
      </c>
      <c r="C39" s="85" t="n"/>
      <c r="D39" s="89" t="n"/>
      <c r="E39" s="85" t="n"/>
      <c r="F39" s="85" t="n"/>
      <c r="G39" s="85" t="n"/>
      <c r="H39" s="85" t="n"/>
      <c r="I39" s="87" t="inlineStr">
        <is>
          <t>Sí / No. ¿Existe mecanismo formal de adición de alcance?</t>
        </is>
      </c>
    </row>
    <row r="40" ht="21.75" customHeight="1" s="78">
      <c r="A40" s="85" t="n"/>
      <c r="B40" s="89" t="inlineStr">
        <is>
          <t>Fecha de renovación del contrato:</t>
        </is>
      </c>
      <c r="C40" s="85" t="n"/>
      <c r="D40" s="90" t="n"/>
      <c r="E40" s="85" t="n"/>
      <c r="F40" s="85" t="n"/>
      <c r="G40" s="85" t="n"/>
      <c r="H40" s="85" t="n"/>
      <c r="I40" s="87" t="inlineStr">
        <is>
          <t>Mes/Año de próxima renovación o vencimiento</t>
        </is>
      </c>
    </row>
    <row r="41" ht="21.75" customHeight="1" s="78">
      <c r="A41" s="85" t="n"/>
      <c r="B41" s="89" t="inlineStr">
        <is>
          <t>¿Hay adiciones de scope sin renegociación de precio?</t>
        </is>
      </c>
      <c r="C41" s="85" t="n"/>
      <c r="D41" s="89" t="n"/>
      <c r="E41" s="85" t="n"/>
      <c r="F41" s="85" t="n"/>
      <c r="G41" s="85" t="n"/>
      <c r="H41" s="85" t="n"/>
      <c r="I41" s="87" t="inlineStr">
        <is>
          <t>Apps o integraciones agregadas sin ajuste de precio</t>
        </is>
      </c>
    </row>
    <row r="42" ht="6" customHeight="1" s="78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</row>
    <row r="43" ht="21.75" customHeight="1" s="78">
      <c r="A43" s="85" t="n"/>
      <c r="B43" s="88" t="inlineStr">
        <is>
          <t>③  PERSONAS Y CULTURA  ·  10 min</t>
        </is>
      </c>
      <c r="C43" s="85" t="n"/>
      <c r="D43" s="85" t="n"/>
      <c r="E43" s="85" t="n"/>
      <c r="F43" s="85" t="n"/>
      <c r="G43" s="85" t="n"/>
      <c r="H43" s="85" t="n"/>
      <c r="I43" s="85" t="n"/>
    </row>
    <row r="44" ht="18" customHeight="1" s="78">
      <c r="A44" s="85" t="n"/>
      <c r="B44" s="89" t="inlineStr">
        <is>
          <t>Composición del equipo por nivel</t>
        </is>
      </c>
      <c r="C44" s="85" t="n"/>
      <c r="D44" s="85" t="n"/>
      <c r="E44" s="85" t="n"/>
      <c r="F44" s="85" t="n"/>
      <c r="G44" s="85" t="n"/>
      <c r="H44" s="85" t="n"/>
      <c r="I44" s="85" t="n"/>
    </row>
    <row r="45" ht="19.5" customHeight="1" s="78">
      <c r="A45" s="85" t="n"/>
      <c r="B45" s="91" t="inlineStr">
        <is>
          <t>Rol / Nivel</t>
        </is>
      </c>
      <c r="C45" s="85" t="n"/>
      <c r="D45" s="91" t="inlineStr">
        <is>
          <t>FTEs actuales</t>
        </is>
      </c>
      <c r="E45" s="85" t="n"/>
      <c r="F45" s="91" t="inlineStr">
        <is>
          <t>FTEs requeridos (ideal)</t>
        </is>
      </c>
      <c r="G45" s="91" t="inlineStr">
        <is>
          <t>% tiempo en soporte</t>
        </is>
      </c>
      <c r="H45" s="85" t="n"/>
      <c r="I45" s="91" t="inlineStr">
        <is>
          <t>Fuente</t>
        </is>
      </c>
    </row>
    <row r="46" ht="19.5" customHeight="1" s="78">
      <c r="A46" s="85" t="n"/>
      <c r="B46" s="89" t="inlineStr">
        <is>
          <t>Gerente de Mesa / Account Manager</t>
        </is>
      </c>
      <c r="C46" s="85" t="n"/>
      <c r="D46" s="92" t="n"/>
      <c r="E46" s="85" t="n"/>
      <c r="F46" s="92" t="n"/>
      <c r="G46" s="92" t="n"/>
      <c r="H46" s="85" t="n"/>
      <c r="I46" s="92" t="n"/>
    </row>
    <row r="47" ht="19.5" customHeight="1" s="78">
      <c r="A47" s="85" t="n"/>
      <c r="B47" s="90" t="inlineStr">
        <is>
          <t>Líder Técnico / Coordinador N2</t>
        </is>
      </c>
      <c r="C47" s="85" t="n"/>
      <c r="D47" s="93" t="n"/>
      <c r="E47" s="85" t="n"/>
      <c r="F47" s="93" t="n"/>
      <c r="G47" s="93" t="n"/>
      <c r="H47" s="85" t="n"/>
      <c r="I47" s="93" t="n"/>
    </row>
    <row r="48" ht="19.5" customHeight="1" s="78">
      <c r="A48" s="85" t="n"/>
      <c r="B48" s="89" t="inlineStr">
        <is>
          <t>Analista N1 (front-end)</t>
        </is>
      </c>
      <c r="C48" s="85" t="n"/>
      <c r="D48" s="92" t="n"/>
      <c r="E48" s="85" t="n"/>
      <c r="F48" s="92" t="n"/>
      <c r="G48" s="92" t="n"/>
      <c r="H48" s="85" t="n"/>
      <c r="I48" s="92" t="n"/>
    </row>
    <row r="49" ht="19.5" customHeight="1" s="78">
      <c r="A49" s="85" t="n"/>
      <c r="B49" s="90" t="inlineStr">
        <is>
          <t>Especialista N2 (soporte avanzado)</t>
        </is>
      </c>
      <c r="C49" s="85" t="n"/>
      <c r="D49" s="93" t="n"/>
      <c r="E49" s="85" t="n"/>
      <c r="F49" s="93" t="n"/>
      <c r="G49" s="93" t="n"/>
      <c r="H49" s="85" t="n"/>
      <c r="I49" s="93" t="n"/>
    </row>
    <row r="50" ht="19.5" customHeight="1" s="78">
      <c r="A50" s="85" t="n"/>
      <c r="B50" s="89" t="inlineStr">
        <is>
          <t>Desarrollador / Especialista N3</t>
        </is>
      </c>
      <c r="C50" s="85" t="n"/>
      <c r="D50" s="92" t="n"/>
      <c r="E50" s="85" t="n"/>
      <c r="F50" s="92" t="n"/>
      <c r="G50" s="92" t="n"/>
      <c r="H50" s="85" t="n"/>
      <c r="I50" s="92" t="n"/>
    </row>
    <row r="51" ht="19.5" customHeight="1" s="78">
      <c r="A51" s="85" t="n"/>
      <c r="B51" s="90" t="inlineStr">
        <is>
          <t>Especialista IA / Datos</t>
        </is>
      </c>
      <c r="C51" s="85" t="n"/>
      <c r="D51" s="93" t="n"/>
      <c r="E51" s="85" t="n"/>
      <c r="F51" s="93" t="n"/>
      <c r="G51" s="93" t="n"/>
      <c r="H51" s="85" t="n"/>
      <c r="I51" s="93" t="n"/>
    </row>
    <row r="52" ht="19.5" customHeight="1" s="78">
      <c r="A52" s="85" t="n"/>
      <c r="B52" s="89" t="inlineStr">
        <is>
          <t>TOTAL</t>
        </is>
      </c>
      <c r="C52" s="85" t="n"/>
      <c r="D52" s="92" t="n"/>
      <c r="E52" s="85" t="n"/>
      <c r="F52" s="92" t="n"/>
      <c r="G52" s="92" t="n"/>
      <c r="H52" s="85" t="n"/>
      <c r="I52" s="92" t="n"/>
    </row>
    <row r="53" ht="3.75" customHeight="1" s="78">
      <c r="A53" s="85" t="n"/>
      <c r="B53" s="85" t="n"/>
      <c r="C53" s="85" t="n"/>
      <c r="D53" s="85" t="n"/>
      <c r="E53" s="85" t="n"/>
      <c r="F53" s="85" t="n"/>
      <c r="G53" s="85" t="n"/>
      <c r="H53" s="85" t="n"/>
      <c r="I53" s="85" t="n"/>
    </row>
    <row r="54" ht="21.75" customHeight="1" s="78">
      <c r="A54" s="85" t="n"/>
      <c r="B54" s="89" t="inlineStr">
        <is>
          <t>Rotación anual del equipo (%):</t>
        </is>
      </c>
      <c r="C54" s="85" t="n"/>
      <c r="D54" s="89" t="n"/>
      <c r="E54" s="85" t="n"/>
      <c r="F54" s="85" t="n"/>
      <c r="G54" s="85" t="n"/>
      <c r="H54" s="85" t="n"/>
      <c r="I54" s="87" t="inlineStr">
        <is>
          <t>Bajo &lt; 10% / Medio 10-25% / Alto &gt; 25% / Muy alto &gt; 50%</t>
        </is>
      </c>
    </row>
    <row r="55" ht="21.75" customHeight="1" s="78">
      <c r="A55" s="85" t="n"/>
      <c r="B55" s="89" t="inlineStr">
        <is>
          <t>Antigüedad promedio en este cliente (meses):</t>
        </is>
      </c>
      <c r="C55" s="85" t="n"/>
      <c r="D55" s="89" t="n"/>
      <c r="E55" s="85" t="n"/>
      <c r="F55" s="85" t="n"/>
      <c r="G55" s="85" t="n"/>
      <c r="H55" s="85" t="n"/>
      <c r="I55" s="87" t="inlineStr">
        <is>
          <t>Tiempo que llevan los FTEs actuales en esta mesa</t>
        </is>
      </c>
    </row>
    <row r="56" ht="21.75" customHeight="1" s="78">
      <c r="A56" s="85" t="n"/>
      <c r="B56" s="89" t="inlineStr">
        <is>
          <t>Bus factor — ¿quién sabe TODO de esta mesa?:</t>
        </is>
      </c>
      <c r="C56" s="85" t="n"/>
      <c r="D56" s="90" t="n"/>
      <c r="E56" s="85" t="n"/>
      <c r="F56" s="85" t="n"/>
      <c r="G56" s="85" t="n"/>
      <c r="H56" s="85" t="n"/>
      <c r="I56" s="87" t="inlineStr">
        <is>
          <t>Nombre(s) de la(s) persona(s) crítica(s). Si se va, hay crisis.</t>
        </is>
      </c>
    </row>
    <row r="57" ht="21.75" customHeight="1" s="78">
      <c r="A57" s="85" t="n"/>
      <c r="B57" s="89" t="inlineStr">
        <is>
          <t>¿El equipo tiene ruta de crecimiento definida?</t>
        </is>
      </c>
      <c r="C57" s="85" t="n"/>
      <c r="D57" s="89" t="n"/>
      <c r="E57" s="85" t="n"/>
      <c r="F57" s="85" t="n"/>
      <c r="G57" s="85" t="n"/>
      <c r="H57" s="85" t="n"/>
      <c r="I57" s="87" t="inlineStr">
        <is>
          <t>Sí / No / Parcial — ¿Plan de carrera documentado?</t>
        </is>
      </c>
    </row>
    <row r="58" ht="21.75" customHeight="1" s="78">
      <c r="A58" s="85" t="n"/>
      <c r="B58" s="89" t="inlineStr">
        <is>
          <t>Satisfacción del equipo (NPS interno estimado 1-10):</t>
        </is>
      </c>
      <c r="C58" s="85" t="n"/>
      <c r="D58" s="89" t="n"/>
      <c r="E58" s="85" t="n"/>
      <c r="F58" s="85" t="n"/>
      <c r="G58" s="85" t="n"/>
      <c r="H58" s="85" t="n"/>
      <c r="I58" s="87" t="inlineStr">
        <is>
          <t>Estimación del líder de mesa</t>
        </is>
      </c>
    </row>
    <row r="59" ht="21.75" customHeight="1" s="78">
      <c r="A59" s="85" t="n"/>
      <c r="B59" s="89" t="inlineStr">
        <is>
          <t>Principal causa de rotación identificada:</t>
        </is>
      </c>
      <c r="C59" s="85" t="n"/>
      <c r="D59" s="90" t="n"/>
      <c r="E59" s="85" t="n"/>
      <c r="F59" s="85" t="n"/>
      <c r="G59" s="85" t="n"/>
      <c r="H59" s="85" t="n"/>
      <c r="I59" s="87" t="inlineStr">
        <is>
          <t>Salario / Falta crecimiento / Carga alta / Conflicto cliente / Otro</t>
        </is>
      </c>
    </row>
    <row r="60" ht="21.75" customHeight="1" s="78">
      <c r="A60" s="85" t="n"/>
      <c r="B60" s="89" t="inlineStr">
        <is>
          <t>¿Horas extra frecuentes no reconocidas?</t>
        </is>
      </c>
      <c r="C60" s="85" t="n"/>
      <c r="D60" s="90" t="n"/>
      <c r="E60" s="85" t="n"/>
      <c r="F60" s="85" t="n"/>
      <c r="G60" s="85" t="n"/>
      <c r="H60" s="85" t="n"/>
      <c r="I60" s="87" t="inlineStr">
        <is>
          <t>Sí / No. ¿Cuántas h/semana? ¿Se compensan?</t>
        </is>
      </c>
    </row>
    <row r="61" ht="6" customHeight="1" s="78">
      <c r="A61" s="85" t="n"/>
      <c r="B61" s="85" t="n"/>
      <c r="C61" s="85" t="n"/>
      <c r="D61" s="85" t="n"/>
      <c r="E61" s="85" t="n"/>
      <c r="F61" s="85" t="n"/>
      <c r="G61" s="85" t="n"/>
      <c r="H61" s="85" t="n"/>
      <c r="I61" s="85" t="n"/>
    </row>
    <row r="62" ht="21.75" customHeight="1" s="78">
      <c r="A62" s="85" t="n"/>
      <c r="B62" s="88" t="inlineStr">
        <is>
          <t>④  STACK TECNOLÓGICO Y APLICACIONES  ·  8 min</t>
        </is>
      </c>
      <c r="C62" s="85" t="n"/>
      <c r="D62" s="85" t="n"/>
      <c r="E62" s="85" t="n"/>
      <c r="F62" s="85" t="n"/>
      <c r="G62" s="85" t="n"/>
      <c r="H62" s="85" t="n"/>
      <c r="I62" s="85" t="n"/>
    </row>
    <row r="63" ht="21.75" customHeight="1" s="78">
      <c r="A63" s="85" t="n"/>
      <c r="B63" s="94" t="inlineStr">
        <is>
          <t>Herramienta de tickets (nombre):</t>
        </is>
      </c>
      <c r="C63" s="85" t="n"/>
      <c r="D63" s="89" t="n"/>
      <c r="E63" s="85" t="n"/>
      <c r="F63" s="85" t="n"/>
      <c r="G63" s="85" t="n"/>
      <c r="H63" s="85" t="n"/>
      <c r="I63" s="87" t="inlineStr">
        <is>
          <t>ServiceNow / Jira / BMC Remedy / Computer Associates / Excel / Otra</t>
        </is>
      </c>
    </row>
    <row r="64" ht="21.75" customHeight="1" s="78">
      <c r="A64" s="85" t="n"/>
      <c r="B64" s="94" t="inlineStr">
        <is>
          <t>¿Herramienta es del cliente o de PS?:</t>
        </is>
      </c>
      <c r="C64" s="85" t="n"/>
      <c r="D64" s="89" t="n"/>
      <c r="E64" s="85" t="n"/>
      <c r="F64" s="85" t="n"/>
      <c r="G64" s="85" t="n"/>
      <c r="H64" s="85" t="n"/>
      <c r="I64" s="87" t="inlineStr">
        <is>
          <t>Cliente (nos adaptamos) / PS provee herramienta</t>
        </is>
      </c>
    </row>
    <row r="65" ht="21.75" customHeight="1" s="78">
      <c r="A65" s="85" t="n"/>
      <c r="B65" s="94" t="inlineStr">
        <is>
          <t># Aplicaciones en scope:</t>
        </is>
      </c>
      <c r="C65" s="85" t="n"/>
      <c r="D65" s="90" t="n"/>
      <c r="E65" s="85" t="n"/>
      <c r="F65" s="85" t="n"/>
      <c r="G65" s="85" t="n"/>
      <c r="H65" s="85" t="n"/>
      <c r="I65" s="87" t="inlineStr">
        <is>
          <t>Número total de apps que esta mesa soporta</t>
        </is>
      </c>
    </row>
    <row r="66" ht="21.75" customHeight="1" s="78">
      <c r="A66" s="85" t="n"/>
      <c r="B66" s="94" t="inlineStr">
        <is>
          <t>Aplicaciones críticas (top 5):</t>
        </is>
      </c>
      <c r="C66" s="85" t="n"/>
      <c r="D66" s="90" t="n"/>
      <c r="E66" s="85" t="n"/>
      <c r="F66" s="85" t="n"/>
      <c r="G66" s="85" t="n"/>
      <c r="H66" s="85" t="n"/>
      <c r="I66" s="87" t="inlineStr">
        <is>
          <t>Listar por nombre. Ej: SAP FI · Portal web · API pagos</t>
        </is>
      </c>
    </row>
    <row r="67" ht="21.75" customHeight="1" s="78">
      <c r="A67" s="85" t="n"/>
      <c r="B67" s="94" t="inlineStr">
        <is>
          <t>Lenguajes / plataformas soportadas:</t>
        </is>
      </c>
      <c r="C67" s="85" t="n"/>
      <c r="D67" s="90" t="n"/>
      <c r="E67" s="85" t="n"/>
      <c r="F67" s="85" t="n"/>
      <c r="G67" s="85" t="n"/>
      <c r="H67" s="85" t="n"/>
      <c r="I67" s="87" t="inlineStr">
        <is>
          <t>Java / .Net / Python / SAP / AWS / Azure / Power Platform / OT/IT</t>
        </is>
      </c>
    </row>
    <row r="68" ht="21.75" customHeight="1" s="78">
      <c r="A68" s="85" t="n"/>
      <c r="B68" s="94" t="inlineStr">
        <is>
          <t># Ambientes soportados (DEV/QA/PRD):</t>
        </is>
      </c>
      <c r="C68" s="85" t="n"/>
      <c r="D68" s="90" t="n"/>
      <c r="E68" s="85" t="n"/>
      <c r="F68" s="85" t="n"/>
      <c r="G68" s="85" t="n"/>
      <c r="H68" s="85" t="n"/>
      <c r="I68" s="87" t="inlineStr">
        <is>
          <t>¿Todos los ambientes generan tickets?</t>
        </is>
      </c>
    </row>
    <row r="69" ht="21.75" customHeight="1" s="78">
      <c r="A69" s="85" t="n"/>
      <c r="B69" s="94" t="inlineStr">
        <is>
          <t>Integraciones críticas documentadas:</t>
        </is>
      </c>
      <c r="C69" s="85" t="n"/>
      <c r="D69" s="89" t="n"/>
      <c r="E69" s="85" t="n"/>
      <c r="F69" s="85" t="n"/>
      <c r="G69" s="85" t="n"/>
      <c r="H69" s="85" t="n"/>
      <c r="I69" s="87" t="inlineStr">
        <is>
          <t>Sí / No / Parcial. ¿Existe mapa de dependencias?</t>
        </is>
      </c>
    </row>
    <row r="70" ht="21.75" customHeight="1" s="78">
      <c r="A70" s="85" t="n"/>
      <c r="B70" s="94" t="inlineStr">
        <is>
          <t>¿Monitoreo activo configurado?:</t>
        </is>
      </c>
      <c r="C70" s="85" t="n"/>
      <c r="D70" s="89" t="n"/>
      <c r="E70" s="85" t="n"/>
      <c r="F70" s="85" t="n"/>
      <c r="G70" s="85" t="n"/>
      <c r="H70" s="85" t="n"/>
      <c r="I70" s="87" t="inlineStr">
        <is>
          <t>Sí / No / Parcial. ¿Qué herramienta? ¿Umbrales definidos?</t>
        </is>
      </c>
    </row>
    <row r="71" ht="21.75" customHeight="1" s="78">
      <c r="A71" s="85" t="n"/>
      <c r="B71" s="94" t="inlineStr">
        <is>
          <t>¿KEDB (base de conocimiento) existe?:</t>
        </is>
      </c>
      <c r="C71" s="85" t="n"/>
      <c r="D71" s="89" t="n"/>
      <c r="E71" s="85" t="n"/>
      <c r="F71" s="85" t="n"/>
      <c r="G71" s="85" t="n"/>
      <c r="H71" s="85" t="n"/>
      <c r="I71" s="87" t="inlineStr">
        <is>
          <t>Sí / No / Parcial. ¿Actualizada? ¿Quién la mantiene?</t>
        </is>
      </c>
    </row>
    <row r="72" ht="21.75" customHeight="1" s="78">
      <c r="A72" s="85" t="n"/>
      <c r="B72" s="94" t="inlineStr">
        <is>
          <t>¿Automatización en producción?:</t>
        </is>
      </c>
      <c r="C72" s="85" t="n"/>
      <c r="D72" s="89" t="n"/>
      <c r="E72" s="85" t="n"/>
      <c r="F72" s="85" t="n"/>
      <c r="G72" s="85" t="n"/>
      <c r="H72" s="85" t="n"/>
      <c r="I72" s="87" t="inlineStr">
        <is>
          <t>Sí / No. Si Sí: ¿qué automatiza? ¿% tickets automatizados?</t>
        </is>
      </c>
    </row>
    <row r="73" ht="21.75" customHeight="1" s="78">
      <c r="A73" s="85" t="n"/>
      <c r="B73" s="94" t="inlineStr">
        <is>
          <t>¿Hay N0 activo (autoservicio / portal)?:</t>
        </is>
      </c>
      <c r="C73" s="85" t="n"/>
      <c r="D73" s="89" t="n"/>
      <c r="E73" s="85" t="n"/>
      <c r="F73" s="85" t="n"/>
      <c r="G73" s="85" t="n"/>
      <c r="H73" s="85" t="n"/>
      <c r="I73" s="87" t="inlineStr">
        <is>
          <t>Sí / No / En construcción. ¿% de deflexión?</t>
        </is>
      </c>
    </row>
    <row r="74" ht="21.75" customHeight="1" s="78">
      <c r="A74" s="85" t="n"/>
      <c r="B74" s="94" t="inlineStr">
        <is>
          <t>Regulación sectorial aplicable:</t>
        </is>
      </c>
      <c r="C74" s="85" t="n"/>
      <c r="D74" s="90" t="n"/>
      <c r="E74" s="85" t="n"/>
      <c r="F74" s="85" t="n"/>
      <c r="G74" s="85" t="n"/>
      <c r="H74" s="85" t="n"/>
      <c r="I74" s="87" t="inlineStr">
        <is>
          <t>SFC / SOX / BCP/DRP / Habeas Data / Supersalud / RIPS / Ninguna</t>
        </is>
      </c>
    </row>
    <row r="75" ht="6" customHeight="1" s="78">
      <c r="A75" s="85" t="n"/>
      <c r="B75" s="85" t="n"/>
      <c r="C75" s="85" t="n"/>
      <c r="D75" s="85" t="n"/>
      <c r="E75" s="85" t="n"/>
      <c r="F75" s="85" t="n"/>
      <c r="G75" s="85" t="n"/>
      <c r="H75" s="85" t="n"/>
      <c r="I75" s="85" t="n"/>
    </row>
    <row r="76" ht="21.75" customHeight="1" s="78">
      <c r="A76" s="85" t="n"/>
      <c r="B76" s="88" t="inlineStr">
        <is>
          <t>⑤  RIESGOS Y OPORTUNIDADES  ·  7 min</t>
        </is>
      </c>
      <c r="C76" s="85" t="n"/>
      <c r="D76" s="85" t="n"/>
      <c r="E76" s="85" t="n"/>
      <c r="F76" s="85" t="n"/>
      <c r="G76" s="85" t="n"/>
      <c r="H76" s="85" t="n"/>
      <c r="I76" s="85" t="n"/>
    </row>
    <row r="77" ht="18" customHeight="1" s="78">
      <c r="A77" s="85" t="n"/>
      <c r="B77" s="95" t="inlineStr">
        <is>
          <t>Top 3 riesgos actuales</t>
        </is>
      </c>
      <c r="C77" s="85" t="n"/>
      <c r="D77" s="85" t="n"/>
      <c r="E77" s="85" t="n"/>
      <c r="F77" s="85" t="n"/>
      <c r="G77" s="85" t="n"/>
      <c r="H77" s="85" t="n"/>
      <c r="I77" s="85" t="n"/>
    </row>
    <row r="78" ht="25.5" customHeight="1" s="78">
      <c r="A78" s="85" t="n"/>
      <c r="B78" s="89" t="inlineStr">
        <is>
          <t>Riesgo #1:</t>
        </is>
      </c>
      <c r="C78" s="85" t="n"/>
      <c r="D78" s="90" t="n"/>
      <c r="E78" s="85" t="n"/>
      <c r="F78" s="85" t="n"/>
      <c r="G78" s="85" t="n"/>
      <c r="H78" s="85" t="n"/>
      <c r="I78" s="87" t="inlineStr">
        <is>
          <t>Ej: Bus factor / Scope creep / ANS sin medir / Churn latente</t>
        </is>
      </c>
    </row>
    <row r="79" ht="25.5" customHeight="1" s="78">
      <c r="A79" s="85" t="n"/>
      <c r="B79" s="89" t="inlineStr">
        <is>
          <t>Riesgo #2:</t>
        </is>
      </c>
      <c r="C79" s="85" t="n"/>
      <c r="D79" s="90" t="n"/>
      <c r="E79" s="85" t="n"/>
      <c r="F79" s="85" t="n"/>
      <c r="G79" s="85" t="n"/>
      <c r="H79" s="85" t="n"/>
      <c r="I79" s="87" t="inlineStr">
        <is>
          <t>Ej: Bus factor / Scope creep / ANS sin medir / Churn latente</t>
        </is>
      </c>
    </row>
    <row r="80" ht="25.5" customHeight="1" s="78">
      <c r="A80" s="85" t="n"/>
      <c r="B80" s="89" t="inlineStr">
        <is>
          <t>Riesgo #3:</t>
        </is>
      </c>
      <c r="C80" s="85" t="n"/>
      <c r="D80" s="90" t="n"/>
      <c r="E80" s="85" t="n"/>
      <c r="F80" s="85" t="n"/>
      <c r="G80" s="85" t="n"/>
      <c r="H80" s="85" t="n"/>
      <c r="I80" s="87" t="inlineStr">
        <is>
          <t>Ej: Bus factor / Scope creep / ANS sin medir / Churn latente</t>
        </is>
      </c>
    </row>
    <row r="81" ht="3.75" customHeight="1" s="78">
      <c r="A81" s="85" t="n"/>
      <c r="B81" s="85" t="n"/>
      <c r="C81" s="85" t="n"/>
      <c r="D81" s="85" t="n"/>
      <c r="E81" s="85" t="n"/>
      <c r="F81" s="85" t="n"/>
      <c r="G81" s="85" t="n"/>
      <c r="H81" s="85" t="n"/>
      <c r="I81" s="85" t="n"/>
    </row>
    <row r="82" ht="18" customHeight="1" s="78">
      <c r="A82" s="85" t="n"/>
      <c r="B82" s="96" t="inlineStr">
        <is>
          <t>Oportunidades para el servicio Gen Next</t>
        </is>
      </c>
      <c r="C82" s="85" t="n"/>
      <c r="D82" s="85" t="n"/>
      <c r="E82" s="85" t="n"/>
      <c r="F82" s="85" t="n"/>
      <c r="G82" s="85" t="n"/>
      <c r="H82" s="85" t="n"/>
      <c r="I82" s="85" t="n"/>
    </row>
    <row r="83" ht="21.75" customHeight="1" s="78">
      <c r="A83" s="85" t="n"/>
      <c r="B83" s="89" t="inlineStr">
        <is>
          <t>Potencial de automatización:</t>
        </is>
      </c>
      <c r="C83" s="85" t="n"/>
      <c r="D83" s="89" t="n"/>
      <c r="E83" s="85" t="n"/>
      <c r="F83" s="85" t="n"/>
      <c r="G83" s="85" t="n"/>
      <c r="H83" s="85" t="n"/>
      <c r="I83" s="87" t="inlineStr">
        <is>
          <t>Alto / Medio / Bajo. ¿Qué tareas repetitivas hay?</t>
        </is>
      </c>
    </row>
    <row r="84" ht="21.75" customHeight="1" s="78">
      <c r="A84" s="85" t="n"/>
      <c r="B84" s="89" t="inlineStr">
        <is>
          <t>Potencial de incorporar IA:</t>
        </is>
      </c>
      <c r="C84" s="85" t="n"/>
      <c r="D84" s="89" t="n"/>
      <c r="E84" s="85" t="n"/>
      <c r="F84" s="85" t="n"/>
      <c r="G84" s="85" t="n"/>
      <c r="H84" s="85" t="n"/>
      <c r="I84" s="87" t="inlineStr">
        <is>
          <t>Alto / Medio / Bajo. ¿Clasificación / KEDB / AIOps?</t>
        </is>
      </c>
    </row>
    <row r="85" ht="21.75" customHeight="1" s="78">
      <c r="A85" s="85" t="n"/>
      <c r="B85" s="89" t="inlineStr">
        <is>
          <t>Apetito del cliente por el cambio:</t>
        </is>
      </c>
      <c r="C85" s="85" t="n"/>
      <c r="D85" s="89" t="n"/>
      <c r="E85" s="85" t="n"/>
      <c r="F85" s="85" t="n"/>
      <c r="G85" s="85" t="n"/>
      <c r="H85" s="85" t="n"/>
      <c r="I85" s="87" t="inlineStr">
        <is>
          <t>Alto (promotor activo) / Medio (receptivo) / Bajo (conservador)</t>
        </is>
      </c>
    </row>
    <row r="86" ht="21.75" customHeight="1" s="78">
      <c r="A86" s="85" t="n"/>
      <c r="B86" s="89" t="inlineStr">
        <is>
          <t>Señal de churn (semáforo):</t>
        </is>
      </c>
      <c r="C86" s="85" t="n"/>
      <c r="D86" s="89" t="n"/>
      <c r="E86" s="85" t="n"/>
      <c r="F86" s="85" t="n"/>
      <c r="G86" s="85" t="n"/>
      <c r="H86" s="85" t="n"/>
      <c r="I86" s="87" t="inlineStr">
        <is>
          <t>Verde / Amarillo / Naranja / Rojo</t>
        </is>
      </c>
    </row>
    <row r="87" ht="21.75" customHeight="1" s="78">
      <c r="A87" s="85" t="n"/>
      <c r="B87" s="89" t="inlineStr">
        <is>
          <t>¿Hay oportunidad de upselling?:</t>
        </is>
      </c>
      <c r="C87" s="85" t="n"/>
      <c r="D87" s="89" t="n"/>
      <c r="E87" s="85" t="n"/>
      <c r="F87" s="85" t="n"/>
      <c r="G87" s="85" t="n"/>
      <c r="H87" s="85" t="n"/>
      <c r="I87" s="87" t="inlineStr">
        <is>
          <t>Sí / No. Si Sí: ¿qué servicio adicional? ¿quién decide?</t>
        </is>
      </c>
    </row>
    <row r="88" ht="21.75" customHeight="1" s="78">
      <c r="A88" s="85" t="n"/>
      <c r="B88" s="89" t="inlineStr">
        <is>
          <t>¿Esta mesa es replicable como template?:</t>
        </is>
      </c>
      <c r="C88" s="85" t="n"/>
      <c r="D88" s="89" t="n"/>
      <c r="E88" s="85" t="n"/>
      <c r="F88" s="85" t="n"/>
      <c r="G88" s="85" t="n"/>
      <c r="H88" s="85" t="n"/>
      <c r="I88" s="87" t="inlineStr">
        <is>
          <t>Sí / No / Parcial. ¿Qué haría falta?</t>
        </is>
      </c>
    </row>
    <row r="89" ht="36" customHeight="1" s="78">
      <c r="A89" s="85" t="n"/>
      <c r="B89" s="89" t="inlineStr">
        <is>
          <t>¿Qué haría esta mesa excelente? (voz del líder):</t>
        </is>
      </c>
      <c r="C89" s="85" t="n"/>
      <c r="D89" s="90" t="n"/>
      <c r="E89" s="85" t="n"/>
      <c r="F89" s="85" t="n"/>
      <c r="G89" s="85" t="n"/>
      <c r="H89" s="85" t="n"/>
      <c r="I89" s="87" t="inlineStr">
        <is>
          <t>Respuesta literal del líder de mesa</t>
        </is>
      </c>
    </row>
    <row r="90" ht="36" customHeight="1" s="78">
      <c r="A90" s="85" t="n"/>
      <c r="B90" s="89" t="inlineStr">
        <is>
          <t>¿Qué automatizaría primero si tuviera IA?:</t>
        </is>
      </c>
      <c r="C90" s="85" t="n"/>
      <c r="D90" s="90" t="n"/>
      <c r="E90" s="85" t="n"/>
      <c r="F90" s="85" t="n"/>
      <c r="G90" s="85" t="n"/>
      <c r="H90" s="85" t="n"/>
      <c r="I90" s="87" t="inlineStr">
        <is>
          <t>Respuesta literal del líder de mesa</t>
        </is>
      </c>
    </row>
    <row r="91" ht="36" customHeight="1" s="78">
      <c r="A91" s="85" t="n"/>
      <c r="B91" s="89" t="inlineStr">
        <is>
          <t>Comentarios / contexto adicional:</t>
        </is>
      </c>
      <c r="C91" s="85" t="n"/>
      <c r="D91" s="90" t="n"/>
      <c r="E91" s="85" t="n"/>
      <c r="F91" s="85" t="n"/>
      <c r="G91" s="85" t="n"/>
      <c r="H91" s="85" t="n"/>
      <c r="I91" s="87" t="inlineStr">
        <is>
          <t>Cualquier dato relevante que no entró en los bloques anteriores</t>
        </is>
      </c>
    </row>
    <row r="92" ht="4.5" customHeight="1" s="78">
      <c r="A92" s="85" t="n"/>
      <c r="B92" s="85" t="n"/>
      <c r="C92" s="85" t="n"/>
      <c r="D92" s="85" t="n"/>
      <c r="E92" s="85" t="n"/>
      <c r="F92" s="85" t="n"/>
      <c r="G92" s="85" t="n"/>
      <c r="H92" s="85" t="n"/>
      <c r="I92" s="85" t="n"/>
    </row>
    <row r="93" ht="18" customHeight="1" s="78">
      <c r="A93" s="85" t="n"/>
      <c r="B93" s="97" t="inlineStr">
        <is>
          <t>PersonalSoft · CTO / SICTO · Mesa de Servicios de Nueva Generación · Julio 2026</t>
        </is>
      </c>
      <c r="C93" s="85" t="n"/>
      <c r="D93" s="85" t="n"/>
      <c r="E93" s="85" t="n"/>
      <c r="F93" s="85" t="n"/>
      <c r="G93" s="85" t="n"/>
      <c r="H93" s="85" t="n"/>
      <c r="I93" s="85" t="n"/>
    </row>
    <row r="94">
      <c r="A94" s="85" t="n"/>
      <c r="B94" s="85" t="n"/>
      <c r="C94" s="85" t="n"/>
      <c r="D94" s="85" t="n"/>
      <c r="E94" s="85" t="n"/>
      <c r="F94" s="85" t="n"/>
      <c r="G94" s="85" t="n"/>
      <c r="H94" s="85" t="n"/>
      <c r="I94" s="85" t="n"/>
    </row>
    <row r="95">
      <c r="A95" s="85" t="n"/>
      <c r="B95" s="85" t="n"/>
      <c r="C95" s="85" t="n"/>
      <c r="D95" s="85" t="n"/>
      <c r="E95" s="85" t="n"/>
      <c r="F95" s="85" t="n"/>
      <c r="G95" s="85" t="n"/>
      <c r="H95" s="85" t="n"/>
      <c r="I95" s="85" t="n"/>
    </row>
    <row r="96" ht="30" customHeight="1" s="78">
      <c r="A96" s="85" t="n"/>
      <c r="B96" s="98" t="inlineStr">
        <is>
          <t>MODO DE OPERACIÓN · SURA Cotizadores</t>
        </is>
      </c>
      <c r="C96" s="85" t="n"/>
      <c r="D96" s="85" t="n"/>
      <c r="E96" s="85" t="n"/>
      <c r="F96" s="85" t="n"/>
      <c r="G96" s="85" t="n"/>
      <c r="H96" s="85" t="n"/>
      <c r="I96" s="85" t="n"/>
    </row>
    <row r="97" ht="24" customHeight="1" s="78">
      <c r="A97" s="85" t="n"/>
      <c r="B97" s="99" t="inlineStr">
        <is>
          <t>¿Cómo opera hoy esta mesa? — Reactiva, Proactiva o Automatizada · Esta sección define qué tipo de mesa es y hacia dónde debe evolucionar</t>
        </is>
      </c>
      <c r="C97" s="85" t="n"/>
      <c r="D97" s="85" t="n"/>
      <c r="E97" s="85" t="n"/>
      <c r="F97" s="85" t="n"/>
      <c r="G97" s="85" t="n"/>
      <c r="H97" s="85" t="n"/>
      <c r="I97" s="85" t="n"/>
    </row>
    <row r="98" ht="19.5" customHeight="1" s="78">
      <c r="A98" s="85" t="n"/>
      <c r="B98" s="100" t="inlineStr">
        <is>
          <t>Tipo / Modo</t>
        </is>
      </c>
      <c r="C98" s="85" t="n"/>
      <c r="D98" s="85" t="n"/>
      <c r="E98" s="101" t="inlineStr">
        <is>
          <t>Características — cómo se ve en la práctica</t>
        </is>
      </c>
      <c r="F98" s="85" t="n"/>
      <c r="G98" s="85" t="n"/>
      <c r="H98" s="85" t="n"/>
      <c r="I98" s="85" t="n"/>
    </row>
    <row r="99" ht="27.75" customHeight="1" s="78">
      <c r="A99" s="85" t="n"/>
      <c r="B99" s="102" t="inlineStr">
        <is>
          <t>Mesa de Ayuda
(Help Desk)</t>
        </is>
      </c>
      <c r="C99" s="85" t="n"/>
      <c r="D99" s="103" t="inlineStr">
        <is>
          <t>Reactiva</t>
        </is>
      </c>
      <c r="E99" s="104" t="inlineStr">
        <is>
          <t>Solo responde cuando el usuario reporta · N1 sin escalamiento · Bus factor alto</t>
        </is>
      </c>
      <c r="F99" s="85" t="n"/>
      <c r="G99" s="85" t="n"/>
      <c r="H99" s="85" t="n"/>
      <c r="I99" s="85" t="n"/>
    </row>
    <row r="100" ht="27.75" customHeight="1" s="78">
      <c r="A100" s="85" t="n"/>
      <c r="B100" s="105" t="inlineStr">
        <is>
          <t>Mesa de Soporte</t>
        </is>
      </c>
      <c r="C100" s="85" t="n"/>
      <c r="D100" s="106" t="inlineStr">
        <is>
          <t>Reactiva + Proactiva</t>
        </is>
      </c>
      <c r="E100" s="107" t="inlineStr">
        <is>
          <t>N1+N2+N3 · Gestión de problemas · Algo de monitoreo · Documentación básica</t>
        </is>
      </c>
      <c r="F100" s="85" t="n"/>
      <c r="G100" s="85" t="n"/>
      <c r="H100" s="85" t="n"/>
      <c r="I100" s="85" t="n"/>
    </row>
    <row r="101" ht="27.75" customHeight="1" s="78">
      <c r="A101" s="85" t="n"/>
      <c r="B101" s="108" t="inlineStr">
        <is>
          <t>Mesa de Servicios
(Service Desk)</t>
        </is>
      </c>
      <c r="C101" s="85" t="n"/>
      <c r="D101" s="109" t="inlineStr">
        <is>
          <t>Proactiva e Integral</t>
        </is>
      </c>
      <c r="E101" s="110" t="inlineStr">
        <is>
          <t>SPOC · Catálogo · ANS medidos · Change Enablement · ITSM completo</t>
        </is>
      </c>
      <c r="F101" s="85" t="n"/>
      <c r="G101" s="85" t="n"/>
      <c r="H101" s="85" t="n"/>
      <c r="I101" s="85" t="n"/>
    </row>
    <row r="102" ht="27.75" customHeight="1" s="78">
      <c r="A102" s="85" t="n"/>
      <c r="B102" s="111" t="inlineStr">
        <is>
          <t>Torre de Control</t>
        </is>
      </c>
      <c r="C102" s="85" t="n"/>
      <c r="D102" s="112" t="inlineStr">
        <is>
          <t>Monitoreo y Observabilidad</t>
        </is>
      </c>
      <c r="E102" s="113" t="inlineStr">
        <is>
          <t>24x7 · AIOps · Detección antes del impacto · Alertas automáticas</t>
        </is>
      </c>
      <c r="F102" s="85" t="n"/>
      <c r="G102" s="85" t="n"/>
      <c r="H102" s="85" t="n"/>
      <c r="I102" s="85" t="n"/>
    </row>
    <row r="103" ht="27.75" customHeight="1" s="78">
      <c r="A103" s="85" t="n"/>
      <c r="B103" s="114" t="inlineStr">
        <is>
          <t>Mesa Gen Next</t>
        </is>
      </c>
      <c r="C103" s="85" t="n"/>
      <c r="D103" s="115" t="inlineStr">
        <is>
          <t>Autónoma e Inteligente</t>
        </is>
      </c>
      <c r="E103" s="116" t="inlineStr">
        <is>
          <t>IA activa · N0 real · Mejora continua · AIOps · Predicción de fallas</t>
        </is>
      </c>
      <c r="F103" s="85" t="n"/>
      <c r="G103" s="85" t="n"/>
      <c r="H103" s="85" t="n"/>
      <c r="I103" s="85" t="n"/>
    </row>
    <row r="104">
      <c r="A104" s="85" t="n"/>
      <c r="B104" s="85" t="n"/>
      <c r="C104" s="85" t="n"/>
      <c r="D104" s="85" t="n"/>
      <c r="E104" s="85" t="n"/>
      <c r="F104" s="85" t="n"/>
      <c r="G104" s="85" t="n"/>
      <c r="H104" s="85" t="n"/>
      <c r="I104" s="85" t="n"/>
    </row>
    <row r="105" ht="27.75" customHeight="1" s="78">
      <c r="A105" s="85" t="n"/>
      <c r="B105" s="117" t="inlineStr">
        <is>
          <t>¿Qué tipo de mesa es esta HOY?</t>
        </is>
      </c>
      <c r="C105" s="118" t="n"/>
      <c r="D105" s="119" t="inlineStr">
        <is>
          <t>↳ Mesa de Ayuda / Soporte / Service Desk / Torre de Control</t>
        </is>
      </c>
      <c r="E105" s="85" t="n"/>
      <c r="F105" s="85" t="n"/>
      <c r="G105" s="85" t="n"/>
      <c r="H105" s="85" t="n"/>
      <c r="I105" s="85" t="n"/>
    </row>
    <row r="106" ht="27.75" customHeight="1" s="78">
      <c r="A106" s="85" t="n"/>
      <c r="B106" s="117" t="inlineStr">
        <is>
          <t>¿Qué tipo debería ser en 12 meses?</t>
        </is>
      </c>
      <c r="C106" s="118" t="n"/>
      <c r="D106" s="119" t="inlineStr">
        <is>
          <t>↳ hacia dónde debe evolucionar con el modelo nuevo</t>
        </is>
      </c>
      <c r="E106" s="85" t="n"/>
      <c r="F106" s="85" t="n"/>
      <c r="G106" s="85" t="n"/>
      <c r="H106" s="85" t="n"/>
      <c r="I106" s="85" t="n"/>
    </row>
    <row r="107" ht="27.75" customHeight="1" s="78">
      <c r="A107" s="85" t="n"/>
      <c r="B107" s="117" t="inlineStr">
        <is>
          <t>Modo de operación actual:</t>
        </is>
      </c>
      <c r="C107" s="118" t="n"/>
      <c r="D107" s="119" t="inlineStr">
        <is>
          <t>↳ Reactivo / Proactivo / Autónomo</t>
        </is>
      </c>
      <c r="E107" s="85" t="n"/>
      <c r="F107" s="85" t="n"/>
      <c r="G107" s="85" t="n"/>
      <c r="H107" s="85" t="n"/>
      <c r="I107" s="85" t="n"/>
    </row>
    <row r="108">
      <c r="A108" s="85" t="n"/>
      <c r="B108" s="85" t="n"/>
      <c r="C108" s="85" t="n"/>
      <c r="D108" s="85" t="n"/>
      <c r="E108" s="85" t="n"/>
      <c r="F108" s="85" t="n"/>
      <c r="G108" s="85" t="n"/>
      <c r="H108" s="85" t="n"/>
      <c r="I108" s="85" t="n"/>
    </row>
    <row r="109" ht="21.75" customHeight="1" s="78">
      <c r="A109" s="85" t="n"/>
      <c r="B109" s="120" t="inlineStr">
        <is>
          <t>Preguntas clave — modo de operación real</t>
        </is>
      </c>
      <c r="C109" s="85" t="n"/>
      <c r="D109" s="85" t="n"/>
      <c r="E109" s="85" t="n"/>
      <c r="F109" s="85" t="n"/>
      <c r="G109" s="85" t="n"/>
      <c r="H109" s="85" t="n"/>
      <c r="I109" s="85" t="n"/>
    </row>
    <row r="110" ht="27.75" customHeight="1" s="78">
      <c r="A110" s="85" t="n"/>
      <c r="B110" s="121" t="inlineStr">
        <is>
          <t>¿Cómo se entera el equipo de que hay un problema?</t>
        </is>
      </c>
      <c r="C110" s="122" t="n"/>
      <c r="D110" s="119" t="inlineStr">
        <is>
          <t>↳ Solo cuando el usuario llama (reactivo) / Alertas / Antes del impacto (proactivo)</t>
        </is>
      </c>
      <c r="E110" s="85" t="n"/>
      <c r="F110" s="85" t="n"/>
      <c r="G110" s="85" t="n"/>
      <c r="H110" s="85" t="n"/>
      <c r="I110" s="85" t="n"/>
    </row>
    <row r="111" ht="27.75" customHeight="1" s="78">
      <c r="A111" s="85" t="n"/>
      <c r="B111" s="121" t="inlineStr">
        <is>
          <t>¿Hay monitoreo automatizado de los sistemas del cliente?</t>
        </is>
      </c>
      <c r="C111" s="122" t="n"/>
      <c r="D111" s="119" t="inlineStr">
        <is>
          <t>↳ Sí / No / Parcial · ¿qué herramienta? ¿qué sistemas monitorea?</t>
        </is>
      </c>
      <c r="E111" s="85" t="n"/>
      <c r="F111" s="85" t="n"/>
      <c r="G111" s="85" t="n"/>
      <c r="H111" s="85" t="n"/>
      <c r="I111" s="85" t="n"/>
    </row>
    <row r="112" ht="27.75" customHeight="1" s="78">
      <c r="A112" s="85" t="n"/>
      <c r="B112" s="121" t="inlineStr">
        <is>
          <t>¿Se detectan incidentes ANTES de que el usuario los reporte?</t>
        </is>
      </c>
      <c r="C112" s="122" t="n"/>
      <c r="D112" s="119" t="inlineStr">
        <is>
          <t>↳ Sí (proactiva) / A veces / No (reactiva) — dar un ejemplo concreto</t>
        </is>
      </c>
      <c r="E112" s="85" t="n"/>
      <c r="F112" s="85" t="n"/>
      <c r="G112" s="85" t="n"/>
      <c r="H112" s="85" t="n"/>
      <c r="I112" s="85" t="n"/>
    </row>
    <row r="113" ht="27.75" customHeight="1" s="78">
      <c r="A113" s="85" t="n"/>
      <c r="B113" s="121" t="inlineStr">
        <is>
          <t>¿Cuántos tickets se resuelven sin intervención humana (% automatizados)?</t>
        </is>
      </c>
      <c r="C113" s="122" t="n"/>
      <c r="D113" s="119" t="inlineStr">
        <is>
          <t>↳ ej: 0% todo manual · 10% · 30% — cifra estimada</t>
        </is>
      </c>
      <c r="E113" s="85" t="n"/>
      <c r="F113" s="85" t="n"/>
      <c r="G113" s="85" t="n"/>
      <c r="H113" s="85" t="n"/>
      <c r="I113" s="85" t="n"/>
    </row>
    <row r="114" ht="27.75" customHeight="1" s="78">
      <c r="A114" s="85" t="n"/>
      <c r="B114" s="121" t="inlineStr">
        <is>
          <t>¿El usuario puede resolver algo solo sin contactar la mesa?</t>
        </is>
      </c>
      <c r="C114" s="122" t="n"/>
      <c r="D114" s="119" t="inlineStr">
        <is>
          <t>↳ Sí (portal activo) / No / En construcción · ¿qué puede resolver solo?</t>
        </is>
      </c>
      <c r="E114" s="85" t="n"/>
      <c r="F114" s="85" t="n"/>
      <c r="G114" s="85" t="n"/>
      <c r="H114" s="85" t="n"/>
      <c r="I114" s="85" t="n"/>
    </row>
    <row r="115" ht="27.75" customHeight="1" s="78">
      <c r="A115" s="85" t="n"/>
      <c r="B115" s="121" t="inlineStr">
        <is>
          <t>¿Cuánto tiempo tarda hacer el informe mensual del cliente?</t>
        </is>
      </c>
      <c r="C115" s="122" t="n"/>
      <c r="D115" s="119" t="inlineStr">
        <is>
          <t>↳ ej: 2 horas / medio día / un día completo — ¿es manual o automático?</t>
        </is>
      </c>
      <c r="E115" s="85" t="n"/>
      <c r="F115" s="85" t="n"/>
      <c r="G115" s="85" t="n"/>
      <c r="H115" s="85" t="n"/>
      <c r="I115" s="85" t="n"/>
    </row>
    <row r="116" ht="27.75" customHeight="1" s="78">
      <c r="A116" s="85" t="n"/>
      <c r="B116" s="121" t="inlineStr">
        <is>
          <t>¿Se mide la satisfacción del usuario (CSAT/XLA) sistemáticamente?</t>
        </is>
      </c>
      <c r="C116" s="122" t="n"/>
      <c r="D116" s="119" t="inlineStr">
        <is>
          <t>↳ Sí / No / Parcial · ¿cuándo fue la última medición?</t>
        </is>
      </c>
      <c r="E116" s="85" t="n"/>
      <c r="F116" s="85" t="n"/>
      <c r="G116" s="85" t="n"/>
      <c r="H116" s="85" t="n"/>
      <c r="I116" s="85" t="n"/>
    </row>
    <row r="117" ht="27.75" customHeight="1" s="78">
      <c r="A117" s="85" t="n"/>
      <c r="B117" s="121" t="inlineStr">
        <is>
          <t>Si tuvieras presupuesto para 1 mejora, ¿qué harías primero?</t>
        </is>
      </c>
      <c r="C117" s="122" t="n"/>
      <c r="D117" s="119" t="inlineStr">
        <is>
          <t>↳ La respuesta más valiosa para el diseño del servicio nuevo</t>
        </is>
      </c>
      <c r="E117" s="85" t="n"/>
      <c r="F117" s="85" t="n"/>
      <c r="G117" s="85" t="n"/>
      <c r="H117" s="85" t="n"/>
      <c r="I117" s="85" t="n"/>
    </row>
  </sheetData>
  <mergeCells count="185">
    <mergeCell ref="B91:C91"/>
    <mergeCell ref="D35:H35"/>
    <mergeCell ref="B100:C100"/>
    <mergeCell ref="B62:I62"/>
    <mergeCell ref="D10:H10"/>
    <mergeCell ref="D90:H90"/>
    <mergeCell ref="B22:C22"/>
    <mergeCell ref="B102:C102"/>
    <mergeCell ref="D50:E50"/>
    <mergeCell ref="D45:E45"/>
    <mergeCell ref="B12:C12"/>
    <mergeCell ref="B96:I96"/>
    <mergeCell ref="B21:C21"/>
    <mergeCell ref="B86:C86"/>
    <mergeCell ref="E103:I103"/>
    <mergeCell ref="D106:I106"/>
    <mergeCell ref="B67:C67"/>
    <mergeCell ref="D11:H11"/>
    <mergeCell ref="B101:C101"/>
    <mergeCell ref="B14:C14"/>
    <mergeCell ref="D48:E48"/>
    <mergeCell ref="D66:H66"/>
    <mergeCell ref="B13:C13"/>
    <mergeCell ref="B69:C69"/>
    <mergeCell ref="D117:I117"/>
    <mergeCell ref="B38:C38"/>
    <mergeCell ref="B82:I82"/>
    <mergeCell ref="B78:C78"/>
    <mergeCell ref="D28:H28"/>
    <mergeCell ref="D110:I110"/>
    <mergeCell ref="B19:I19"/>
    <mergeCell ref="D37:H37"/>
    <mergeCell ref="B40:C40"/>
    <mergeCell ref="B49:C49"/>
    <mergeCell ref="D9:H9"/>
    <mergeCell ref="B55:C55"/>
    <mergeCell ref="B24:C24"/>
    <mergeCell ref="D30:H30"/>
    <mergeCell ref="D39:H39"/>
    <mergeCell ref="B64:C64"/>
    <mergeCell ref="B33:C33"/>
    <mergeCell ref="B51:C51"/>
    <mergeCell ref="D51:E51"/>
    <mergeCell ref="D29:H29"/>
    <mergeCell ref="D23:H23"/>
    <mergeCell ref="D38:H38"/>
    <mergeCell ref="B76:I76"/>
    <mergeCell ref="B63:C63"/>
    <mergeCell ref="B26:C26"/>
    <mergeCell ref="B41:C41"/>
    <mergeCell ref="D111:I111"/>
    <mergeCell ref="B35:C35"/>
    <mergeCell ref="B16:C16"/>
    <mergeCell ref="B98:D98"/>
    <mergeCell ref="B25:C25"/>
    <mergeCell ref="B90:C90"/>
    <mergeCell ref="B109:I109"/>
    <mergeCell ref="D63:H63"/>
    <mergeCell ref="B66:C66"/>
    <mergeCell ref="D80:H80"/>
    <mergeCell ref="B27:C27"/>
    <mergeCell ref="G48:H48"/>
    <mergeCell ref="D65:H65"/>
    <mergeCell ref="B11:C11"/>
    <mergeCell ref="D57:H57"/>
    <mergeCell ref="D27:H27"/>
    <mergeCell ref="D41:H41"/>
    <mergeCell ref="D114:I114"/>
    <mergeCell ref="E5:H5"/>
    <mergeCell ref="D17:H17"/>
    <mergeCell ref="G49:H49"/>
    <mergeCell ref="D47:E47"/>
    <mergeCell ref="D91:H91"/>
    <mergeCell ref="B5:D5"/>
    <mergeCell ref="B29:C29"/>
    <mergeCell ref="D113:I113"/>
    <mergeCell ref="B103:C103"/>
    <mergeCell ref="B37:C37"/>
    <mergeCell ref="B84:C84"/>
    <mergeCell ref="D115:I115"/>
    <mergeCell ref="D74:H74"/>
    <mergeCell ref="D12:H12"/>
    <mergeCell ref="D68:H68"/>
    <mergeCell ref="D25:H25"/>
    <mergeCell ref="D83:H83"/>
    <mergeCell ref="B15:C15"/>
    <mergeCell ref="D55:H55"/>
    <mergeCell ref="B80:C80"/>
    <mergeCell ref="B89:C89"/>
    <mergeCell ref="D67:H67"/>
    <mergeCell ref="D14:H14"/>
    <mergeCell ref="B79:C79"/>
    <mergeCell ref="D85:H85"/>
    <mergeCell ref="D54:H54"/>
    <mergeCell ref="D60:H60"/>
    <mergeCell ref="B54:C54"/>
    <mergeCell ref="D69:H69"/>
    <mergeCell ref="B72:C72"/>
    <mergeCell ref="E98:I98"/>
    <mergeCell ref="B56:C56"/>
    <mergeCell ref="B71:C71"/>
    <mergeCell ref="D40:H40"/>
    <mergeCell ref="B93:I93"/>
    <mergeCell ref="B58:C58"/>
    <mergeCell ref="B52:C52"/>
    <mergeCell ref="D21:H21"/>
    <mergeCell ref="D52:E52"/>
    <mergeCell ref="B77:I77"/>
    <mergeCell ref="D112:I112"/>
    <mergeCell ref="D49:E49"/>
    <mergeCell ref="B60:C60"/>
    <mergeCell ref="B17:C17"/>
    <mergeCell ref="B57:C57"/>
    <mergeCell ref="B88:C88"/>
    <mergeCell ref="D16:H16"/>
    <mergeCell ref="D87:H87"/>
    <mergeCell ref="B34:C34"/>
    <mergeCell ref="B28:C28"/>
    <mergeCell ref="B99:C99"/>
    <mergeCell ref="D71:H71"/>
    <mergeCell ref="B9:C9"/>
    <mergeCell ref="D58:H58"/>
    <mergeCell ref="B83:C83"/>
    <mergeCell ref="G51:H51"/>
    <mergeCell ref="B30:C30"/>
    <mergeCell ref="D8:H8"/>
    <mergeCell ref="E100:I100"/>
    <mergeCell ref="D73:H73"/>
    <mergeCell ref="B45:C45"/>
    <mergeCell ref="B85:C85"/>
    <mergeCell ref="G50:H50"/>
    <mergeCell ref="D105:I105"/>
    <mergeCell ref="E102:I102"/>
    <mergeCell ref="B32:I32"/>
    <mergeCell ref="D59:H59"/>
    <mergeCell ref="B97:I97"/>
    <mergeCell ref="B47:C47"/>
    <mergeCell ref="G52:H52"/>
    <mergeCell ref="B7:I7"/>
    <mergeCell ref="D34:H34"/>
    <mergeCell ref="B59:C59"/>
    <mergeCell ref="D107:I107"/>
    <mergeCell ref="D116:I116"/>
    <mergeCell ref="B46:C46"/>
    <mergeCell ref="B3:I3"/>
    <mergeCell ref="D46:E46"/>
    <mergeCell ref="D84:H84"/>
    <mergeCell ref="D22:H22"/>
    <mergeCell ref="D36:H36"/>
    <mergeCell ref="B43:I43"/>
    <mergeCell ref="B39:C39"/>
    <mergeCell ref="B70:C70"/>
    <mergeCell ref="B48:C48"/>
    <mergeCell ref="D86:H86"/>
    <mergeCell ref="B2:I2"/>
    <mergeCell ref="D13:H13"/>
    <mergeCell ref="B23:C23"/>
    <mergeCell ref="B8:C8"/>
    <mergeCell ref="D70:H70"/>
    <mergeCell ref="B73:C73"/>
    <mergeCell ref="B87:C87"/>
    <mergeCell ref="B44:I44"/>
    <mergeCell ref="E99:I99"/>
    <mergeCell ref="D72:H72"/>
    <mergeCell ref="D78:H78"/>
    <mergeCell ref="B10:C10"/>
    <mergeCell ref="G45:H45"/>
    <mergeCell ref="D56:H56"/>
    <mergeCell ref="B65:C65"/>
    <mergeCell ref="E101:I101"/>
    <mergeCell ref="B74:C74"/>
    <mergeCell ref="B68:C68"/>
    <mergeCell ref="D15:H15"/>
    <mergeCell ref="G47:H47"/>
    <mergeCell ref="D24:H24"/>
    <mergeCell ref="D64:H64"/>
    <mergeCell ref="B20:I20"/>
    <mergeCell ref="D33:H33"/>
    <mergeCell ref="D89:H89"/>
    <mergeCell ref="B36:C36"/>
    <mergeCell ref="G46:H46"/>
    <mergeCell ref="B50:C50"/>
    <mergeCell ref="D79:H79"/>
    <mergeCell ref="D88:H88"/>
    <mergeCell ref="D26:H26"/>
  </mergeCells>
  <dataValidations count="2">
    <dataValidation sqref="C105:C106" showDropDown="0" showInputMessage="0" showErrorMessage="0" allowBlank="1" type="list" errorStyle="stop" operator="between">
      <formula1>Listas!$B$2:$B$6</formula1>
      <formula2>0</formula2>
    </dataValidation>
    <dataValidation sqref="C107" showDropDown="0" showInputMessage="0" showErrorMessage="0" allowBlank="1" type="list" errorStyle="stop" operator="between">
      <formula1>Listas!$P$1:$P$6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132346"/>
    <outlinePr summaryBelow="1" summaryRight="1"/>
    <pageSetUpPr fitToPage="0"/>
  </sheetPr>
  <dimension ref="A1:C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77" min="1" max="1"/>
    <col width="32" customWidth="1" style="77" min="2" max="2"/>
    <col width="58" customWidth="1" style="77" min="3" max="3"/>
  </cols>
  <sheetData>
    <row r="1" ht="6" customHeight="1" s="78">
      <c r="A1" s="85" t="n"/>
      <c r="B1" s="85" t="n"/>
      <c r="C1" s="85" t="n"/>
    </row>
    <row r="2" ht="36" customHeight="1" s="78">
      <c r="A2" s="85" t="n"/>
      <c r="B2" s="81" t="inlineStr">
        <is>
          <t>Caracterización de Mesas de Servicio · Gen Next</t>
        </is>
      </c>
      <c r="C2" s="85" t="n"/>
    </row>
    <row r="3" ht="21.75" customHeight="1" s="78">
      <c r="A3" s="85" t="n"/>
      <c r="B3" s="82" t="inlineStr">
        <is>
          <t>PersonalSoft · Julio 2026  ·  v1.0</t>
        </is>
      </c>
      <c r="C3" s="85" t="n"/>
    </row>
    <row r="4" ht="7.5" customHeight="1" s="78">
      <c r="A4" s="85" t="n"/>
      <c r="B4" s="85" t="n"/>
      <c r="C4" s="85" t="n"/>
    </row>
    <row r="5" ht="24" customHeight="1" s="78">
      <c r="A5" s="85" t="n"/>
      <c r="B5" s="123" t="inlineStr">
        <is>
          <t>¿Para qué sirve este archivo?</t>
        </is>
      </c>
      <c r="C5" s="85" t="n"/>
    </row>
    <row r="6" ht="69.75" customHeight="1" s="78">
      <c r="A6" s="85" t="n"/>
      <c r="B6" s="89" t="inlineStr">
        <is>
          <t>Este archivo caracteriza cada mesa de servicio actual desde 5 dimensiones estratégicas: identidad y alcance, volumetría y economía, personas y cultura, tecnología y stack, y riesgos/oportunidades. Complementa la evaluación de madurez (Plantilla_Madurez_Mesas_Servicio.xlsx) y el levantamiento de lecciones aprendidas (Levantamiento_Mesas_Julio_2026.xlsx). El output alimenta directamente el diseño del servicio Gen Next en agosto 2026.</t>
        </is>
      </c>
      <c r="C6" s="85" t="n"/>
    </row>
    <row r="7" ht="7.5" customHeight="1" s="78">
      <c r="A7" s="85" t="n"/>
      <c r="B7" s="85" t="n"/>
      <c r="C7" s="85" t="n"/>
    </row>
    <row r="8" ht="24" customHeight="1" s="78">
      <c r="A8" s="85" t="n"/>
      <c r="B8" s="123" t="inlineStr">
        <is>
          <t>¿Cómo se diferencia de los otros dos templates?</t>
        </is>
      </c>
      <c r="C8" s="85" t="n"/>
    </row>
    <row r="9" ht="19.5" customHeight="1" s="78">
      <c r="A9" s="85" t="n"/>
      <c r="B9" s="124" t="inlineStr">
        <is>
          <t>Archivo</t>
        </is>
      </c>
      <c r="C9" s="124" t="inlineStr">
        <is>
          <t>Qué captura</t>
        </is>
      </c>
    </row>
    <row r="10" ht="39.75" customHeight="1" s="78">
      <c r="A10" s="85" t="n"/>
      <c r="B10" s="90" t="inlineStr">
        <is>
          <t>Levantamiento_Mesas (Lecciones Aprendidas)</t>
        </is>
      </c>
      <c r="C10" s="90" t="inlineStr">
        <is>
          <t>Dolores, prácticas ITIL a nivel Sí/No/Parcial, rotación, tecnología. Perspectiva cualitativa.</t>
        </is>
      </c>
    </row>
    <row r="11" ht="39.75" customHeight="1" s="78">
      <c r="A11" s="85" t="n"/>
      <c r="B11" s="89" t="inlineStr">
        <is>
          <t>Plantilla_Madurez (Nivel de Madurez)</t>
        </is>
      </c>
      <c r="C11" s="89" t="inlineStr">
        <is>
          <t>Nivel N0-N5 por cada una de las 21 prácticas con evidencia. Perspectiva evaluativa.</t>
        </is>
      </c>
    </row>
    <row r="12" ht="39.75" customHeight="1" s="78">
      <c r="A12" s="85" t="n"/>
      <c r="B12" s="90" t="inlineStr">
        <is>
          <t>Este archivo (Caracterización)</t>
        </is>
      </c>
      <c r="C12" s="90" t="inlineStr">
        <is>
          <t>Perfil completo: volumetría real, economía del contrato, stack tecnológico, equipo, riesgos y oportunidades. Perspectiva descriptiva y estratégica.</t>
        </is>
      </c>
    </row>
    <row r="13" ht="7.5" customHeight="1" s="78">
      <c r="A13" s="85" t="n"/>
      <c r="B13" s="85" t="n"/>
      <c r="C13" s="85" t="n"/>
    </row>
    <row r="14" ht="24" customHeight="1" s="78">
      <c r="A14" s="85" t="n"/>
      <c r="B14" s="123" t="inlineStr">
        <is>
          <t>Las 5 dimensiones de caracterización</t>
        </is>
      </c>
      <c r="C14" s="85" t="n"/>
    </row>
    <row r="15" ht="19.5" customHeight="1" s="78">
      <c r="A15" s="85" t="n"/>
      <c r="B15" s="125" t="inlineStr">
        <is>
          <t>① Identidad y Alcance  (5 min)</t>
        </is>
      </c>
      <c r="C15" s="85" t="n"/>
    </row>
    <row r="16" ht="39.75" customHeight="1" s="78">
      <c r="A16" s="85" t="n"/>
      <c r="B16" s="94" t="inlineStr">
        <is>
          <t>Nombre, tipo, cliente, sector, criticidad, sabor de servicio PS (Dedicado/Compartido/Express), horario real.</t>
        </is>
      </c>
      <c r="C16" s="85" t="n"/>
    </row>
    <row r="17" ht="19.5" customHeight="1" s="78">
      <c r="A17" s="85" t="n"/>
      <c r="B17" s="125" t="inlineStr">
        <is>
          <t>② Volumetría y Economía  (10 min)</t>
        </is>
      </c>
      <c r="C17" s="85" t="n"/>
    </row>
    <row r="18" ht="39.75" customHeight="1" s="78">
      <c r="A18" s="85" t="n"/>
      <c r="B18" s="94" t="inlineStr">
        <is>
          <t># tickets/mes, % por prioridad, canales de entrada, modelo de cobro (FTE/ticket/fijo/mixto), tarifa actual, margen estimado, herramienta de ticketing.</t>
        </is>
      </c>
      <c r="C18" s="85" t="n"/>
    </row>
    <row r="19" ht="19.5" customHeight="1" s="78">
      <c r="A19" s="85" t="n"/>
      <c r="B19" s="125" t="inlineStr">
        <is>
          <t>③ Personas y Cultura  (10 min)</t>
        </is>
      </c>
      <c r="C19" s="85" t="n"/>
    </row>
    <row r="20" ht="39.75" customHeight="1" s="78">
      <c r="A20" s="85" t="n"/>
      <c r="B20" s="94" t="inlineStr">
        <is>
          <t>FTEs por nivel (N1/N2/N3), rotación anual %, antigüedad promedio, bus factor (nombre del héroe clave), horario real vs contractual, horas extra frecuentes.</t>
        </is>
      </c>
      <c r="C20" s="85" t="n"/>
    </row>
    <row r="21" ht="19.5" customHeight="1" s="78">
      <c r="A21" s="85" t="n"/>
      <c r="B21" s="125" t="inlineStr">
        <is>
          <t>④ Stack Tecnológico y Aplicaciones  (8 min)</t>
        </is>
      </c>
      <c r="C21" s="85" t="n"/>
    </row>
    <row r="22" ht="39.75" customHeight="1" s="78">
      <c r="A22" s="85" t="n"/>
      <c r="B22" s="94" t="inlineStr">
        <is>
          <t>Herramienta de tickets (cliente o PS), lenguajes/plataformas soportadas, integraciones críticas, # aplicaciones en scope, # ambientes (DEV/QA/PRD).</t>
        </is>
      </c>
      <c r="C22" s="85" t="n"/>
    </row>
    <row r="23" ht="19.5" customHeight="1" s="78">
      <c r="A23" s="85" t="n"/>
      <c r="B23" s="125" t="inlineStr">
        <is>
          <t>⑤ Riesgos y Oportunidades  (7 min)</t>
        </is>
      </c>
      <c r="C23" s="85" t="n"/>
    </row>
    <row r="24" ht="39.75" customHeight="1" s="78">
      <c r="A24" s="85" t="n"/>
      <c r="B24" s="94" t="inlineStr">
        <is>
          <t>Top 3 riesgos actuales, potencial de automatización (Alto/Medio/Bajo), potencial de IA (Alto/Medio/Bajo), apetito del cliente por el cambio, señal de churn (semáforo).</t>
        </is>
      </c>
      <c r="C24" s="85" t="n"/>
    </row>
    <row r="25" ht="7.5" customHeight="1" s="78">
      <c r="A25" s="85" t="n"/>
      <c r="B25" s="85" t="n"/>
      <c r="C25" s="85" t="n"/>
    </row>
    <row r="26" ht="24" customHeight="1" s="78">
      <c r="A26" s="85" t="n"/>
      <c r="B26" s="123" t="inlineStr">
        <is>
          <t>Instrucciones de uso</t>
        </is>
      </c>
      <c r="C26" s="85" t="n"/>
    </row>
    <row r="27" ht="30" customHeight="1" s="78">
      <c r="A27" s="85" t="n"/>
      <c r="B27" s="89" t="inlineStr">
        <is>
          <t>1.  Abre la hoja de la mesa que vas a caracterizar (ej: 'SURA Cotizadores').</t>
        </is>
      </c>
      <c r="C27" s="85" t="n"/>
    </row>
    <row r="28" ht="30" customHeight="1" s="78">
      <c r="A28" s="85" t="n"/>
      <c r="B28" s="90" t="inlineStr">
        <is>
          <t>2.  Completa los campos en orden — los que tienen dropdown no permiten texto libre para garantizar que el Dashboard funcione.</t>
        </is>
      </c>
      <c r="C28" s="85" t="n"/>
    </row>
    <row r="29" ht="30" customHeight="1" s="78">
      <c r="A29" s="85" t="n"/>
      <c r="B29" s="89" t="inlineStr">
        <is>
          <t>3.  Los campos sombreados en AMARILLO son estimaciones permitidas si no tienes el dato exacto. Los blancos requieren dato real.</t>
        </is>
      </c>
      <c r="C29" s="85" t="n"/>
    </row>
    <row r="30" ht="30" customHeight="1" s="78">
      <c r="A30" s="85" t="n"/>
      <c r="B30" s="90" t="inlineStr">
        <is>
          <t>4.  La columna 'Fuente' indica de dónde viene el dato: Cliente / Herramienta / Estimado.</t>
        </is>
      </c>
      <c r="C30" s="85" t="n"/>
    </row>
    <row r="31" ht="30" customHeight="1" s="78">
      <c r="A31" s="85" t="n"/>
      <c r="B31" s="89" t="inlineStr">
        <is>
          <t>5.  Al terminar las 8 mesas, abre el Dashboard → verás el perfil comparativo de las mesas.</t>
        </is>
      </c>
      <c r="C31" s="85" t="n"/>
    </row>
    <row r="32" ht="30" customHeight="1" s="78">
      <c r="A32" s="85" t="n"/>
      <c r="B32" s="90" t="inlineStr">
        <is>
          <t>6.  Cruza este archivo con la Plantilla_Madurez y el Levantamiento para el diseño del servicio Gen Next.</t>
        </is>
      </c>
      <c r="C32" s="85" t="n"/>
    </row>
    <row r="33" ht="7.5" customHeight="1" s="78">
      <c r="A33" s="85" t="n"/>
      <c r="B33" s="85" t="n"/>
      <c r="C33" s="85" t="n"/>
    </row>
    <row r="34" ht="18" customHeight="1" s="78">
      <c r="A34" s="85" t="n"/>
      <c r="B34" s="126" t="inlineStr">
        <is>
          <t>PersonalSoft · CTO / SICTO · Mesa de Servicios de Nueva Generación · Julio 2026</t>
        </is>
      </c>
      <c r="C34" s="85" t="n"/>
    </row>
  </sheetData>
  <mergeCells count="24">
    <mergeCell ref="B16:C16"/>
    <mergeCell ref="B3:C3"/>
    <mergeCell ref="B22:C22"/>
    <mergeCell ref="B31:C31"/>
    <mergeCell ref="B27:C27"/>
    <mergeCell ref="B18:C18"/>
    <mergeCell ref="B21:C21"/>
    <mergeCell ref="B2:C2"/>
    <mergeCell ref="B23:C23"/>
    <mergeCell ref="B14:C14"/>
    <mergeCell ref="B17:C17"/>
    <mergeCell ref="B8:C8"/>
    <mergeCell ref="B29:C29"/>
    <mergeCell ref="B19:C19"/>
    <mergeCell ref="B34:C34"/>
    <mergeCell ref="B28:C28"/>
    <mergeCell ref="B6:C6"/>
    <mergeCell ref="B24:C24"/>
    <mergeCell ref="B30:C30"/>
    <mergeCell ref="B15:C15"/>
    <mergeCell ref="B5:C5"/>
    <mergeCell ref="B20:C20"/>
    <mergeCell ref="B32:C32"/>
    <mergeCell ref="B26:C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000072BC"/>
    <outlinePr summaryBelow="1" summaryRight="1"/>
    <pageSetUpPr fitToPage="0"/>
  </sheetPr>
  <dimension ref="A1:J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28" customWidth="1" style="77" min="2" max="2"/>
    <col width="14" customWidth="1" style="77" min="3" max="10"/>
  </cols>
  <sheetData>
    <row r="1" ht="4.5" customHeight="1" s="78">
      <c r="A1" s="85" t="n"/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</row>
    <row r="2" ht="31.5" customHeight="1" s="78">
      <c r="A2" s="85" t="n"/>
      <c r="B2" s="81" t="inlineStr">
        <is>
          <t>Dashboard · Caracterización de Mesas de Servicio · Julio 2026</t>
        </is>
      </c>
      <c r="C2" s="85" t="n"/>
      <c r="D2" s="85" t="n"/>
      <c r="E2" s="85" t="n"/>
      <c r="F2" s="85" t="n"/>
      <c r="G2" s="85" t="n"/>
      <c r="H2" s="85" t="n"/>
      <c r="I2" s="85" t="n"/>
      <c r="J2" s="85" t="n"/>
    </row>
    <row r="3" ht="18" customHeight="1" s="78">
      <c r="A3" s="85" t="n"/>
      <c r="B3" s="82" t="inlineStr">
        <is>
          <t>Completar aquí después de cada sesión de caracterización · Las secciones D y E tienen gráficas automáticas</t>
        </is>
      </c>
      <c r="C3" s="85" t="n"/>
      <c r="D3" s="85" t="n"/>
      <c r="E3" s="85" t="n"/>
      <c r="F3" s="85" t="n"/>
      <c r="G3" s="85" t="n"/>
      <c r="H3" s="85" t="n"/>
      <c r="I3" s="85" t="n"/>
      <c r="J3" s="85" t="n"/>
    </row>
    <row r="4" ht="7.5" customHeight="1" s="78">
      <c r="A4" s="85" t="n"/>
      <c r="B4" s="85" t="n"/>
      <c r="C4" s="85" t="n"/>
      <c r="D4" s="85" t="n"/>
      <c r="E4" s="85" t="n"/>
      <c r="F4" s="85" t="n"/>
      <c r="G4" s="85" t="n"/>
      <c r="H4" s="85" t="n"/>
      <c r="I4" s="85" t="n"/>
      <c r="J4" s="85" t="n"/>
    </row>
    <row r="5" ht="21.75" customHeight="1" s="78">
      <c r="A5" s="85" t="n"/>
      <c r="B5" s="127" t="inlineStr">
        <is>
          <t>A · IDENTIDAD Y VOLUMEN</t>
        </is>
      </c>
      <c r="C5" s="85" t="n"/>
      <c r="D5" s="85" t="n"/>
      <c r="E5" s="85" t="n"/>
      <c r="F5" s="85" t="n"/>
      <c r="G5" s="85" t="n"/>
      <c r="H5" s="85" t="n"/>
      <c r="I5" s="85" t="n"/>
      <c r="J5" s="85" t="n"/>
    </row>
    <row r="6" ht="21.75" customHeight="1" s="78">
      <c r="A6" s="85" t="n"/>
      <c r="B6" s="91" t="inlineStr">
        <is>
          <t>Campo</t>
        </is>
      </c>
      <c r="C6" s="91" t="inlineStr">
        <is>
          <t>SURA Cotiz.</t>
        </is>
      </c>
      <c r="D6" s="91" t="inlineStr">
        <is>
          <t>SURA Venta D.</t>
        </is>
      </c>
      <c r="E6" s="91" t="inlineStr">
        <is>
          <t>SURA Torre C.</t>
        </is>
      </c>
      <c r="F6" s="91" t="inlineStr">
        <is>
          <t>SURA Mesa 4</t>
        </is>
      </c>
      <c r="G6" s="91" t="inlineStr">
        <is>
          <t>BCO Gioti 1</t>
        </is>
      </c>
      <c r="H6" s="91" t="inlineStr">
        <is>
          <t>BCO Gioti 2</t>
        </is>
      </c>
      <c r="I6" s="91" t="inlineStr">
        <is>
          <t>BCO Gioti 3</t>
        </is>
      </c>
      <c r="J6" s="91" t="inlineStr">
        <is>
          <t>BCO Gioti 4</t>
        </is>
      </c>
    </row>
    <row r="7" ht="19.5" customHeight="1" s="78">
      <c r="A7" s="85" t="n"/>
      <c r="B7" s="87" t="inlineStr">
        <is>
          <t>Tipo de mesa</t>
        </is>
      </c>
      <c r="C7" s="128" t="n"/>
      <c r="D7" s="128" t="n"/>
      <c r="E7" s="128" t="n"/>
      <c r="F7" s="128" t="n"/>
      <c r="G7" s="128" t="n"/>
      <c r="H7" s="128" t="n"/>
      <c r="I7" s="128" t="n"/>
      <c r="J7" s="128" t="n"/>
    </row>
    <row r="8" ht="19.5" customHeight="1" s="78">
      <c r="A8" s="85" t="n"/>
      <c r="B8" s="86" t="inlineStr">
        <is>
          <t>Sabor PS (Dedicado/Compartido/Express)</t>
        </is>
      </c>
      <c r="C8" s="128" t="n"/>
      <c r="D8" s="128" t="n"/>
      <c r="E8" s="128" t="n"/>
      <c r="F8" s="128" t="n"/>
      <c r="G8" s="128" t="n"/>
      <c r="H8" s="128" t="n"/>
      <c r="I8" s="128" t="n"/>
      <c r="J8" s="128" t="n"/>
    </row>
    <row r="9" ht="19.5" customHeight="1" s="78">
      <c r="A9" s="85" t="n"/>
      <c r="B9" s="87" t="inlineStr">
        <is>
          <t>Horario contractual</t>
        </is>
      </c>
      <c r="C9" s="128" t="n"/>
      <c r="D9" s="128" t="n"/>
      <c r="E9" s="128" t="n"/>
      <c r="F9" s="128" t="n"/>
      <c r="G9" s="128" t="n"/>
      <c r="H9" s="128" t="n"/>
      <c r="I9" s="128" t="n"/>
      <c r="J9" s="128" t="n"/>
    </row>
    <row r="10" ht="19.5" customHeight="1" s="78">
      <c r="A10" s="85" t="n"/>
      <c r="B10" s="86" t="inlineStr">
        <is>
          <t>Criticidad para el negocio</t>
        </is>
      </c>
      <c r="C10" s="128" t="n"/>
      <c r="D10" s="128" t="n"/>
      <c r="E10" s="128" t="n"/>
      <c r="F10" s="128" t="n"/>
      <c r="G10" s="128" t="n"/>
      <c r="H10" s="128" t="n"/>
      <c r="I10" s="128" t="n"/>
      <c r="J10" s="128" t="n"/>
    </row>
    <row r="11" ht="19.5" customHeight="1" s="78">
      <c r="A11" s="85" t="n"/>
      <c r="B11" s="87" t="inlineStr">
        <is>
          <t>Total tickets / mes</t>
        </is>
      </c>
      <c r="C11" s="128" t="n"/>
      <c r="D11" s="128" t="n"/>
      <c r="E11" s="128" t="n"/>
      <c r="F11" s="128" t="n"/>
      <c r="G11" s="128" t="n"/>
      <c r="H11" s="128" t="n"/>
      <c r="I11" s="128" t="n"/>
      <c r="J11" s="128" t="n"/>
    </row>
    <row r="12" ht="19.5" customHeight="1" s="78">
      <c r="A12" s="85" t="n"/>
      <c r="B12" s="86" t="inlineStr">
        <is>
          <t>% Incidentes</t>
        </is>
      </c>
      <c r="C12" s="128" t="n"/>
      <c r="D12" s="128" t="n"/>
      <c r="E12" s="128" t="n"/>
      <c r="F12" s="128" t="n"/>
      <c r="G12" s="128" t="n"/>
      <c r="H12" s="128" t="n"/>
      <c r="I12" s="128" t="n"/>
      <c r="J12" s="128" t="n"/>
    </row>
    <row r="13" ht="19.5" customHeight="1" s="78">
      <c r="A13" s="85" t="n"/>
      <c r="B13" s="87" t="inlineStr">
        <is>
          <t>% Solicitudes</t>
        </is>
      </c>
      <c r="C13" s="128" t="n"/>
      <c r="D13" s="128" t="n"/>
      <c r="E13" s="128" t="n"/>
      <c r="F13" s="128" t="n"/>
      <c r="G13" s="128" t="n"/>
      <c r="H13" s="128" t="n"/>
      <c r="I13" s="128" t="n"/>
      <c r="J13" s="128" t="n"/>
    </row>
    <row r="14" ht="19.5" customHeight="1" s="78">
      <c r="A14" s="85" t="n"/>
      <c r="B14" s="86" t="inlineStr">
        <is>
          <t>% Críticos / P1</t>
        </is>
      </c>
      <c r="C14" s="128" t="n"/>
      <c r="D14" s="128" t="n"/>
      <c r="E14" s="128" t="n"/>
      <c r="F14" s="128" t="n"/>
      <c r="G14" s="128" t="n"/>
      <c r="H14" s="128" t="n"/>
      <c r="I14" s="128" t="n"/>
      <c r="J14" s="128" t="n"/>
    </row>
    <row r="15" ht="19.5" customHeight="1" s="78">
      <c r="A15" s="85" t="n"/>
      <c r="B15" s="87" t="inlineStr">
        <is>
          <t>Modelo de cobro</t>
        </is>
      </c>
      <c r="C15" s="128" t="n"/>
      <c r="D15" s="128" t="n"/>
      <c r="E15" s="128" t="n"/>
      <c r="F15" s="128" t="n"/>
      <c r="G15" s="128" t="n"/>
      <c r="H15" s="128" t="n"/>
      <c r="I15" s="128" t="n"/>
      <c r="J15" s="128" t="n"/>
    </row>
    <row r="16" ht="19.5" customHeight="1" s="78">
      <c r="A16" s="85" t="n"/>
      <c r="B16" s="86" t="inlineStr">
        <is>
          <t>Margen estimado (%)</t>
        </is>
      </c>
      <c r="C16" s="128" t="n"/>
      <c r="D16" s="128" t="n"/>
      <c r="E16" s="128" t="n"/>
      <c r="F16" s="128" t="n"/>
      <c r="G16" s="128" t="n"/>
      <c r="H16" s="128" t="n"/>
      <c r="I16" s="128" t="n"/>
      <c r="J16" s="128" t="n"/>
    </row>
    <row r="17" ht="19.5" customHeight="1" s="78">
      <c r="A17" s="85" t="n"/>
      <c r="B17" s="87" t="inlineStr">
        <is>
          <t>¿Penalidades ANS activas?</t>
        </is>
      </c>
      <c r="C17" s="128" t="n"/>
      <c r="D17" s="128" t="n"/>
      <c r="E17" s="128" t="n"/>
      <c r="F17" s="128" t="n"/>
      <c r="G17" s="128" t="n"/>
      <c r="H17" s="128" t="n"/>
      <c r="I17" s="128" t="n"/>
      <c r="J17" s="128" t="n"/>
    </row>
    <row r="18" ht="19.5" customHeight="1" s="78">
      <c r="A18" s="85" t="n"/>
      <c r="B18" s="86" t="inlineStr">
        <is>
          <t>Fecha renovación contrato</t>
        </is>
      </c>
      <c r="C18" s="128" t="n"/>
      <c r="D18" s="128" t="n"/>
      <c r="E18" s="128" t="n"/>
      <c r="F18" s="128" t="n"/>
      <c r="G18" s="128" t="n"/>
      <c r="H18" s="128" t="n"/>
      <c r="I18" s="128" t="n"/>
      <c r="J18" s="128" t="n"/>
    </row>
    <row r="19" ht="7.5" customHeight="1" s="78">
      <c r="A19" s="85" t="n"/>
      <c r="B19" s="85" t="n"/>
      <c r="C19" s="85" t="n"/>
      <c r="D19" s="85" t="n"/>
      <c r="E19" s="85" t="n"/>
      <c r="F19" s="85" t="n"/>
      <c r="G19" s="85" t="n"/>
      <c r="H19" s="85" t="n"/>
      <c r="I19" s="85" t="n"/>
      <c r="J19" s="85" t="n"/>
    </row>
    <row r="20" ht="21.75" customHeight="1" s="78">
      <c r="A20" s="85" t="n"/>
      <c r="B20" s="127" t="inlineStr">
        <is>
          <t>B · PERSONAS Y STACK TECNOLÓGICO</t>
        </is>
      </c>
      <c r="C20" s="85" t="n"/>
      <c r="D20" s="85" t="n"/>
      <c r="E20" s="85" t="n"/>
      <c r="F20" s="85" t="n"/>
      <c r="G20" s="85" t="n"/>
      <c r="H20" s="85" t="n"/>
      <c r="I20" s="85" t="n"/>
      <c r="J20" s="85" t="n"/>
    </row>
    <row r="21" ht="21.75" customHeight="1" s="78">
      <c r="A21" s="85" t="n"/>
      <c r="B21" s="91" t="inlineStr">
        <is>
          <t>Campo</t>
        </is>
      </c>
      <c r="C21" s="91" t="inlineStr">
        <is>
          <t>SURA Cotiz.</t>
        </is>
      </c>
      <c r="D21" s="91" t="inlineStr">
        <is>
          <t>SURA Venta D.</t>
        </is>
      </c>
      <c r="E21" s="91" t="inlineStr">
        <is>
          <t>SURA Torre C.</t>
        </is>
      </c>
      <c r="F21" s="91" t="inlineStr">
        <is>
          <t>SURA Mesa 4</t>
        </is>
      </c>
      <c r="G21" s="91" t="inlineStr">
        <is>
          <t>BCO Gioti 1</t>
        </is>
      </c>
      <c r="H21" s="91" t="inlineStr">
        <is>
          <t>BCO Gioti 2</t>
        </is>
      </c>
      <c r="I21" s="91" t="inlineStr">
        <is>
          <t>BCO Gioti 3</t>
        </is>
      </c>
      <c r="J21" s="91" t="inlineStr">
        <is>
          <t>BCO Gioti 4</t>
        </is>
      </c>
    </row>
    <row r="22" ht="19.5" customHeight="1" s="78">
      <c r="A22" s="85" t="n"/>
      <c r="B22" s="129" t="inlineStr">
        <is>
          <t># FTEs actuales (total)</t>
        </is>
      </c>
      <c r="C22" s="128" t="n"/>
      <c r="D22" s="128" t="n"/>
      <c r="E22" s="128" t="n"/>
      <c r="F22" s="128" t="n"/>
      <c r="G22" s="128" t="n"/>
      <c r="H22" s="128" t="n"/>
      <c r="I22" s="128" t="n"/>
      <c r="J22" s="128" t="n"/>
    </row>
    <row r="23" ht="19.5" customHeight="1" s="78">
      <c r="A23" s="85" t="n"/>
      <c r="B23" s="86" t="inlineStr">
        <is>
          <t># FTEs N1</t>
        </is>
      </c>
      <c r="C23" s="128" t="n"/>
      <c r="D23" s="128" t="n"/>
      <c r="E23" s="128" t="n"/>
      <c r="F23" s="128" t="n"/>
      <c r="G23" s="128" t="n"/>
      <c r="H23" s="128" t="n"/>
      <c r="I23" s="128" t="n"/>
      <c r="J23" s="128" t="n"/>
    </row>
    <row r="24" ht="19.5" customHeight="1" s="78">
      <c r="A24" s="85" t="n"/>
      <c r="B24" s="129" t="inlineStr">
        <is>
          <t># FTEs N2</t>
        </is>
      </c>
      <c r="C24" s="128" t="n"/>
      <c r="D24" s="128" t="n"/>
      <c r="E24" s="128" t="n"/>
      <c r="F24" s="128" t="n"/>
      <c r="G24" s="128" t="n"/>
      <c r="H24" s="128" t="n"/>
      <c r="I24" s="128" t="n"/>
      <c r="J24" s="128" t="n"/>
    </row>
    <row r="25" ht="19.5" customHeight="1" s="78">
      <c r="A25" s="85" t="n"/>
      <c r="B25" s="86" t="inlineStr">
        <is>
          <t># FTEs N3+</t>
        </is>
      </c>
      <c r="C25" s="128" t="n"/>
      <c r="D25" s="128" t="n"/>
      <c r="E25" s="128" t="n"/>
      <c r="F25" s="128" t="n"/>
      <c r="G25" s="128" t="n"/>
      <c r="H25" s="128" t="n"/>
      <c r="I25" s="128" t="n"/>
      <c r="J25" s="128" t="n"/>
    </row>
    <row r="26" ht="19.5" customHeight="1" s="78">
      <c r="A26" s="85" t="n"/>
      <c r="B26" s="129" t="inlineStr">
        <is>
          <t>Rotación anual (%)</t>
        </is>
      </c>
      <c r="C26" s="128" t="n"/>
      <c r="D26" s="128" t="n"/>
      <c r="E26" s="128" t="n"/>
      <c r="F26" s="128" t="n"/>
      <c r="G26" s="128" t="n"/>
      <c r="H26" s="128" t="n"/>
      <c r="I26" s="128" t="n"/>
      <c r="J26" s="128" t="n"/>
    </row>
    <row r="27" ht="19.5" customHeight="1" s="78">
      <c r="A27" s="85" t="n"/>
      <c r="B27" s="86" t="inlineStr">
        <is>
          <t>Antigüedad promedio (meses)</t>
        </is>
      </c>
      <c r="C27" s="128" t="n"/>
      <c r="D27" s="128" t="n"/>
      <c r="E27" s="128" t="n"/>
      <c r="F27" s="128" t="n"/>
      <c r="G27" s="128" t="n"/>
      <c r="H27" s="128" t="n"/>
      <c r="I27" s="128" t="n"/>
      <c r="J27" s="128" t="n"/>
    </row>
    <row r="28" ht="19.5" customHeight="1" s="78">
      <c r="A28" s="85" t="n"/>
      <c r="B28" s="129" t="inlineStr">
        <is>
          <t>Bus factor (nombre)</t>
        </is>
      </c>
      <c r="C28" s="128" t="n"/>
      <c r="D28" s="128" t="n"/>
      <c r="E28" s="128" t="n"/>
      <c r="F28" s="128" t="n"/>
      <c r="G28" s="128" t="n"/>
      <c r="H28" s="128" t="n"/>
      <c r="I28" s="128" t="n"/>
      <c r="J28" s="128" t="n"/>
    </row>
    <row r="29" ht="19.5" customHeight="1" s="78">
      <c r="A29" s="85" t="n"/>
      <c r="B29" s="86" t="inlineStr">
        <is>
          <t>¿Ruta de crecimiento definida?</t>
        </is>
      </c>
      <c r="C29" s="128" t="n"/>
      <c r="D29" s="128" t="n"/>
      <c r="E29" s="128" t="n"/>
      <c r="F29" s="128" t="n"/>
      <c r="G29" s="128" t="n"/>
      <c r="H29" s="128" t="n"/>
      <c r="I29" s="128" t="n"/>
      <c r="J29" s="128" t="n"/>
    </row>
    <row r="30" ht="19.5" customHeight="1" s="78">
      <c r="A30" s="85" t="n"/>
      <c r="B30" s="129" t="inlineStr">
        <is>
          <t>Herramienta de tickets</t>
        </is>
      </c>
      <c r="C30" s="128" t="n"/>
      <c r="D30" s="128" t="n"/>
      <c r="E30" s="128" t="n"/>
      <c r="F30" s="128" t="n"/>
      <c r="G30" s="128" t="n"/>
      <c r="H30" s="128" t="n"/>
      <c r="I30" s="128" t="n"/>
      <c r="J30" s="128" t="n"/>
    </row>
    <row r="31" ht="19.5" customHeight="1" s="78">
      <c r="A31" s="85" t="n"/>
      <c r="B31" s="86" t="inlineStr">
        <is>
          <t>¿Herramienta del cliente o de PS?</t>
        </is>
      </c>
      <c r="C31" s="128" t="n"/>
      <c r="D31" s="128" t="n"/>
      <c r="E31" s="128" t="n"/>
      <c r="F31" s="128" t="n"/>
      <c r="G31" s="128" t="n"/>
      <c r="H31" s="128" t="n"/>
      <c r="I31" s="128" t="n"/>
      <c r="J31" s="128" t="n"/>
    </row>
    <row r="32" ht="19.5" customHeight="1" s="78">
      <c r="A32" s="85" t="n"/>
      <c r="B32" s="129" t="inlineStr">
        <is>
          <t># Apps en scope</t>
        </is>
      </c>
      <c r="C32" s="128" t="n"/>
      <c r="D32" s="128" t="n"/>
      <c r="E32" s="128" t="n"/>
      <c r="F32" s="128" t="n"/>
      <c r="G32" s="128" t="n"/>
      <c r="H32" s="128" t="n"/>
      <c r="I32" s="128" t="n"/>
      <c r="J32" s="128" t="n"/>
    </row>
    <row r="33" ht="19.5" customHeight="1" s="78">
      <c r="A33" s="85" t="n"/>
      <c r="B33" s="86" t="inlineStr">
        <is>
          <t>¿KEDB existe?</t>
        </is>
      </c>
      <c r="C33" s="128" t="n"/>
      <c r="D33" s="128" t="n"/>
      <c r="E33" s="128" t="n"/>
      <c r="F33" s="128" t="n"/>
      <c r="G33" s="128" t="n"/>
      <c r="H33" s="128" t="n"/>
      <c r="I33" s="128" t="n"/>
      <c r="J33" s="128" t="n"/>
    </row>
    <row r="34" ht="19.5" customHeight="1" s="78">
      <c r="A34" s="85" t="n"/>
      <c r="B34" s="129" t="inlineStr">
        <is>
          <t>¿Monitoreo activo?</t>
        </is>
      </c>
      <c r="C34" s="128" t="n"/>
      <c r="D34" s="128" t="n"/>
      <c r="E34" s="128" t="n"/>
      <c r="F34" s="128" t="n"/>
      <c r="G34" s="128" t="n"/>
      <c r="H34" s="128" t="n"/>
      <c r="I34" s="128" t="n"/>
      <c r="J34" s="128" t="n"/>
    </row>
    <row r="35" ht="19.5" customHeight="1" s="78">
      <c r="A35" s="85" t="n"/>
      <c r="B35" s="86" t="inlineStr">
        <is>
          <t>¿Automatización en producción?</t>
        </is>
      </c>
      <c r="C35" s="128" t="n"/>
      <c r="D35" s="128" t="n"/>
      <c r="E35" s="128" t="n"/>
      <c r="F35" s="128" t="n"/>
      <c r="G35" s="128" t="n"/>
      <c r="H35" s="128" t="n"/>
      <c r="I35" s="128" t="n"/>
      <c r="J35" s="128" t="n"/>
    </row>
    <row r="36" ht="19.5" customHeight="1" s="78">
      <c r="A36" s="85" t="n"/>
      <c r="B36" s="129" t="inlineStr">
        <is>
          <t>¿N0 activo (autoservicio)?</t>
        </is>
      </c>
      <c r="C36" s="128" t="n"/>
      <c r="D36" s="128" t="n"/>
      <c r="E36" s="128" t="n"/>
      <c r="F36" s="128" t="n"/>
      <c r="G36" s="128" t="n"/>
      <c r="H36" s="128" t="n"/>
      <c r="I36" s="128" t="n"/>
      <c r="J36" s="128" t="n"/>
    </row>
    <row r="37" ht="19.5" customHeight="1" s="78">
      <c r="A37" s="85" t="n"/>
      <c r="B37" s="86" t="inlineStr">
        <is>
          <t>Regulación sectorial</t>
        </is>
      </c>
      <c r="C37" s="128" t="n"/>
      <c r="D37" s="128" t="n"/>
      <c r="E37" s="128" t="n"/>
      <c r="F37" s="128" t="n"/>
      <c r="G37" s="128" t="n"/>
      <c r="H37" s="128" t="n"/>
      <c r="I37" s="128" t="n"/>
      <c r="J37" s="128" t="n"/>
    </row>
    <row r="38" ht="7.5" customHeight="1" s="78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</row>
    <row r="39" ht="21.75" customHeight="1" s="78">
      <c r="A39" s="85" t="n"/>
      <c r="B39" s="127" t="inlineStr">
        <is>
          <t>C · RIESGOS Y OPORTUNIDADES (resumen comparativo)</t>
        </is>
      </c>
      <c r="C39" s="85" t="n"/>
      <c r="D39" s="85" t="n"/>
      <c r="E39" s="85" t="n"/>
      <c r="F39" s="85" t="n"/>
      <c r="G39" s="85" t="n"/>
      <c r="H39" s="85" t="n"/>
      <c r="I39" s="85" t="n"/>
      <c r="J39" s="85" t="n"/>
    </row>
    <row r="40" ht="21.75" customHeight="1" s="78">
      <c r="A40" s="85" t="n"/>
      <c r="B40" s="91" t="inlineStr">
        <is>
          <t>Campo</t>
        </is>
      </c>
      <c r="C40" s="91" t="inlineStr">
        <is>
          <t>SURA Cotiz.</t>
        </is>
      </c>
      <c r="D40" s="91" t="inlineStr">
        <is>
          <t>SURA Venta D.</t>
        </is>
      </c>
      <c r="E40" s="91" t="inlineStr">
        <is>
          <t>SURA Torre C.</t>
        </is>
      </c>
      <c r="F40" s="91" t="inlineStr">
        <is>
          <t>SURA Mesa 4</t>
        </is>
      </c>
      <c r="G40" s="91" t="inlineStr">
        <is>
          <t>BCO Gioti 1</t>
        </is>
      </c>
      <c r="H40" s="91" t="inlineStr">
        <is>
          <t>BCO Gioti 2</t>
        </is>
      </c>
      <c r="I40" s="91" t="inlineStr">
        <is>
          <t>BCO Gioti 3</t>
        </is>
      </c>
      <c r="J40" s="91" t="inlineStr">
        <is>
          <t>BCO Gioti 4</t>
        </is>
      </c>
    </row>
    <row r="41" ht="25.5" customHeight="1" s="78">
      <c r="A41" s="85" t="n"/>
      <c r="B41" s="87" t="inlineStr">
        <is>
          <t>Riesgo #1</t>
        </is>
      </c>
      <c r="C41" s="128" t="n"/>
      <c r="D41" s="128" t="n"/>
      <c r="E41" s="128" t="n"/>
      <c r="F41" s="128" t="n"/>
      <c r="G41" s="128" t="n"/>
      <c r="H41" s="128" t="n"/>
      <c r="I41" s="128" t="n"/>
      <c r="J41" s="128" t="n"/>
    </row>
    <row r="42" ht="25.5" customHeight="1" s="78">
      <c r="A42" s="85" t="n"/>
      <c r="B42" s="86" t="inlineStr">
        <is>
          <t>Riesgo #2</t>
        </is>
      </c>
      <c r="C42" s="128" t="n"/>
      <c r="D42" s="128" t="n"/>
      <c r="E42" s="128" t="n"/>
      <c r="F42" s="128" t="n"/>
      <c r="G42" s="128" t="n"/>
      <c r="H42" s="128" t="n"/>
      <c r="I42" s="128" t="n"/>
      <c r="J42" s="128" t="n"/>
    </row>
    <row r="43" ht="25.5" customHeight="1" s="78">
      <c r="A43" s="85" t="n"/>
      <c r="B43" s="87" t="inlineStr">
        <is>
          <t>Riesgo #3</t>
        </is>
      </c>
      <c r="C43" s="128" t="n"/>
      <c r="D43" s="128" t="n"/>
      <c r="E43" s="128" t="n"/>
      <c r="F43" s="128" t="n"/>
      <c r="G43" s="128" t="n"/>
      <c r="H43" s="128" t="n"/>
      <c r="I43" s="128" t="n"/>
      <c r="J43" s="128" t="n"/>
    </row>
    <row r="44" ht="25.5" customHeight="1" s="78">
      <c r="A44" s="85" t="n"/>
      <c r="B44" s="86" t="inlineStr">
        <is>
          <t>Potencial automatización</t>
        </is>
      </c>
      <c r="C44" s="128" t="n"/>
      <c r="D44" s="128" t="n"/>
      <c r="E44" s="128" t="n"/>
      <c r="F44" s="128" t="n"/>
      <c r="G44" s="128" t="n"/>
      <c r="H44" s="128" t="n"/>
      <c r="I44" s="128" t="n"/>
      <c r="J44" s="128" t="n"/>
    </row>
    <row r="45" ht="25.5" customHeight="1" s="78">
      <c r="A45" s="85" t="n"/>
      <c r="B45" s="87" t="inlineStr">
        <is>
          <t>Potencial IA</t>
        </is>
      </c>
      <c r="C45" s="128" t="n"/>
      <c r="D45" s="128" t="n"/>
      <c r="E45" s="128" t="n"/>
      <c r="F45" s="128" t="n"/>
      <c r="G45" s="128" t="n"/>
      <c r="H45" s="128" t="n"/>
      <c r="I45" s="128" t="n"/>
      <c r="J45" s="128" t="n"/>
    </row>
    <row r="46" ht="25.5" customHeight="1" s="78">
      <c r="A46" s="85" t="n"/>
      <c r="B46" s="86" t="inlineStr">
        <is>
          <t>Apetito cambio cliente</t>
        </is>
      </c>
      <c r="C46" s="128" t="n"/>
      <c r="D46" s="128" t="n"/>
      <c r="E46" s="128" t="n"/>
      <c r="F46" s="128" t="n"/>
      <c r="G46" s="128" t="n"/>
      <c r="H46" s="128" t="n"/>
      <c r="I46" s="128" t="n"/>
      <c r="J46" s="128" t="n"/>
    </row>
    <row r="47" ht="25.5" customHeight="1" s="78">
      <c r="A47" s="85" t="n"/>
      <c r="B47" s="87" t="inlineStr">
        <is>
          <t>Señal de churn</t>
        </is>
      </c>
      <c r="C47" s="128" t="n"/>
      <c r="D47" s="128" t="n"/>
      <c r="E47" s="128" t="n"/>
      <c r="F47" s="128" t="n"/>
      <c r="G47" s="128" t="n"/>
      <c r="H47" s="128" t="n"/>
      <c r="I47" s="128" t="n"/>
      <c r="J47" s="128" t="n"/>
    </row>
    <row r="48" ht="25.5" customHeight="1" s="78">
      <c r="A48" s="85" t="n"/>
      <c r="B48" s="86" t="inlineStr">
        <is>
          <t>¿Oportunidad de upselling?</t>
        </is>
      </c>
      <c r="C48" s="128" t="n"/>
      <c r="D48" s="128" t="n"/>
      <c r="E48" s="128" t="n"/>
      <c r="F48" s="128" t="n"/>
      <c r="G48" s="128" t="n"/>
      <c r="H48" s="128" t="n"/>
      <c r="I48" s="128" t="n"/>
      <c r="J48" s="128" t="n"/>
    </row>
    <row r="49" ht="25.5" customHeight="1" s="78">
      <c r="A49" s="85" t="n"/>
      <c r="B49" s="87" t="inlineStr">
        <is>
          <t>¿Mesa replicable como template?</t>
        </is>
      </c>
      <c r="C49" s="128" t="n"/>
      <c r="D49" s="128" t="n"/>
      <c r="E49" s="128" t="n"/>
      <c r="F49" s="128" t="n"/>
      <c r="G49" s="128" t="n"/>
      <c r="H49" s="128" t="n"/>
      <c r="I49" s="128" t="n"/>
      <c r="J49" s="128" t="n"/>
    </row>
    <row r="50" ht="7.5" customHeight="1" s="78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</row>
    <row r="51" ht="18" customHeight="1" s="78">
      <c r="A51" s="85" t="n"/>
      <c r="B51" s="97" t="inlineStr">
        <is>
          <t>PersonalSoft · CTO / SICTO · Mesa de Servicios de Nueva Generación · Julio 2026</t>
        </is>
      </c>
      <c r="C51" s="85" t="n"/>
      <c r="D51" s="85" t="n"/>
      <c r="E51" s="85" t="n"/>
      <c r="F51" s="85" t="n"/>
      <c r="G51" s="85" t="n"/>
      <c r="H51" s="85" t="n"/>
      <c r="I51" s="85" t="n"/>
      <c r="J51" s="85" t="n"/>
    </row>
    <row r="52">
      <c r="A52" s="85" t="n"/>
      <c r="B52" s="85" t="n"/>
      <c r="C52" s="85" t="n"/>
      <c r="D52" s="85" t="n"/>
      <c r="E52" s="85" t="n"/>
      <c r="F52" s="85" t="n"/>
      <c r="G52" s="85" t="n"/>
      <c r="H52" s="85" t="n"/>
      <c r="I52" s="85" t="n"/>
      <c r="J52" s="85" t="n"/>
    </row>
    <row r="53">
      <c r="A53" s="85" t="n"/>
      <c r="B53" s="85" t="n"/>
      <c r="C53" s="85" t="n"/>
      <c r="D53" s="85" t="n"/>
      <c r="E53" s="85" t="n"/>
      <c r="F53" s="85" t="n"/>
      <c r="G53" s="85" t="n"/>
      <c r="H53" s="85" t="n"/>
      <c r="I53" s="85" t="n"/>
      <c r="J53" s="85" t="n"/>
    </row>
    <row r="54" ht="21.75" customHeight="1" s="78">
      <c r="A54" s="85" t="n"/>
      <c r="B54" s="130" t="inlineStr">
        <is>
          <t>D · VISUALIZACIONES COMPARATIVAS</t>
        </is>
      </c>
      <c r="C54" s="85" t="n"/>
      <c r="D54" s="85" t="n"/>
      <c r="E54" s="85" t="n"/>
      <c r="F54" s="85" t="n"/>
      <c r="G54" s="85" t="n"/>
      <c r="H54" s="85" t="n"/>
      <c r="I54" s="85" t="n"/>
      <c r="J54" s="85" t="n"/>
    </row>
    <row r="55" ht="15" customHeight="1" s="78">
      <c r="A55" s="85" t="n"/>
      <c r="B55" s="131" t="inlineStr">
        <is>
          <t>Las gráficas leen los datos capturados en las secciones A y B del Dashboard</t>
        </is>
      </c>
      <c r="C55" s="85" t="n"/>
      <c r="D55" s="85" t="n"/>
      <c r="E55" s="85" t="n"/>
      <c r="F55" s="85" t="n"/>
      <c r="G55" s="85" t="n"/>
      <c r="H55" s="85" t="n"/>
      <c r="I55" s="85" t="n"/>
      <c r="J55" s="85" t="n"/>
    </row>
    <row r="56">
      <c r="A56" s="85" t="n"/>
      <c r="B56" s="85" t="n"/>
      <c r="C56" s="85" t="n"/>
      <c r="D56" s="85" t="n"/>
      <c r="E56" s="85" t="n"/>
      <c r="F56" s="85" t="n"/>
      <c r="G56" s="85" t="n"/>
      <c r="H56" s="85" t="n"/>
      <c r="I56" s="85" t="n"/>
      <c r="J56" s="85" t="n"/>
    </row>
    <row r="57" ht="15" customHeight="1" s="78">
      <c r="A57" s="85" t="n"/>
      <c r="B57" s="132" t="inlineStr">
        <is>
          <t>Métrica</t>
        </is>
      </c>
      <c r="C57" s="133" t="inlineStr">
        <is>
          <t>S.Cotiz</t>
        </is>
      </c>
      <c r="D57" s="133" t="inlineStr">
        <is>
          <t>S.VentaD</t>
        </is>
      </c>
      <c r="E57" s="133" t="inlineStr">
        <is>
          <t>S.Torre</t>
        </is>
      </c>
      <c r="F57" s="133" t="inlineStr">
        <is>
          <t>S.Mesa4</t>
        </is>
      </c>
      <c r="G57" s="133" t="inlineStr">
        <is>
          <t>B.Gioti1</t>
        </is>
      </c>
      <c r="H57" s="133" t="inlineStr">
        <is>
          <t>B.Gioti2</t>
        </is>
      </c>
      <c r="I57" s="133" t="inlineStr">
        <is>
          <t>B.Gioti3</t>
        </is>
      </c>
      <c r="J57" s="133" t="inlineStr">
        <is>
          <t>B.Gioti4</t>
        </is>
      </c>
    </row>
    <row r="58" ht="15" customHeight="1" s="78">
      <c r="A58" s="85" t="n"/>
      <c r="B58" s="131" t="inlineStr">
        <is>
          <t>Tickets/mes</t>
        </is>
      </c>
      <c r="C58" s="134">
        <f>C11</f>
        <v/>
      </c>
      <c r="D58" s="134">
        <f>D11</f>
        <v/>
      </c>
      <c r="E58" s="134">
        <f>E11</f>
        <v/>
      </c>
      <c r="F58" s="134">
        <f>F11</f>
        <v/>
      </c>
      <c r="G58" s="134">
        <f>G11</f>
        <v/>
      </c>
      <c r="H58" s="134">
        <f>H11</f>
        <v/>
      </c>
      <c r="I58" s="134">
        <f>I11</f>
        <v/>
      </c>
      <c r="J58" s="134">
        <f>J11</f>
        <v/>
      </c>
    </row>
    <row r="59" ht="15" customHeight="1" s="78">
      <c r="A59" s="85" t="n"/>
      <c r="B59" s="131" t="inlineStr">
        <is>
          <t>FTEs total</t>
        </is>
      </c>
      <c r="C59" s="134">
        <f>C22</f>
        <v/>
      </c>
      <c r="D59" s="134">
        <f>D22</f>
        <v/>
      </c>
      <c r="E59" s="134">
        <f>E22</f>
        <v/>
      </c>
      <c r="F59" s="134">
        <f>F22</f>
        <v/>
      </c>
      <c r="G59" s="134">
        <f>G22</f>
        <v/>
      </c>
      <c r="H59" s="134">
        <f>H22</f>
        <v/>
      </c>
      <c r="I59" s="134">
        <f>I22</f>
        <v/>
      </c>
      <c r="J59" s="134">
        <f>J22</f>
        <v/>
      </c>
    </row>
    <row r="60" ht="15" customHeight="1" s="78">
      <c r="A60" s="85" t="n"/>
      <c r="B60" s="131" t="inlineStr">
        <is>
          <t>Rotación (%)</t>
        </is>
      </c>
      <c r="C60" s="134">
        <f>C26</f>
        <v/>
      </c>
      <c r="D60" s="134">
        <f>D26</f>
        <v/>
      </c>
      <c r="E60" s="134">
        <f>E26</f>
        <v/>
      </c>
      <c r="F60" s="134">
        <f>F26</f>
        <v/>
      </c>
      <c r="G60" s="134">
        <f>G26</f>
        <v/>
      </c>
      <c r="H60" s="134">
        <f>H26</f>
        <v/>
      </c>
      <c r="I60" s="134">
        <f>I26</f>
        <v/>
      </c>
      <c r="J60" s="134">
        <f>J26</f>
        <v/>
      </c>
    </row>
    <row r="61" ht="15" customHeight="1" s="78">
      <c r="A61" s="85" t="n"/>
      <c r="B61" s="131" t="inlineStr">
        <is>
          <t>Margen (%)</t>
        </is>
      </c>
      <c r="C61" s="134">
        <f>C16</f>
        <v/>
      </c>
      <c r="D61" s="134">
        <f>D16</f>
        <v/>
      </c>
      <c r="E61" s="134">
        <f>E16</f>
        <v/>
      </c>
      <c r="F61" s="134">
        <f>F16</f>
        <v/>
      </c>
      <c r="G61" s="134">
        <f>G16</f>
        <v/>
      </c>
      <c r="H61" s="134">
        <f>H16</f>
        <v/>
      </c>
      <c r="I61" s="134">
        <f>I16</f>
        <v/>
      </c>
      <c r="J61" s="134">
        <f>J16</f>
        <v/>
      </c>
    </row>
    <row r="62" ht="15" customHeight="1" s="78">
      <c r="A62" s="85" t="n"/>
      <c r="B62" s="131" t="inlineStr">
        <is>
          <t>Apps scope</t>
        </is>
      </c>
      <c r="C62" s="134">
        <f>C32</f>
        <v/>
      </c>
      <c r="D62" s="134">
        <f>D32</f>
        <v/>
      </c>
      <c r="E62" s="134">
        <f>E32</f>
        <v/>
      </c>
      <c r="F62" s="134">
        <f>F32</f>
        <v/>
      </c>
      <c r="G62" s="134">
        <f>G32</f>
        <v/>
      </c>
      <c r="H62" s="134">
        <f>H32</f>
        <v/>
      </c>
      <c r="I62" s="134">
        <f>I32</f>
        <v/>
      </c>
      <c r="J62" s="134">
        <f>J32</f>
        <v/>
      </c>
    </row>
    <row r="63">
      <c r="A63" s="85" t="n"/>
      <c r="B63" s="85" t="n"/>
      <c r="C63" s="85" t="n"/>
      <c r="D63" s="85" t="n"/>
      <c r="E63" s="85" t="n"/>
      <c r="F63" s="85" t="n"/>
      <c r="G63" s="85" t="n"/>
      <c r="H63" s="85" t="n"/>
      <c r="I63" s="85" t="n"/>
      <c r="J63" s="85" t="n"/>
    </row>
    <row r="64" ht="15" customHeight="1" s="78">
      <c r="A64" s="85" t="n"/>
      <c r="B64" s="131" t="inlineStr">
        <is>
          <t>FTE N1</t>
        </is>
      </c>
      <c r="C64" s="134">
        <f>C23</f>
        <v/>
      </c>
      <c r="D64" s="134">
        <f>D23</f>
        <v/>
      </c>
      <c r="E64" s="134">
        <f>E23</f>
        <v/>
      </c>
      <c r="F64" s="134">
        <f>F23</f>
        <v/>
      </c>
      <c r="G64" s="134">
        <f>G23</f>
        <v/>
      </c>
      <c r="H64" s="134">
        <f>H23</f>
        <v/>
      </c>
      <c r="I64" s="134">
        <f>I23</f>
        <v/>
      </c>
      <c r="J64" s="134">
        <f>J23</f>
        <v/>
      </c>
    </row>
    <row r="65" ht="15" customHeight="1" s="78">
      <c r="A65" s="85" t="n"/>
      <c r="B65" s="131" t="inlineStr">
        <is>
          <t>FTE N2</t>
        </is>
      </c>
      <c r="C65" s="134">
        <f>C24</f>
        <v/>
      </c>
      <c r="D65" s="134">
        <f>D24</f>
        <v/>
      </c>
      <c r="E65" s="134">
        <f>E24</f>
        <v/>
      </c>
      <c r="F65" s="134">
        <f>F24</f>
        <v/>
      </c>
      <c r="G65" s="134">
        <f>G24</f>
        <v/>
      </c>
      <c r="H65" s="134">
        <f>H24</f>
        <v/>
      </c>
      <c r="I65" s="134">
        <f>I24</f>
        <v/>
      </c>
      <c r="J65" s="134">
        <f>J24</f>
        <v/>
      </c>
    </row>
    <row r="66" ht="15" customHeight="1" s="78">
      <c r="A66" s="85" t="n"/>
      <c r="B66" s="131" t="inlineStr">
        <is>
          <t>FTE N3+</t>
        </is>
      </c>
      <c r="C66" s="134">
        <f>C25</f>
        <v/>
      </c>
      <c r="D66" s="134">
        <f>D25</f>
        <v/>
      </c>
      <c r="E66" s="134">
        <f>E25</f>
        <v/>
      </c>
      <c r="F66" s="134">
        <f>F25</f>
        <v/>
      </c>
      <c r="G66" s="134">
        <f>G25</f>
        <v/>
      </c>
      <c r="H66" s="134">
        <f>H25</f>
        <v/>
      </c>
      <c r="I66" s="134">
        <f>I25</f>
        <v/>
      </c>
      <c r="J66" s="134">
        <f>J25</f>
        <v/>
      </c>
    </row>
    <row r="67">
      <c r="A67" s="85" t="n"/>
      <c r="B67" s="85" t="n"/>
      <c r="C67" s="85" t="n"/>
      <c r="D67" s="85" t="n"/>
      <c r="E67" s="85" t="n"/>
      <c r="F67" s="85" t="n"/>
      <c r="G67" s="85" t="n"/>
      <c r="H67" s="85" t="n"/>
      <c r="I67" s="85" t="n"/>
      <c r="J67" s="85" t="n"/>
    </row>
    <row r="68">
      <c r="A68" s="85" t="n"/>
      <c r="B68" s="85" t="n"/>
      <c r="C68" s="85" t="n"/>
      <c r="D68" s="85" t="n"/>
      <c r="E68" s="85" t="n"/>
      <c r="F68" s="85" t="n"/>
      <c r="G68" s="85" t="n"/>
      <c r="H68" s="85" t="n"/>
      <c r="I68" s="85" t="n"/>
      <c r="J68" s="85" t="n"/>
    </row>
    <row r="69">
      <c r="A69" s="85" t="n"/>
      <c r="B69" s="85" t="n"/>
      <c r="C69" s="85" t="n"/>
      <c r="D69" s="85" t="n"/>
      <c r="E69" s="85" t="n"/>
      <c r="F69" s="85" t="n"/>
      <c r="G69" s="85" t="n"/>
      <c r="H69" s="85" t="n"/>
      <c r="I69" s="85" t="n"/>
      <c r="J69" s="85" t="n"/>
    </row>
    <row r="70" ht="15" customHeight="1" s="78">
      <c r="A70" s="85" t="n"/>
      <c r="B70" s="79" t="inlineStr">
        <is>
          <t>TABLA AUXILIAR GRÁFICAS — no modificar</t>
        </is>
      </c>
      <c r="C70" s="85" t="n"/>
      <c r="D70" s="85" t="n"/>
      <c r="E70" s="85" t="n"/>
      <c r="F70" s="85" t="n"/>
      <c r="G70" s="85" t="n"/>
      <c r="H70" s="85" t="n"/>
      <c r="I70" s="85" t="n"/>
      <c r="J70" s="85" t="n"/>
    </row>
    <row r="71" ht="15" customHeight="1" s="78">
      <c r="A71" s="85" t="n"/>
      <c r="B71" s="79" t="inlineStr">
        <is>
          <t>Métrica</t>
        </is>
      </c>
      <c r="C71" s="79" t="inlineStr">
        <is>
          <t>SURA Cotizador</t>
        </is>
      </c>
      <c r="D71" s="79" t="inlineStr">
        <is>
          <t>SURA Venta Dig</t>
        </is>
      </c>
      <c r="E71" s="79" t="inlineStr">
        <is>
          <t>SURA Torre Con</t>
        </is>
      </c>
      <c r="F71" s="79" t="inlineStr">
        <is>
          <t>SURA Mesa 4</t>
        </is>
      </c>
      <c r="G71" s="79" t="inlineStr">
        <is>
          <t>BCO Gioti 1</t>
        </is>
      </c>
      <c r="H71" s="79" t="inlineStr">
        <is>
          <t>BCO Gioti 2</t>
        </is>
      </c>
      <c r="I71" s="79" t="inlineStr">
        <is>
          <t>BCO Gioti 3</t>
        </is>
      </c>
      <c r="J71" s="79" t="inlineStr">
        <is>
          <t>BCO Gioti 4</t>
        </is>
      </c>
    </row>
    <row r="72" ht="15" customHeight="1" s="78">
      <c r="A72" s="85" t="n"/>
      <c r="B72" s="79" t="inlineStr">
        <is>
          <t>Tickets/mes</t>
        </is>
      </c>
      <c r="C72" s="134">
        <f>C58</f>
        <v/>
      </c>
      <c r="D72" s="134">
        <f>D58</f>
        <v/>
      </c>
      <c r="E72" s="134">
        <f>E58</f>
        <v/>
      </c>
      <c r="F72" s="134">
        <f>F58</f>
        <v/>
      </c>
      <c r="G72" s="134">
        <f>G58</f>
        <v/>
      </c>
      <c r="H72" s="134">
        <f>H58</f>
        <v/>
      </c>
      <c r="I72" s="134">
        <f>I58</f>
        <v/>
      </c>
      <c r="J72" s="134">
        <f>J58</f>
        <v/>
      </c>
    </row>
    <row r="73" ht="15" customHeight="1" s="78">
      <c r="A73" s="85" t="n"/>
      <c r="B73" s="79" t="inlineStr">
        <is>
          <t>FTEs total</t>
        </is>
      </c>
      <c r="C73" s="134">
        <f>C59</f>
        <v/>
      </c>
      <c r="D73" s="134">
        <f>D59</f>
        <v/>
      </c>
      <c r="E73" s="134">
        <f>E59</f>
        <v/>
      </c>
      <c r="F73" s="134">
        <f>F59</f>
        <v/>
      </c>
      <c r="G73" s="134">
        <f>G59</f>
        <v/>
      </c>
      <c r="H73" s="134">
        <f>H59</f>
        <v/>
      </c>
      <c r="I73" s="134">
        <f>I59</f>
        <v/>
      </c>
      <c r="J73" s="134">
        <f>J59</f>
        <v/>
      </c>
    </row>
    <row r="74" ht="15" customHeight="1" s="78">
      <c r="A74" s="85" t="n"/>
      <c r="B74" s="79" t="inlineStr">
        <is>
          <t>Rotación (%)</t>
        </is>
      </c>
      <c r="C74" s="134">
        <f>C60</f>
        <v/>
      </c>
      <c r="D74" s="134">
        <f>D60</f>
        <v/>
      </c>
      <c r="E74" s="134">
        <f>E60</f>
        <v/>
      </c>
      <c r="F74" s="134">
        <f>F60</f>
        <v/>
      </c>
      <c r="G74" s="134">
        <f>G60</f>
        <v/>
      </c>
      <c r="H74" s="134">
        <f>H60</f>
        <v/>
      </c>
      <c r="I74" s="134">
        <f>I60</f>
        <v/>
      </c>
      <c r="J74" s="134">
        <f>J60</f>
        <v/>
      </c>
    </row>
    <row r="75" ht="15" customHeight="1" s="78">
      <c r="A75" s="85" t="n"/>
      <c r="B75" s="79" t="inlineStr">
        <is>
          <t>Churn (1=Verde · 4=Rojo)</t>
        </is>
      </c>
      <c r="C75" s="79">
        <f>IFERROR(MATCH(C47,{"Verde — sin riesgo","Amarillo — señales menores","Naranja — atención requerida","Rojo — riesgo alto"},0),0)</f>
        <v/>
      </c>
      <c r="D75" s="79">
        <f>IFERROR(MATCH(D47,{"Verde — sin riesgo","Amarillo — señales menores","Naranja — atención requerida","Rojo — riesgo alto"},0),0)</f>
        <v/>
      </c>
      <c r="E75" s="79">
        <f>IFERROR(MATCH(E47,{"Verde — sin riesgo","Amarillo — señales menores","Naranja — atención requerida","Rojo — riesgo alto"},0),0)</f>
        <v/>
      </c>
      <c r="F75" s="79">
        <f>IFERROR(MATCH(F47,{"Verde — sin riesgo","Amarillo — señales menores","Naranja — atención requerida","Rojo — riesgo alto"},0),0)</f>
        <v/>
      </c>
      <c r="G75" s="79">
        <f>IFERROR(MATCH(G47,{"Verde — sin riesgo","Amarillo — señales menores","Naranja — atención requerida","Rojo — riesgo alto"},0),0)</f>
        <v/>
      </c>
      <c r="H75" s="79">
        <f>IFERROR(MATCH(H47,{"Verde — sin riesgo","Amarillo — señales menores","Naranja — atención requerida","Rojo — riesgo alto"},0),0)</f>
        <v/>
      </c>
      <c r="I75" s="79">
        <f>IFERROR(MATCH(I47,{"Verde — sin riesgo","Amarillo — señales menores","Naranja — atención requerida","Rojo — riesgo alto"},0),0)</f>
        <v/>
      </c>
      <c r="J75" s="79">
        <f>IFERROR(MATCH(J47,{"Verde — sin riesgo","Amarillo — señales menores","Naranja — atención requerida","Rojo — riesgo alto"},0),0)</f>
        <v/>
      </c>
    </row>
  </sheetData>
  <mergeCells count="7">
    <mergeCell ref="B3:J3"/>
    <mergeCell ref="B5:J5"/>
    <mergeCell ref="B20:J20"/>
    <mergeCell ref="B51:J51"/>
    <mergeCell ref="B2:J2"/>
    <mergeCell ref="B39:J39"/>
    <mergeCell ref="B54:J5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001F7A4D"/>
    <outlinePr summaryBelow="1" summaryRight="1"/>
    <pageSetUpPr fitToPage="0"/>
  </sheetPr>
  <dimension ref="A1:I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0" customWidth="1" style="77" min="2" max="2"/>
    <col width="18" customWidth="1" style="77" min="3" max="8"/>
    <col width="22" customWidth="1" style="77" min="9" max="9"/>
  </cols>
  <sheetData>
    <row r="1" ht="4.5" customHeight="1" s="78">
      <c r="A1" s="85" t="n"/>
      <c r="B1" s="85" t="n"/>
      <c r="C1" s="85" t="n"/>
      <c r="D1" s="85" t="n"/>
      <c r="E1" s="85" t="n"/>
      <c r="F1" s="85" t="n"/>
      <c r="G1" s="85" t="n"/>
      <c r="H1" s="85" t="n"/>
      <c r="I1" s="85" t="n"/>
    </row>
    <row r="2" ht="31.5" customHeight="1" s="78">
      <c r="A2" s="85" t="n"/>
      <c r="B2" s="81" t="inlineStr">
        <is>
          <t>Caracterización · SURA Venta Digital</t>
        </is>
      </c>
      <c r="C2" s="85" t="n"/>
      <c r="D2" s="85" t="n"/>
      <c r="E2" s="85" t="n"/>
      <c r="F2" s="85" t="n"/>
      <c r="G2" s="85" t="n"/>
      <c r="H2" s="85" t="n"/>
      <c r="I2" s="85" t="n"/>
    </row>
    <row r="3" ht="18" customHeight="1" s="78">
      <c r="A3" s="85" t="n"/>
      <c r="B3" s="82" t="inlineStr">
        <is>
          <t>PersonalSoft · Mesa de Servicios de Nueva Generación · Julio 2026</t>
        </is>
      </c>
      <c r="C3" s="85" t="n"/>
      <c r="D3" s="85" t="n"/>
      <c r="E3" s="85" t="n"/>
      <c r="F3" s="85" t="n"/>
      <c r="G3" s="85" t="n"/>
      <c r="H3" s="85" t="n"/>
      <c r="I3" s="85" t="n"/>
    </row>
    <row r="4" ht="4.5" customHeight="1" s="78">
      <c r="A4" s="85" t="n"/>
      <c r="B4" s="85" t="n"/>
      <c r="C4" s="85" t="n"/>
      <c r="D4" s="85" t="n"/>
      <c r="E4" s="85" t="n"/>
      <c r="F4" s="85" t="n"/>
      <c r="G4" s="85" t="n"/>
      <c r="H4" s="85" t="n"/>
      <c r="I4" s="85" t="n"/>
    </row>
    <row r="5" ht="15.75" customHeight="1" s="78">
      <c r="A5" s="85" t="n"/>
      <c r="B5" s="86" t="inlineStr">
        <is>
          <t>Blanco = dato requerido (fuente real)</t>
        </is>
      </c>
      <c r="C5" s="85" t="n"/>
      <c r="D5" s="85" t="n"/>
      <c r="E5" s="87" t="inlineStr">
        <is>
          <t>Amarillo = estimación aceptada si no hay dato exacto</t>
        </is>
      </c>
      <c r="F5" s="85" t="n"/>
      <c r="G5" s="85" t="n"/>
      <c r="H5" s="85" t="n"/>
      <c r="I5" s="87" t="inlineStr">
        <is>
          <t>Col. I = Fuente / nota</t>
        </is>
      </c>
    </row>
    <row r="6" ht="4.5" customHeight="1" s="78">
      <c r="A6" s="85" t="n"/>
      <c r="B6" s="85" t="n"/>
      <c r="C6" s="85" t="n"/>
      <c r="D6" s="85" t="n"/>
      <c r="E6" s="85" t="n"/>
      <c r="F6" s="85" t="n"/>
      <c r="G6" s="85" t="n"/>
      <c r="H6" s="85" t="n"/>
      <c r="I6" s="85" t="n"/>
    </row>
    <row r="7" ht="21.75" customHeight="1" s="78">
      <c r="A7" s="85" t="n"/>
      <c r="B7" s="88" t="inlineStr">
        <is>
          <t>①  IDENTIDAD Y ALCANCE  ·  5 min</t>
        </is>
      </c>
      <c r="C7" s="85" t="n"/>
      <c r="D7" s="85" t="n"/>
      <c r="E7" s="85" t="n"/>
      <c r="F7" s="85" t="n"/>
      <c r="G7" s="85" t="n"/>
      <c r="H7" s="85" t="n"/>
      <c r="I7" s="85" t="n"/>
    </row>
    <row r="8" ht="21.75" customHeight="1" s="78">
      <c r="A8" s="85" t="n"/>
      <c r="B8" s="89" t="inlineStr">
        <is>
          <t>Mesa / Cliente:</t>
        </is>
      </c>
      <c r="C8" s="85" t="n"/>
      <c r="D8" s="90" t="n"/>
      <c r="E8" s="85" t="n"/>
      <c r="F8" s="85" t="n"/>
      <c r="G8" s="85" t="n"/>
      <c r="H8" s="85" t="n"/>
      <c r="I8" s="87" t="inlineStr">
        <is>
          <t>Nombre completo de la mesa y del cliente</t>
        </is>
      </c>
    </row>
    <row r="9" ht="21.75" customHeight="1" s="78">
      <c r="A9" s="85" t="n"/>
      <c r="B9" s="89" t="inlineStr">
        <is>
          <t>Tipo de mesa:</t>
        </is>
      </c>
      <c r="C9" s="85" t="n"/>
      <c r="D9" s="89" t="n"/>
      <c r="E9" s="85" t="n"/>
      <c r="F9" s="85" t="n"/>
      <c r="G9" s="85" t="n"/>
      <c r="H9" s="85" t="n"/>
      <c r="I9" s="87" t="inlineStr">
        <is>
          <t>Mesa de Ayuda / Mesa de Soporte / Torre de Control / Mesa Híbrida</t>
        </is>
      </c>
    </row>
    <row r="10" ht="21.75" customHeight="1" s="78">
      <c r="A10" s="85" t="n"/>
      <c r="B10" s="89" t="inlineStr">
        <is>
          <t>Cliente:</t>
        </is>
      </c>
      <c r="C10" s="85" t="n"/>
      <c r="D10" s="90" t="n"/>
      <c r="E10" s="85" t="n"/>
      <c r="F10" s="85" t="n"/>
      <c r="G10" s="85" t="n"/>
      <c r="H10" s="85" t="n"/>
      <c r="I10" s="87" t="inlineStr">
        <is>
          <t>SURA / Bancolombia / XM / AES / Medicarte / Centro América / Otro</t>
        </is>
      </c>
    </row>
    <row r="11" ht="21.75" customHeight="1" s="78">
      <c r="A11" s="85" t="n"/>
      <c r="B11" s="89" t="inlineStr">
        <is>
          <t>Sector:</t>
        </is>
      </c>
      <c r="C11" s="85" t="n"/>
      <c r="D11" s="90" t="n"/>
      <c r="E11" s="85" t="n"/>
      <c r="F11" s="85" t="n"/>
      <c r="G11" s="85" t="n"/>
      <c r="H11" s="85" t="n"/>
      <c r="I11" s="87" t="inlineStr">
        <is>
          <t>Banca y Seguros / Salud / Energía / Retail / Manufactura / Gobierno / Otro</t>
        </is>
      </c>
    </row>
    <row r="12" ht="21.75" customHeight="1" s="78">
      <c r="A12" s="85" t="n"/>
      <c r="B12" s="89" t="inlineStr">
        <is>
          <t>Criticidad para el negocio:</t>
        </is>
      </c>
      <c r="C12" s="85" t="n"/>
      <c r="D12" s="89" t="n"/>
      <c r="E12" s="85" t="n"/>
      <c r="F12" s="85" t="n"/>
      <c r="G12" s="85" t="n"/>
      <c r="H12" s="85" t="n"/>
      <c r="I12" s="87" t="inlineStr">
        <is>
          <t>Alta (PDN directo) / Media (impacto usuarios) / Baja (interna)</t>
        </is>
      </c>
    </row>
    <row r="13" ht="21.75" customHeight="1" s="78">
      <c r="A13" s="85" t="n"/>
      <c r="B13" s="89" t="inlineStr">
        <is>
          <t>Sabor de servicio PS:</t>
        </is>
      </c>
      <c r="C13" s="85" t="n"/>
      <c r="D13" s="89" t="n"/>
      <c r="E13" s="85" t="n"/>
      <c r="F13" s="85" t="n"/>
      <c r="G13" s="85" t="n"/>
      <c r="H13" s="85" t="n"/>
      <c r="I13" s="87" t="inlineStr">
        <is>
          <t>Equipo dedicado / Soporte compartido / Express (Alfa)</t>
        </is>
      </c>
    </row>
    <row r="14" ht="21.75" customHeight="1" s="78">
      <c r="A14" s="85" t="n"/>
      <c r="B14" s="89" t="inlineStr">
        <is>
          <t>Horario contractual:</t>
        </is>
      </c>
      <c r="C14" s="85" t="n"/>
      <c r="D14" s="89" t="n"/>
      <c r="E14" s="85" t="n"/>
      <c r="F14" s="85" t="n"/>
      <c r="G14" s="85" t="n"/>
      <c r="H14" s="85" t="n"/>
      <c r="I14" s="87" t="inlineStr">
        <is>
          <t>Ej: L-V 7am-6pm · 5x8 · 7x24h</t>
        </is>
      </c>
    </row>
    <row r="15" ht="21.75" customHeight="1" s="78">
      <c r="A15" s="85" t="n"/>
      <c r="B15" s="89" t="inlineStr">
        <is>
          <t>Horario real (operación efectiva):</t>
        </is>
      </c>
      <c r="C15" s="85" t="n"/>
      <c r="D15" s="90" t="n"/>
      <c r="E15" s="85" t="n"/>
      <c r="F15" s="85" t="n"/>
      <c r="G15" s="85" t="n"/>
      <c r="H15" s="85" t="n"/>
      <c r="I15" s="87" t="inlineStr">
        <is>
          <t>¿El horario real coincide con el contractual? ¿Hay horas extra?</t>
        </is>
      </c>
    </row>
    <row r="16" ht="21.75" customHeight="1" s="78">
      <c r="A16" s="85" t="n"/>
      <c r="B16" s="89" t="inlineStr">
        <is>
          <t>GAP horario — h/semana adicionales no reconocidas:</t>
        </is>
      </c>
      <c r="C16" s="85" t="n"/>
      <c r="D16" s="90" t="n"/>
      <c r="E16" s="85" t="n"/>
      <c r="F16" s="85" t="n"/>
      <c r="G16" s="85" t="n"/>
      <c r="H16" s="85" t="n"/>
      <c r="I16" s="87" t="inlineStr">
        <is>
          <t>Estimado en horas semanales</t>
        </is>
      </c>
    </row>
    <row r="17" ht="39.75" customHeight="1" s="78">
      <c r="A17" s="85" t="n"/>
      <c r="B17" s="89" t="inlineStr">
        <is>
          <t>Descripción del servicio (2-3 líneas):</t>
        </is>
      </c>
      <c r="C17" s="85" t="n"/>
      <c r="D17" s="90" t="n"/>
      <c r="E17" s="85" t="n"/>
      <c r="F17" s="85" t="n"/>
      <c r="G17" s="85" t="n"/>
      <c r="H17" s="85" t="n"/>
      <c r="I17" s="87" t="inlineStr">
        <is>
          <t>Qué resuelve esta mesa, qué aplicaciones soporta</t>
        </is>
      </c>
    </row>
    <row r="18" ht="6" customHeight="1" s="78">
      <c r="A18" s="85" t="n"/>
      <c r="B18" s="85" t="n"/>
      <c r="C18" s="85" t="n"/>
      <c r="D18" s="85" t="n"/>
      <c r="E18" s="85" t="n"/>
      <c r="F18" s="85" t="n"/>
      <c r="G18" s="85" t="n"/>
      <c r="H18" s="85" t="n"/>
      <c r="I18" s="85" t="n"/>
    </row>
    <row r="19" ht="21.75" customHeight="1" s="78">
      <c r="A19" s="85" t="n"/>
      <c r="B19" s="88" t="inlineStr">
        <is>
          <t>②  VOLUMETRÍA Y ECONOMÍA  ·  10 min</t>
        </is>
      </c>
      <c r="C19" s="85" t="n"/>
      <c r="D19" s="85" t="n"/>
      <c r="E19" s="85" t="n"/>
      <c r="F19" s="85" t="n"/>
      <c r="G19" s="85" t="n"/>
      <c r="H19" s="85" t="n"/>
      <c r="I19" s="85" t="n"/>
    </row>
    <row r="20" ht="18" customHeight="1" s="78">
      <c r="A20" s="85" t="n"/>
      <c r="B20" s="89" t="inlineStr">
        <is>
          <t>Volumetría mensual promedio</t>
        </is>
      </c>
      <c r="C20" s="85" t="n"/>
      <c r="D20" s="85" t="n"/>
      <c r="E20" s="85" t="n"/>
      <c r="F20" s="85" t="n"/>
      <c r="G20" s="85" t="n"/>
      <c r="H20" s="85" t="n"/>
      <c r="I20" s="85" t="n"/>
    </row>
    <row r="21" ht="21.75" customHeight="1" s="78">
      <c r="A21" s="85" t="n"/>
      <c r="B21" s="89" t="inlineStr">
        <is>
          <t>Total tickets / mes:</t>
        </is>
      </c>
      <c r="C21" s="85" t="n"/>
      <c r="D21" s="89" t="n"/>
      <c r="E21" s="85" t="n"/>
      <c r="F21" s="85" t="n"/>
      <c r="G21" s="85" t="n"/>
      <c r="H21" s="85" t="n"/>
      <c r="I21" s="87" t="inlineStr">
        <is>
          <t>Fuente ideal: herramienta de tickets. Estimado OK si no hay datos.</t>
        </is>
      </c>
    </row>
    <row r="22" ht="21.75" customHeight="1" s="78">
      <c r="A22" s="85" t="n"/>
      <c r="B22" s="89" t="inlineStr">
        <is>
          <t xml:space="preserve">  → % Incidentes (del total):</t>
        </is>
      </c>
      <c r="C22" s="85" t="n"/>
      <c r="D22" s="89" t="n"/>
      <c r="E22" s="85" t="n"/>
      <c r="F22" s="85" t="n"/>
      <c r="G22" s="85" t="n"/>
      <c r="H22" s="85" t="n"/>
      <c r="I22" s="87" t="inlineStr">
        <is>
          <t>Ej: 60%</t>
        </is>
      </c>
    </row>
    <row r="23" ht="21.75" customHeight="1" s="78">
      <c r="A23" s="85" t="n"/>
      <c r="B23" s="89" t="inlineStr">
        <is>
          <t xml:space="preserve">  → % Solicitudes (del total):</t>
        </is>
      </c>
      <c r="C23" s="85" t="n"/>
      <c r="D23" s="89" t="n"/>
      <c r="E23" s="85" t="n"/>
      <c r="F23" s="85" t="n"/>
      <c r="G23" s="85" t="n"/>
      <c r="H23" s="85" t="n"/>
      <c r="I23" s="87" t="inlineStr">
        <is>
          <t>Ej: 35%</t>
        </is>
      </c>
    </row>
    <row r="24" ht="21.75" customHeight="1" s="78">
      <c r="A24" s="85" t="n"/>
      <c r="B24" s="89" t="inlineStr">
        <is>
          <t xml:space="preserve">  → % Problemas / RCA (del total):</t>
        </is>
      </c>
      <c r="C24" s="85" t="n"/>
      <c r="D24" s="89" t="n"/>
      <c r="E24" s="85" t="n"/>
      <c r="F24" s="85" t="n"/>
      <c r="G24" s="85" t="n"/>
      <c r="H24" s="85" t="n"/>
      <c r="I24" s="87" t="inlineStr">
        <is>
          <t>Ej: 5%</t>
        </is>
      </c>
    </row>
    <row r="25" ht="21.75" customHeight="1" s="78">
      <c r="A25" s="85" t="n"/>
      <c r="B25" s="89" t="inlineStr">
        <is>
          <t xml:space="preserve">  → % Tickets Críticos / P1:</t>
        </is>
      </c>
      <c r="C25" s="85" t="n"/>
      <c r="D25" s="89" t="n"/>
      <c r="E25" s="85" t="n"/>
      <c r="F25" s="85" t="n"/>
      <c r="G25" s="85" t="n"/>
      <c r="H25" s="85" t="n"/>
      <c r="I25" s="87" t="inlineStr">
        <is>
          <t>Tickets con impacto PDN o multi-usuario</t>
        </is>
      </c>
    </row>
    <row r="26" ht="21.75" customHeight="1" s="78">
      <c r="A26" s="85" t="n"/>
      <c r="B26" s="89" t="inlineStr">
        <is>
          <t>Canales de entrada activos:</t>
        </is>
      </c>
      <c r="C26" s="85" t="n"/>
      <c r="D26" s="89" t="n"/>
      <c r="E26" s="85" t="n"/>
      <c r="F26" s="85" t="n"/>
      <c r="G26" s="85" t="n"/>
      <c r="H26" s="85" t="n"/>
      <c r="I26" s="87" t="inlineStr">
        <is>
          <t>Teléfono / Portal / Correo / Chat / WhatsApp / Presencial</t>
        </is>
      </c>
    </row>
    <row r="27" ht="21.75" customHeight="1" s="78">
      <c r="A27" s="85" t="n"/>
      <c r="B27" s="89" t="inlineStr">
        <is>
          <t>% tickets fuera de horario (sin atender en SLA):</t>
        </is>
      </c>
      <c r="C27" s="85" t="n"/>
      <c r="D27" s="89" t="n"/>
      <c r="E27" s="85" t="n"/>
      <c r="F27" s="85" t="n"/>
      <c r="G27" s="85" t="n"/>
      <c r="H27" s="85" t="n"/>
      <c r="I27" s="87" t="inlineStr">
        <is>
          <t>Tickets que llegan pero no se atienden en horario pactado</t>
        </is>
      </c>
    </row>
    <row r="28" ht="21.75" customHeight="1" s="78">
      <c r="A28" s="85" t="n"/>
      <c r="B28" s="89" t="inlineStr">
        <is>
          <t>Pico de demanda (día / hora):</t>
        </is>
      </c>
      <c r="C28" s="85" t="n"/>
      <c r="D28" s="89" t="n"/>
      <c r="E28" s="85" t="n"/>
      <c r="F28" s="85" t="n"/>
      <c r="G28" s="85" t="n"/>
      <c r="H28" s="85" t="n"/>
      <c r="I28" s="87" t="inlineStr">
        <is>
          <t>Ej: Lunes 9-11am · Cierre de mes · Despliegues viernes</t>
        </is>
      </c>
    </row>
    <row r="29" ht="21.75" customHeight="1" s="78">
      <c r="A29" s="85" t="n"/>
      <c r="B29" s="89" t="inlineStr">
        <is>
          <t>MTTR promedio estimado (horas):</t>
        </is>
      </c>
      <c r="C29" s="85" t="n"/>
      <c r="D29" s="89" t="n"/>
      <c r="E29" s="85" t="n"/>
      <c r="F29" s="85" t="n"/>
      <c r="G29" s="85" t="n"/>
      <c r="H29" s="85" t="n"/>
      <c r="I29" s="87" t="inlineStr">
        <is>
          <t>Tiempo medio de resolución. Por prioridad si es posible.</t>
        </is>
      </c>
    </row>
    <row r="30" ht="21.75" customHeight="1" s="78">
      <c r="A30" s="85" t="n"/>
      <c r="B30" s="89" t="inlineStr">
        <is>
          <t>FCR — First Call Resolution % (estimado):</t>
        </is>
      </c>
      <c r="C30" s="85" t="n"/>
      <c r="D30" s="89" t="n"/>
      <c r="E30" s="85" t="n"/>
      <c r="F30" s="85" t="n"/>
      <c r="G30" s="85" t="n"/>
      <c r="H30" s="85" t="n"/>
      <c r="I30" s="87" t="inlineStr">
        <is>
          <t>% resuelto en primer contacto sin escalar a N2/N3</t>
        </is>
      </c>
    </row>
    <row r="31" ht="3.75" customHeight="1" s="78">
      <c r="A31" s="85" t="n"/>
      <c r="B31" s="85" t="n"/>
      <c r="C31" s="85" t="n"/>
      <c r="D31" s="85" t="n"/>
      <c r="E31" s="85" t="n"/>
      <c r="F31" s="85" t="n"/>
      <c r="G31" s="85" t="n"/>
      <c r="H31" s="85" t="n"/>
      <c r="I31" s="85" t="n"/>
    </row>
    <row r="32" ht="18" customHeight="1" s="78">
      <c r="A32" s="85" t="n"/>
      <c r="B32" s="89" t="inlineStr">
        <is>
          <t>Modelo económico y contrato</t>
        </is>
      </c>
      <c r="C32" s="85" t="n"/>
      <c r="D32" s="85" t="n"/>
      <c r="E32" s="85" t="n"/>
      <c r="F32" s="85" t="n"/>
      <c r="G32" s="85" t="n"/>
      <c r="H32" s="85" t="n"/>
      <c r="I32" s="85" t="n"/>
    </row>
    <row r="33" ht="21.75" customHeight="1" s="78">
      <c r="A33" s="85" t="n"/>
      <c r="B33" s="89" t="inlineStr">
        <is>
          <t>Modelo de cobro:</t>
        </is>
      </c>
      <c r="C33" s="85" t="n"/>
      <c r="D33" s="89" t="n"/>
      <c r="E33" s="85" t="n"/>
      <c r="F33" s="85" t="n"/>
      <c r="G33" s="85" t="n"/>
      <c r="H33" s="85" t="n"/>
      <c r="I33" s="87" t="inlineStr">
        <is>
          <t>Por FTE / Por ticket / Precio fijo mensual / Mixto / Precio fijo + variable</t>
        </is>
      </c>
    </row>
    <row r="34" ht="21.75" customHeight="1" s="78">
      <c r="A34" s="85" t="n"/>
      <c r="B34" s="89" t="inlineStr">
        <is>
          <t># FTEs facturados al cliente:</t>
        </is>
      </c>
      <c r="C34" s="85" t="n"/>
      <c r="D34" s="90" t="n"/>
      <c r="E34" s="85" t="n"/>
      <c r="F34" s="85" t="n"/>
      <c r="G34" s="85" t="n"/>
      <c r="H34" s="85" t="n"/>
      <c r="I34" s="87" t="inlineStr">
        <is>
          <t>Número de personas que PS factura a este cliente</t>
        </is>
      </c>
    </row>
    <row r="35" ht="21.75" customHeight="1" s="78">
      <c r="A35" s="85" t="n"/>
      <c r="B35" s="89" t="inlineStr">
        <is>
          <t>Tarifa mensual total (COP o USD):</t>
        </is>
      </c>
      <c r="C35" s="85" t="n"/>
      <c r="D35" s="90" t="n"/>
      <c r="E35" s="85" t="n"/>
      <c r="F35" s="85" t="n"/>
      <c r="G35" s="85" t="n"/>
      <c r="H35" s="85" t="n"/>
      <c r="I35" s="87" t="inlineStr">
        <is>
          <t>Valor del contrato mensual. Estimado OK si no tienes exacto.</t>
        </is>
      </c>
    </row>
    <row r="36" ht="21.75" customHeight="1" s="78">
      <c r="A36" s="85" t="n"/>
      <c r="B36" s="89" t="inlineStr">
        <is>
          <t>Costo/FTE promedio (costo interno PS):</t>
        </is>
      </c>
      <c r="C36" s="85" t="n"/>
      <c r="D36" s="89" t="n"/>
      <c r="E36" s="85" t="n"/>
      <c r="F36" s="85" t="n"/>
      <c r="G36" s="85" t="n"/>
      <c r="H36" s="85" t="n"/>
      <c r="I36" s="87" t="inlineStr">
        <is>
          <t>Costo interno. Confidencial — solo para análisis de rentabilidad.</t>
        </is>
      </c>
    </row>
    <row r="37" ht="21.75" customHeight="1" s="78">
      <c r="A37" s="85" t="n"/>
      <c r="B37" s="89" t="inlineStr">
        <is>
          <t>Margen estimado (%):</t>
        </is>
      </c>
      <c r="C37" s="85" t="n"/>
      <c r="D37" s="89" t="n"/>
      <c r="E37" s="85" t="n"/>
      <c r="F37" s="85" t="n"/>
      <c r="G37" s="85" t="n"/>
      <c r="H37" s="85" t="n"/>
      <c r="I37" s="87" t="inlineStr">
        <is>
          <t>Rango: Bajo &lt; 15% / Medio 15-25% / Alto &gt; 25%</t>
        </is>
      </c>
    </row>
    <row r="38" ht="21.75" customHeight="1" s="78">
      <c r="A38" s="85" t="n"/>
      <c r="B38" s="89" t="inlineStr">
        <is>
          <t>¿Hay penalidades ANS activas en el contrato?</t>
        </is>
      </c>
      <c r="C38" s="85" t="n"/>
      <c r="D38" s="89" t="n"/>
      <c r="E38" s="85" t="n"/>
      <c r="F38" s="85" t="n"/>
      <c r="G38" s="85" t="n"/>
      <c r="H38" s="85" t="n"/>
      <c r="I38" s="87" t="inlineStr">
        <is>
          <t>Sí / No / Parcial. ¿Se aplican realmente?</t>
        </is>
      </c>
    </row>
    <row r="39" ht="21.75" customHeight="1" s="78">
      <c r="A39" s="85" t="n"/>
      <c r="B39" s="89" t="inlineStr">
        <is>
          <t>¿El modelo permite cobrar expansión de scope?</t>
        </is>
      </c>
      <c r="C39" s="85" t="n"/>
      <c r="D39" s="89" t="n"/>
      <c r="E39" s="85" t="n"/>
      <c r="F39" s="85" t="n"/>
      <c r="G39" s="85" t="n"/>
      <c r="H39" s="85" t="n"/>
      <c r="I39" s="87" t="inlineStr">
        <is>
          <t>Sí / No. ¿Existe mecanismo formal de adición de alcance?</t>
        </is>
      </c>
    </row>
    <row r="40" ht="21.75" customHeight="1" s="78">
      <c r="A40" s="85" t="n"/>
      <c r="B40" s="89" t="inlineStr">
        <is>
          <t>Fecha de renovación del contrato:</t>
        </is>
      </c>
      <c r="C40" s="85" t="n"/>
      <c r="D40" s="90" t="n"/>
      <c r="E40" s="85" t="n"/>
      <c r="F40" s="85" t="n"/>
      <c r="G40" s="85" t="n"/>
      <c r="H40" s="85" t="n"/>
      <c r="I40" s="87" t="inlineStr">
        <is>
          <t>Mes/Año de próxima renovación o vencimiento</t>
        </is>
      </c>
    </row>
    <row r="41" ht="21.75" customHeight="1" s="78">
      <c r="A41" s="85" t="n"/>
      <c r="B41" s="89" t="inlineStr">
        <is>
          <t>¿Hay adiciones de scope sin renegociación de precio?</t>
        </is>
      </c>
      <c r="C41" s="85" t="n"/>
      <c r="D41" s="89" t="n"/>
      <c r="E41" s="85" t="n"/>
      <c r="F41" s="85" t="n"/>
      <c r="G41" s="85" t="n"/>
      <c r="H41" s="85" t="n"/>
      <c r="I41" s="87" t="inlineStr">
        <is>
          <t>Apps o integraciones agregadas sin ajuste de precio</t>
        </is>
      </c>
    </row>
    <row r="42" ht="6" customHeight="1" s="78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</row>
    <row r="43" ht="21.75" customHeight="1" s="78">
      <c r="A43" s="85" t="n"/>
      <c r="B43" s="88" t="inlineStr">
        <is>
          <t>③  PERSONAS Y CULTURA  ·  10 min</t>
        </is>
      </c>
      <c r="C43" s="85" t="n"/>
      <c r="D43" s="85" t="n"/>
      <c r="E43" s="85" t="n"/>
      <c r="F43" s="85" t="n"/>
      <c r="G43" s="85" t="n"/>
      <c r="H43" s="85" t="n"/>
      <c r="I43" s="85" t="n"/>
    </row>
    <row r="44" ht="18" customHeight="1" s="78">
      <c r="A44" s="85" t="n"/>
      <c r="B44" s="89" t="inlineStr">
        <is>
          <t>Composición del equipo por nivel</t>
        </is>
      </c>
      <c r="C44" s="85" t="n"/>
      <c r="D44" s="85" t="n"/>
      <c r="E44" s="85" t="n"/>
      <c r="F44" s="85" t="n"/>
      <c r="G44" s="85" t="n"/>
      <c r="H44" s="85" t="n"/>
      <c r="I44" s="85" t="n"/>
    </row>
    <row r="45" ht="19.5" customHeight="1" s="78">
      <c r="A45" s="85" t="n"/>
      <c r="B45" s="91" t="inlineStr">
        <is>
          <t>Rol / Nivel</t>
        </is>
      </c>
      <c r="C45" s="85" t="n"/>
      <c r="D45" s="91" t="inlineStr">
        <is>
          <t>FTEs actuales</t>
        </is>
      </c>
      <c r="E45" s="85" t="n"/>
      <c r="F45" s="91" t="inlineStr">
        <is>
          <t>FTEs requeridos (ideal)</t>
        </is>
      </c>
      <c r="G45" s="91" t="inlineStr">
        <is>
          <t>% tiempo en soporte</t>
        </is>
      </c>
      <c r="H45" s="85" t="n"/>
      <c r="I45" s="91" t="inlineStr">
        <is>
          <t>Fuente</t>
        </is>
      </c>
    </row>
    <row r="46" ht="19.5" customHeight="1" s="78">
      <c r="A46" s="85" t="n"/>
      <c r="B46" s="89" t="inlineStr">
        <is>
          <t>Gerente de Mesa / Account Manager</t>
        </is>
      </c>
      <c r="C46" s="85" t="n"/>
      <c r="D46" s="92" t="n"/>
      <c r="E46" s="85" t="n"/>
      <c r="F46" s="92" t="n"/>
      <c r="G46" s="92" t="n"/>
      <c r="H46" s="85" t="n"/>
      <c r="I46" s="92" t="n"/>
    </row>
    <row r="47" ht="19.5" customHeight="1" s="78">
      <c r="A47" s="85" t="n"/>
      <c r="B47" s="90" t="inlineStr">
        <is>
          <t>Líder Técnico / Coordinador N2</t>
        </is>
      </c>
      <c r="C47" s="85" t="n"/>
      <c r="D47" s="93" t="n"/>
      <c r="E47" s="85" t="n"/>
      <c r="F47" s="93" t="n"/>
      <c r="G47" s="93" t="n"/>
      <c r="H47" s="85" t="n"/>
      <c r="I47" s="93" t="n"/>
    </row>
    <row r="48" ht="19.5" customHeight="1" s="78">
      <c r="A48" s="85" t="n"/>
      <c r="B48" s="89" t="inlineStr">
        <is>
          <t>Analista N1 (front-end)</t>
        </is>
      </c>
      <c r="C48" s="85" t="n"/>
      <c r="D48" s="92" t="n"/>
      <c r="E48" s="85" t="n"/>
      <c r="F48" s="92" t="n"/>
      <c r="G48" s="92" t="n"/>
      <c r="H48" s="85" t="n"/>
      <c r="I48" s="92" t="n"/>
    </row>
    <row r="49" ht="19.5" customHeight="1" s="78">
      <c r="A49" s="85" t="n"/>
      <c r="B49" s="90" t="inlineStr">
        <is>
          <t>Especialista N2 (soporte avanzado)</t>
        </is>
      </c>
      <c r="C49" s="85" t="n"/>
      <c r="D49" s="93" t="n"/>
      <c r="E49" s="85" t="n"/>
      <c r="F49" s="93" t="n"/>
      <c r="G49" s="93" t="n"/>
      <c r="H49" s="85" t="n"/>
      <c r="I49" s="93" t="n"/>
    </row>
    <row r="50" ht="19.5" customHeight="1" s="78">
      <c r="A50" s="85" t="n"/>
      <c r="B50" s="89" t="inlineStr">
        <is>
          <t>Desarrollador / Especialista N3</t>
        </is>
      </c>
      <c r="C50" s="85" t="n"/>
      <c r="D50" s="92" t="n"/>
      <c r="E50" s="85" t="n"/>
      <c r="F50" s="92" t="n"/>
      <c r="G50" s="92" t="n"/>
      <c r="H50" s="85" t="n"/>
      <c r="I50" s="92" t="n"/>
    </row>
    <row r="51" ht="19.5" customHeight="1" s="78">
      <c r="A51" s="85" t="n"/>
      <c r="B51" s="90" t="inlineStr">
        <is>
          <t>Especialista IA / Datos</t>
        </is>
      </c>
      <c r="C51" s="85" t="n"/>
      <c r="D51" s="93" t="n"/>
      <c r="E51" s="85" t="n"/>
      <c r="F51" s="93" t="n"/>
      <c r="G51" s="93" t="n"/>
      <c r="H51" s="85" t="n"/>
      <c r="I51" s="93" t="n"/>
    </row>
    <row r="52" ht="19.5" customHeight="1" s="78">
      <c r="A52" s="85" t="n"/>
      <c r="B52" s="89" t="inlineStr">
        <is>
          <t>TOTAL</t>
        </is>
      </c>
      <c r="C52" s="85" t="n"/>
      <c r="D52" s="92" t="n"/>
      <c r="E52" s="85" t="n"/>
      <c r="F52" s="92" t="n"/>
      <c r="G52" s="92" t="n"/>
      <c r="H52" s="85" t="n"/>
      <c r="I52" s="92" t="n"/>
    </row>
    <row r="53" ht="3.75" customHeight="1" s="78">
      <c r="A53" s="85" t="n"/>
      <c r="B53" s="85" t="n"/>
      <c r="C53" s="85" t="n"/>
      <c r="D53" s="85" t="n"/>
      <c r="E53" s="85" t="n"/>
      <c r="F53" s="85" t="n"/>
      <c r="G53" s="85" t="n"/>
      <c r="H53" s="85" t="n"/>
      <c r="I53" s="85" t="n"/>
    </row>
    <row r="54" ht="21.75" customHeight="1" s="78">
      <c r="A54" s="85" t="n"/>
      <c r="B54" s="89" t="inlineStr">
        <is>
          <t>Rotación anual del equipo (%):</t>
        </is>
      </c>
      <c r="C54" s="85" t="n"/>
      <c r="D54" s="89" t="n"/>
      <c r="E54" s="85" t="n"/>
      <c r="F54" s="85" t="n"/>
      <c r="G54" s="85" t="n"/>
      <c r="H54" s="85" t="n"/>
      <c r="I54" s="87" t="inlineStr">
        <is>
          <t>Bajo &lt; 10% / Medio 10-25% / Alto &gt; 25% / Muy alto &gt; 50%</t>
        </is>
      </c>
    </row>
    <row r="55" ht="21.75" customHeight="1" s="78">
      <c r="A55" s="85" t="n"/>
      <c r="B55" s="89" t="inlineStr">
        <is>
          <t>Antigüedad promedio en este cliente (meses):</t>
        </is>
      </c>
      <c r="C55" s="85" t="n"/>
      <c r="D55" s="89" t="n"/>
      <c r="E55" s="85" t="n"/>
      <c r="F55" s="85" t="n"/>
      <c r="G55" s="85" t="n"/>
      <c r="H55" s="85" t="n"/>
      <c r="I55" s="87" t="inlineStr">
        <is>
          <t>Tiempo que llevan los FTEs actuales en esta mesa</t>
        </is>
      </c>
    </row>
    <row r="56" ht="21.75" customHeight="1" s="78">
      <c r="A56" s="85" t="n"/>
      <c r="B56" s="89" t="inlineStr">
        <is>
          <t>Bus factor — ¿quién sabe TODO de esta mesa?:</t>
        </is>
      </c>
      <c r="C56" s="85" t="n"/>
      <c r="D56" s="90" t="n"/>
      <c r="E56" s="85" t="n"/>
      <c r="F56" s="85" t="n"/>
      <c r="G56" s="85" t="n"/>
      <c r="H56" s="85" t="n"/>
      <c r="I56" s="87" t="inlineStr">
        <is>
          <t>Nombre(s) de la(s) persona(s) crítica(s). Si se va, hay crisis.</t>
        </is>
      </c>
    </row>
    <row r="57" ht="21.75" customHeight="1" s="78">
      <c r="A57" s="85" t="n"/>
      <c r="B57" s="89" t="inlineStr">
        <is>
          <t>¿El equipo tiene ruta de crecimiento definida?</t>
        </is>
      </c>
      <c r="C57" s="85" t="n"/>
      <c r="D57" s="89" t="n"/>
      <c r="E57" s="85" t="n"/>
      <c r="F57" s="85" t="n"/>
      <c r="G57" s="85" t="n"/>
      <c r="H57" s="85" t="n"/>
      <c r="I57" s="87" t="inlineStr">
        <is>
          <t>Sí / No / Parcial — ¿Plan de carrera documentado?</t>
        </is>
      </c>
    </row>
    <row r="58" ht="21.75" customHeight="1" s="78">
      <c r="A58" s="85" t="n"/>
      <c r="B58" s="89" t="inlineStr">
        <is>
          <t>Satisfacción del equipo (NPS interno estimado 1-10):</t>
        </is>
      </c>
      <c r="C58" s="85" t="n"/>
      <c r="D58" s="89" t="n"/>
      <c r="E58" s="85" t="n"/>
      <c r="F58" s="85" t="n"/>
      <c r="G58" s="85" t="n"/>
      <c r="H58" s="85" t="n"/>
      <c r="I58" s="87" t="inlineStr">
        <is>
          <t>Estimación del líder de mesa</t>
        </is>
      </c>
    </row>
    <row r="59" ht="21.75" customHeight="1" s="78">
      <c r="A59" s="85" t="n"/>
      <c r="B59" s="89" t="inlineStr">
        <is>
          <t>Principal causa de rotación identificada:</t>
        </is>
      </c>
      <c r="C59" s="85" t="n"/>
      <c r="D59" s="90" t="n"/>
      <c r="E59" s="85" t="n"/>
      <c r="F59" s="85" t="n"/>
      <c r="G59" s="85" t="n"/>
      <c r="H59" s="85" t="n"/>
      <c r="I59" s="87" t="inlineStr">
        <is>
          <t>Salario / Falta crecimiento / Carga alta / Conflicto cliente / Otro</t>
        </is>
      </c>
    </row>
    <row r="60" ht="21.75" customHeight="1" s="78">
      <c r="A60" s="85" t="n"/>
      <c r="B60" s="89" t="inlineStr">
        <is>
          <t>¿Horas extra frecuentes no reconocidas?</t>
        </is>
      </c>
      <c r="C60" s="85" t="n"/>
      <c r="D60" s="90" t="n"/>
      <c r="E60" s="85" t="n"/>
      <c r="F60" s="85" t="n"/>
      <c r="G60" s="85" t="n"/>
      <c r="H60" s="85" t="n"/>
      <c r="I60" s="87" t="inlineStr">
        <is>
          <t>Sí / No. ¿Cuántas h/semana? ¿Se compensan?</t>
        </is>
      </c>
    </row>
    <row r="61" ht="6" customHeight="1" s="78">
      <c r="A61" s="85" t="n"/>
      <c r="B61" s="85" t="n"/>
      <c r="C61" s="85" t="n"/>
      <c r="D61" s="85" t="n"/>
      <c r="E61" s="85" t="n"/>
      <c r="F61" s="85" t="n"/>
      <c r="G61" s="85" t="n"/>
      <c r="H61" s="85" t="n"/>
      <c r="I61" s="85" t="n"/>
    </row>
    <row r="62" ht="21.75" customHeight="1" s="78">
      <c r="A62" s="85" t="n"/>
      <c r="B62" s="88" t="inlineStr">
        <is>
          <t>④  STACK TECNOLÓGICO Y APLICACIONES  ·  8 min</t>
        </is>
      </c>
      <c r="C62" s="85" t="n"/>
      <c r="D62" s="85" t="n"/>
      <c r="E62" s="85" t="n"/>
      <c r="F62" s="85" t="n"/>
      <c r="G62" s="85" t="n"/>
      <c r="H62" s="85" t="n"/>
      <c r="I62" s="85" t="n"/>
    </row>
    <row r="63" ht="21.75" customHeight="1" s="78">
      <c r="A63" s="85" t="n"/>
      <c r="B63" s="94" t="inlineStr">
        <is>
          <t>Herramienta de tickets (nombre):</t>
        </is>
      </c>
      <c r="C63" s="85" t="n"/>
      <c r="D63" s="89" t="n"/>
      <c r="E63" s="85" t="n"/>
      <c r="F63" s="85" t="n"/>
      <c r="G63" s="85" t="n"/>
      <c r="H63" s="85" t="n"/>
      <c r="I63" s="87" t="inlineStr">
        <is>
          <t>ServiceNow / Jira / BMC Remedy / Computer Associates / Excel / Otra</t>
        </is>
      </c>
    </row>
    <row r="64" ht="21.75" customHeight="1" s="78">
      <c r="A64" s="85" t="n"/>
      <c r="B64" s="94" t="inlineStr">
        <is>
          <t>¿Herramienta es del cliente o de PS?:</t>
        </is>
      </c>
      <c r="C64" s="85" t="n"/>
      <c r="D64" s="89" t="n"/>
      <c r="E64" s="85" t="n"/>
      <c r="F64" s="85" t="n"/>
      <c r="G64" s="85" t="n"/>
      <c r="H64" s="85" t="n"/>
      <c r="I64" s="87" t="inlineStr">
        <is>
          <t>Cliente (nos adaptamos) / PS provee herramienta</t>
        </is>
      </c>
    </row>
    <row r="65" ht="21.75" customHeight="1" s="78">
      <c r="A65" s="85" t="n"/>
      <c r="B65" s="94" t="inlineStr">
        <is>
          <t># Aplicaciones en scope:</t>
        </is>
      </c>
      <c r="C65" s="85" t="n"/>
      <c r="D65" s="90" t="n"/>
      <c r="E65" s="85" t="n"/>
      <c r="F65" s="85" t="n"/>
      <c r="G65" s="85" t="n"/>
      <c r="H65" s="85" t="n"/>
      <c r="I65" s="87" t="inlineStr">
        <is>
          <t>Número total de apps que esta mesa soporta</t>
        </is>
      </c>
    </row>
    <row r="66" ht="21.75" customHeight="1" s="78">
      <c r="A66" s="85" t="n"/>
      <c r="B66" s="94" t="inlineStr">
        <is>
          <t>Aplicaciones críticas (top 5):</t>
        </is>
      </c>
      <c r="C66" s="85" t="n"/>
      <c r="D66" s="90" t="n"/>
      <c r="E66" s="85" t="n"/>
      <c r="F66" s="85" t="n"/>
      <c r="G66" s="85" t="n"/>
      <c r="H66" s="85" t="n"/>
      <c r="I66" s="87" t="inlineStr">
        <is>
          <t>Listar por nombre. Ej: SAP FI · Portal web · API pagos</t>
        </is>
      </c>
    </row>
    <row r="67" ht="21.75" customHeight="1" s="78">
      <c r="A67" s="85" t="n"/>
      <c r="B67" s="94" t="inlineStr">
        <is>
          <t>Lenguajes / plataformas soportadas:</t>
        </is>
      </c>
      <c r="C67" s="85" t="n"/>
      <c r="D67" s="90" t="n"/>
      <c r="E67" s="85" t="n"/>
      <c r="F67" s="85" t="n"/>
      <c r="G67" s="85" t="n"/>
      <c r="H67" s="85" t="n"/>
      <c r="I67" s="87" t="inlineStr">
        <is>
          <t>Java / .Net / Python / SAP / AWS / Azure / Power Platform / OT/IT</t>
        </is>
      </c>
    </row>
    <row r="68" ht="21.75" customHeight="1" s="78">
      <c r="A68" s="85" t="n"/>
      <c r="B68" s="94" t="inlineStr">
        <is>
          <t># Ambientes soportados (DEV/QA/PRD):</t>
        </is>
      </c>
      <c r="C68" s="85" t="n"/>
      <c r="D68" s="90" t="n"/>
      <c r="E68" s="85" t="n"/>
      <c r="F68" s="85" t="n"/>
      <c r="G68" s="85" t="n"/>
      <c r="H68" s="85" t="n"/>
      <c r="I68" s="87" t="inlineStr">
        <is>
          <t>¿Todos los ambientes generan tickets?</t>
        </is>
      </c>
    </row>
    <row r="69" ht="21.75" customHeight="1" s="78">
      <c r="A69" s="85" t="n"/>
      <c r="B69" s="94" t="inlineStr">
        <is>
          <t>Integraciones críticas documentadas:</t>
        </is>
      </c>
      <c r="C69" s="85" t="n"/>
      <c r="D69" s="89" t="n"/>
      <c r="E69" s="85" t="n"/>
      <c r="F69" s="85" t="n"/>
      <c r="G69" s="85" t="n"/>
      <c r="H69" s="85" t="n"/>
      <c r="I69" s="87" t="inlineStr">
        <is>
          <t>Sí / No / Parcial. ¿Existe mapa de dependencias?</t>
        </is>
      </c>
    </row>
    <row r="70" ht="21.75" customHeight="1" s="78">
      <c r="A70" s="85" t="n"/>
      <c r="B70" s="94" t="inlineStr">
        <is>
          <t>¿Monitoreo activo configurado?:</t>
        </is>
      </c>
      <c r="C70" s="85" t="n"/>
      <c r="D70" s="89" t="n"/>
      <c r="E70" s="85" t="n"/>
      <c r="F70" s="85" t="n"/>
      <c r="G70" s="85" t="n"/>
      <c r="H70" s="85" t="n"/>
      <c r="I70" s="87" t="inlineStr">
        <is>
          <t>Sí / No / Parcial. ¿Qué herramienta? ¿Umbrales definidos?</t>
        </is>
      </c>
    </row>
    <row r="71" ht="21.75" customHeight="1" s="78">
      <c r="A71" s="85" t="n"/>
      <c r="B71" s="94" t="inlineStr">
        <is>
          <t>¿KEDB (base de conocimiento) existe?:</t>
        </is>
      </c>
      <c r="C71" s="85" t="n"/>
      <c r="D71" s="89" t="n"/>
      <c r="E71" s="85" t="n"/>
      <c r="F71" s="85" t="n"/>
      <c r="G71" s="85" t="n"/>
      <c r="H71" s="85" t="n"/>
      <c r="I71" s="87" t="inlineStr">
        <is>
          <t>Sí / No / Parcial. ¿Actualizada? ¿Quién la mantiene?</t>
        </is>
      </c>
    </row>
    <row r="72" ht="21.75" customHeight="1" s="78">
      <c r="A72" s="85" t="n"/>
      <c r="B72" s="94" t="inlineStr">
        <is>
          <t>¿Automatización en producción?:</t>
        </is>
      </c>
      <c r="C72" s="85" t="n"/>
      <c r="D72" s="89" t="n"/>
      <c r="E72" s="85" t="n"/>
      <c r="F72" s="85" t="n"/>
      <c r="G72" s="85" t="n"/>
      <c r="H72" s="85" t="n"/>
      <c r="I72" s="87" t="inlineStr">
        <is>
          <t>Sí / No. Si Sí: ¿qué automatiza? ¿% tickets automatizados?</t>
        </is>
      </c>
    </row>
    <row r="73" ht="21.75" customHeight="1" s="78">
      <c r="A73" s="85" t="n"/>
      <c r="B73" s="94" t="inlineStr">
        <is>
          <t>¿Hay N0 activo (autoservicio / portal)?:</t>
        </is>
      </c>
      <c r="C73" s="85" t="n"/>
      <c r="D73" s="89" t="n"/>
      <c r="E73" s="85" t="n"/>
      <c r="F73" s="85" t="n"/>
      <c r="G73" s="85" t="n"/>
      <c r="H73" s="85" t="n"/>
      <c r="I73" s="87" t="inlineStr">
        <is>
          <t>Sí / No / En construcción. ¿% de deflexión?</t>
        </is>
      </c>
    </row>
    <row r="74" ht="21.75" customHeight="1" s="78">
      <c r="A74" s="85" t="n"/>
      <c r="B74" s="94" t="inlineStr">
        <is>
          <t>Regulación sectorial aplicable:</t>
        </is>
      </c>
      <c r="C74" s="85" t="n"/>
      <c r="D74" s="90" t="n"/>
      <c r="E74" s="85" t="n"/>
      <c r="F74" s="85" t="n"/>
      <c r="G74" s="85" t="n"/>
      <c r="H74" s="85" t="n"/>
      <c r="I74" s="87" t="inlineStr">
        <is>
          <t>SFC / SOX / BCP/DRP / Habeas Data / Supersalud / RIPS / Ninguna</t>
        </is>
      </c>
    </row>
    <row r="75" ht="6" customHeight="1" s="78">
      <c r="A75" s="85" t="n"/>
      <c r="B75" s="85" t="n"/>
      <c r="C75" s="85" t="n"/>
      <c r="D75" s="85" t="n"/>
      <c r="E75" s="85" t="n"/>
      <c r="F75" s="85" t="n"/>
      <c r="G75" s="85" t="n"/>
      <c r="H75" s="85" t="n"/>
      <c r="I75" s="85" t="n"/>
    </row>
    <row r="76" ht="21.75" customHeight="1" s="78">
      <c r="A76" s="85" t="n"/>
      <c r="B76" s="88" t="inlineStr">
        <is>
          <t>⑤  RIESGOS Y OPORTUNIDADES  ·  7 min</t>
        </is>
      </c>
      <c r="C76" s="85" t="n"/>
      <c r="D76" s="85" t="n"/>
      <c r="E76" s="85" t="n"/>
      <c r="F76" s="85" t="n"/>
      <c r="G76" s="85" t="n"/>
      <c r="H76" s="85" t="n"/>
      <c r="I76" s="85" t="n"/>
    </row>
    <row r="77" ht="18" customHeight="1" s="78">
      <c r="A77" s="85" t="n"/>
      <c r="B77" s="95" t="inlineStr">
        <is>
          <t>Top 3 riesgos actuales</t>
        </is>
      </c>
      <c r="C77" s="85" t="n"/>
      <c r="D77" s="85" t="n"/>
      <c r="E77" s="85" t="n"/>
      <c r="F77" s="85" t="n"/>
      <c r="G77" s="85" t="n"/>
      <c r="H77" s="85" t="n"/>
      <c r="I77" s="85" t="n"/>
    </row>
    <row r="78" ht="25.5" customHeight="1" s="78">
      <c r="A78" s="85" t="n"/>
      <c r="B78" s="89" t="inlineStr">
        <is>
          <t>Riesgo #1:</t>
        </is>
      </c>
      <c r="C78" s="85" t="n"/>
      <c r="D78" s="90" t="n"/>
      <c r="E78" s="85" t="n"/>
      <c r="F78" s="85" t="n"/>
      <c r="G78" s="85" t="n"/>
      <c r="H78" s="85" t="n"/>
      <c r="I78" s="87" t="inlineStr">
        <is>
          <t>Ej: Bus factor / Scope creep / ANS sin medir / Churn latente</t>
        </is>
      </c>
    </row>
    <row r="79" ht="25.5" customHeight="1" s="78">
      <c r="A79" s="85" t="n"/>
      <c r="B79" s="89" t="inlineStr">
        <is>
          <t>Riesgo #2:</t>
        </is>
      </c>
      <c r="C79" s="85" t="n"/>
      <c r="D79" s="90" t="n"/>
      <c r="E79" s="85" t="n"/>
      <c r="F79" s="85" t="n"/>
      <c r="G79" s="85" t="n"/>
      <c r="H79" s="85" t="n"/>
      <c r="I79" s="87" t="inlineStr">
        <is>
          <t>Ej: Bus factor / Scope creep / ANS sin medir / Churn latente</t>
        </is>
      </c>
    </row>
    <row r="80" ht="25.5" customHeight="1" s="78">
      <c r="A80" s="85" t="n"/>
      <c r="B80" s="89" t="inlineStr">
        <is>
          <t>Riesgo #3:</t>
        </is>
      </c>
      <c r="C80" s="85" t="n"/>
      <c r="D80" s="90" t="n"/>
      <c r="E80" s="85" t="n"/>
      <c r="F80" s="85" t="n"/>
      <c r="G80" s="85" t="n"/>
      <c r="H80" s="85" t="n"/>
      <c r="I80" s="87" t="inlineStr">
        <is>
          <t>Ej: Bus factor / Scope creep / ANS sin medir / Churn latente</t>
        </is>
      </c>
    </row>
    <row r="81" ht="3.75" customHeight="1" s="78">
      <c r="A81" s="85" t="n"/>
      <c r="B81" s="85" t="n"/>
      <c r="C81" s="85" t="n"/>
      <c r="D81" s="85" t="n"/>
      <c r="E81" s="85" t="n"/>
      <c r="F81" s="85" t="n"/>
      <c r="G81" s="85" t="n"/>
      <c r="H81" s="85" t="n"/>
      <c r="I81" s="85" t="n"/>
    </row>
    <row r="82" ht="18" customHeight="1" s="78">
      <c r="A82" s="85" t="n"/>
      <c r="B82" s="96" t="inlineStr">
        <is>
          <t>Oportunidades para el servicio Gen Next</t>
        </is>
      </c>
      <c r="C82" s="85" t="n"/>
      <c r="D82" s="85" t="n"/>
      <c r="E82" s="85" t="n"/>
      <c r="F82" s="85" t="n"/>
      <c r="G82" s="85" t="n"/>
      <c r="H82" s="85" t="n"/>
      <c r="I82" s="85" t="n"/>
    </row>
    <row r="83" ht="21.75" customHeight="1" s="78">
      <c r="A83" s="85" t="n"/>
      <c r="B83" s="89" t="inlineStr">
        <is>
          <t>Potencial de automatización:</t>
        </is>
      </c>
      <c r="C83" s="85" t="n"/>
      <c r="D83" s="89" t="n"/>
      <c r="E83" s="85" t="n"/>
      <c r="F83" s="85" t="n"/>
      <c r="G83" s="85" t="n"/>
      <c r="H83" s="85" t="n"/>
      <c r="I83" s="87" t="inlineStr">
        <is>
          <t>Alto / Medio / Bajo. ¿Qué tareas repetitivas hay?</t>
        </is>
      </c>
    </row>
    <row r="84" ht="21.75" customHeight="1" s="78">
      <c r="A84" s="85" t="n"/>
      <c r="B84" s="89" t="inlineStr">
        <is>
          <t>Potencial de incorporar IA:</t>
        </is>
      </c>
      <c r="C84" s="85" t="n"/>
      <c r="D84" s="89" t="n"/>
      <c r="E84" s="85" t="n"/>
      <c r="F84" s="85" t="n"/>
      <c r="G84" s="85" t="n"/>
      <c r="H84" s="85" t="n"/>
      <c r="I84" s="87" t="inlineStr">
        <is>
          <t>Alto / Medio / Bajo. ¿Clasificación / KEDB / AIOps?</t>
        </is>
      </c>
    </row>
    <row r="85" ht="21.75" customHeight="1" s="78">
      <c r="A85" s="85" t="n"/>
      <c r="B85" s="89" t="inlineStr">
        <is>
          <t>Apetito del cliente por el cambio:</t>
        </is>
      </c>
      <c r="C85" s="85" t="n"/>
      <c r="D85" s="89" t="n"/>
      <c r="E85" s="85" t="n"/>
      <c r="F85" s="85" t="n"/>
      <c r="G85" s="85" t="n"/>
      <c r="H85" s="85" t="n"/>
      <c r="I85" s="87" t="inlineStr">
        <is>
          <t>Alto (promotor activo) / Medio (receptivo) / Bajo (conservador)</t>
        </is>
      </c>
    </row>
    <row r="86" ht="21.75" customHeight="1" s="78">
      <c r="A86" s="85" t="n"/>
      <c r="B86" s="89" t="inlineStr">
        <is>
          <t>Señal de churn (semáforo):</t>
        </is>
      </c>
      <c r="C86" s="85" t="n"/>
      <c r="D86" s="89" t="n"/>
      <c r="E86" s="85" t="n"/>
      <c r="F86" s="85" t="n"/>
      <c r="G86" s="85" t="n"/>
      <c r="H86" s="85" t="n"/>
      <c r="I86" s="87" t="inlineStr">
        <is>
          <t>Verde / Amarillo / Naranja / Rojo</t>
        </is>
      </c>
    </row>
    <row r="87" ht="21.75" customHeight="1" s="78">
      <c r="A87" s="85" t="n"/>
      <c r="B87" s="89" t="inlineStr">
        <is>
          <t>¿Hay oportunidad de upselling?:</t>
        </is>
      </c>
      <c r="C87" s="85" t="n"/>
      <c r="D87" s="89" t="n"/>
      <c r="E87" s="85" t="n"/>
      <c r="F87" s="85" t="n"/>
      <c r="G87" s="85" t="n"/>
      <c r="H87" s="85" t="n"/>
      <c r="I87" s="87" t="inlineStr">
        <is>
          <t>Sí / No. Si Sí: ¿qué servicio adicional? ¿quién decide?</t>
        </is>
      </c>
    </row>
    <row r="88" ht="21.75" customHeight="1" s="78">
      <c r="A88" s="85" t="n"/>
      <c r="B88" s="89" t="inlineStr">
        <is>
          <t>¿Esta mesa es replicable como template?:</t>
        </is>
      </c>
      <c r="C88" s="85" t="n"/>
      <c r="D88" s="89" t="n"/>
      <c r="E88" s="85" t="n"/>
      <c r="F88" s="85" t="n"/>
      <c r="G88" s="85" t="n"/>
      <c r="H88" s="85" t="n"/>
      <c r="I88" s="87" t="inlineStr">
        <is>
          <t>Sí / No / Parcial. ¿Qué haría falta?</t>
        </is>
      </c>
    </row>
    <row r="89" ht="36" customHeight="1" s="78">
      <c r="A89" s="85" t="n"/>
      <c r="B89" s="89" t="inlineStr">
        <is>
          <t>¿Qué haría esta mesa excelente? (voz del líder):</t>
        </is>
      </c>
      <c r="C89" s="85" t="n"/>
      <c r="D89" s="90" t="n"/>
      <c r="E89" s="85" t="n"/>
      <c r="F89" s="85" t="n"/>
      <c r="G89" s="85" t="n"/>
      <c r="H89" s="85" t="n"/>
      <c r="I89" s="87" t="inlineStr">
        <is>
          <t>Respuesta literal del líder de mesa</t>
        </is>
      </c>
    </row>
    <row r="90" ht="36" customHeight="1" s="78">
      <c r="A90" s="85" t="n"/>
      <c r="B90" s="89" t="inlineStr">
        <is>
          <t>¿Qué automatizaría primero si tuviera IA?:</t>
        </is>
      </c>
      <c r="C90" s="85" t="n"/>
      <c r="D90" s="90" t="n"/>
      <c r="E90" s="85" t="n"/>
      <c r="F90" s="85" t="n"/>
      <c r="G90" s="85" t="n"/>
      <c r="H90" s="85" t="n"/>
      <c r="I90" s="87" t="inlineStr">
        <is>
          <t>Respuesta literal del líder de mesa</t>
        </is>
      </c>
    </row>
    <row r="91" ht="36" customHeight="1" s="78">
      <c r="A91" s="85" t="n"/>
      <c r="B91" s="89" t="inlineStr">
        <is>
          <t>Comentarios / contexto adicional:</t>
        </is>
      </c>
      <c r="C91" s="85" t="n"/>
      <c r="D91" s="90" t="n"/>
      <c r="E91" s="85" t="n"/>
      <c r="F91" s="85" t="n"/>
      <c r="G91" s="85" t="n"/>
      <c r="H91" s="85" t="n"/>
      <c r="I91" s="87" t="inlineStr">
        <is>
          <t>Cualquier dato relevante que no entró en los bloques anteriores</t>
        </is>
      </c>
    </row>
    <row r="92" ht="4.5" customHeight="1" s="78">
      <c r="A92" s="85" t="n"/>
      <c r="B92" s="85" t="n"/>
      <c r="C92" s="85" t="n"/>
      <c r="D92" s="85" t="n"/>
      <c r="E92" s="85" t="n"/>
      <c r="F92" s="85" t="n"/>
      <c r="G92" s="85" t="n"/>
      <c r="H92" s="85" t="n"/>
      <c r="I92" s="85" t="n"/>
    </row>
    <row r="93" ht="18" customHeight="1" s="78">
      <c r="A93" s="85" t="n"/>
      <c r="B93" s="97" t="inlineStr">
        <is>
          <t>PersonalSoft · CTO / SICTO · Mesa de Servicios de Nueva Generación · Julio 2026</t>
        </is>
      </c>
      <c r="C93" s="85" t="n"/>
      <c r="D93" s="85" t="n"/>
      <c r="E93" s="85" t="n"/>
      <c r="F93" s="85" t="n"/>
      <c r="G93" s="85" t="n"/>
      <c r="H93" s="85" t="n"/>
      <c r="I93" s="85" t="n"/>
    </row>
    <row r="94">
      <c r="A94" s="85" t="n"/>
      <c r="B94" s="85" t="n"/>
      <c r="C94" s="85" t="n"/>
      <c r="D94" s="85" t="n"/>
      <c r="E94" s="85" t="n"/>
      <c r="F94" s="85" t="n"/>
      <c r="G94" s="85" t="n"/>
      <c r="H94" s="85" t="n"/>
      <c r="I94" s="85" t="n"/>
    </row>
    <row r="95">
      <c r="A95" s="85" t="n"/>
      <c r="B95" s="85" t="n"/>
      <c r="C95" s="85" t="n"/>
      <c r="D95" s="85" t="n"/>
      <c r="E95" s="85" t="n"/>
      <c r="F95" s="85" t="n"/>
      <c r="G95" s="85" t="n"/>
      <c r="H95" s="85" t="n"/>
      <c r="I95" s="85" t="n"/>
    </row>
    <row r="96" ht="30" customHeight="1" s="78">
      <c r="A96" s="85" t="n"/>
      <c r="B96" s="98" t="inlineStr">
        <is>
          <t>MODO DE OPERACIÓN · SURA Venta Digital</t>
        </is>
      </c>
      <c r="C96" s="85" t="n"/>
      <c r="D96" s="85" t="n"/>
      <c r="E96" s="85" t="n"/>
      <c r="F96" s="85" t="n"/>
      <c r="G96" s="85" t="n"/>
      <c r="H96" s="85" t="n"/>
      <c r="I96" s="85" t="n"/>
    </row>
    <row r="97" ht="24" customHeight="1" s="78">
      <c r="A97" s="85" t="n"/>
      <c r="B97" s="99" t="inlineStr">
        <is>
          <t>¿Cómo opera hoy esta mesa? — Reactiva, Proactiva o Automatizada · Esta sección define qué tipo de mesa es y hacia dónde debe evolucionar</t>
        </is>
      </c>
      <c r="C97" s="85" t="n"/>
      <c r="D97" s="85" t="n"/>
      <c r="E97" s="85" t="n"/>
      <c r="F97" s="85" t="n"/>
      <c r="G97" s="85" t="n"/>
      <c r="H97" s="85" t="n"/>
      <c r="I97" s="85" t="n"/>
    </row>
    <row r="98" ht="19.5" customHeight="1" s="78">
      <c r="A98" s="85" t="n"/>
      <c r="B98" s="100" t="inlineStr">
        <is>
          <t>Tipo / Modo</t>
        </is>
      </c>
      <c r="C98" s="85" t="n"/>
      <c r="D98" s="85" t="n"/>
      <c r="E98" s="101" t="inlineStr">
        <is>
          <t>Características — cómo se ve en la práctica</t>
        </is>
      </c>
      <c r="F98" s="85" t="n"/>
      <c r="G98" s="85" t="n"/>
      <c r="H98" s="85" t="n"/>
      <c r="I98" s="85" t="n"/>
    </row>
    <row r="99" ht="27.75" customHeight="1" s="78">
      <c r="A99" s="85" t="n"/>
      <c r="B99" s="102" t="inlineStr">
        <is>
          <t>Mesa de Ayuda
(Help Desk)</t>
        </is>
      </c>
      <c r="C99" s="85" t="n"/>
      <c r="D99" s="103" t="inlineStr">
        <is>
          <t>Reactiva</t>
        </is>
      </c>
      <c r="E99" s="104" t="inlineStr">
        <is>
          <t>Solo responde cuando el usuario reporta · N1 sin escalamiento · Bus factor alto</t>
        </is>
      </c>
      <c r="F99" s="85" t="n"/>
      <c r="G99" s="85" t="n"/>
      <c r="H99" s="85" t="n"/>
      <c r="I99" s="85" t="n"/>
    </row>
    <row r="100" ht="27.75" customHeight="1" s="78">
      <c r="A100" s="85" t="n"/>
      <c r="B100" s="105" t="inlineStr">
        <is>
          <t>Mesa de Soporte</t>
        </is>
      </c>
      <c r="C100" s="85" t="n"/>
      <c r="D100" s="106" t="inlineStr">
        <is>
          <t>Reactiva + Proactiva</t>
        </is>
      </c>
      <c r="E100" s="107" t="inlineStr">
        <is>
          <t>N1+N2+N3 · Gestión de problemas · Algo de monitoreo · Documentación básica</t>
        </is>
      </c>
      <c r="F100" s="85" t="n"/>
      <c r="G100" s="85" t="n"/>
      <c r="H100" s="85" t="n"/>
      <c r="I100" s="85" t="n"/>
    </row>
    <row r="101" ht="27.75" customHeight="1" s="78">
      <c r="A101" s="85" t="n"/>
      <c r="B101" s="108" t="inlineStr">
        <is>
          <t>Mesa de Servicios
(Service Desk)</t>
        </is>
      </c>
      <c r="C101" s="85" t="n"/>
      <c r="D101" s="109" t="inlineStr">
        <is>
          <t>Proactiva e Integral</t>
        </is>
      </c>
      <c r="E101" s="110" t="inlineStr">
        <is>
          <t>SPOC · Catálogo · ANS medidos · Change Enablement · ITSM completo</t>
        </is>
      </c>
      <c r="F101" s="85" t="n"/>
      <c r="G101" s="85" t="n"/>
      <c r="H101" s="85" t="n"/>
      <c r="I101" s="85" t="n"/>
    </row>
    <row r="102" ht="27.75" customHeight="1" s="78">
      <c r="A102" s="85" t="n"/>
      <c r="B102" s="111" t="inlineStr">
        <is>
          <t>Torre de Control</t>
        </is>
      </c>
      <c r="C102" s="85" t="n"/>
      <c r="D102" s="112" t="inlineStr">
        <is>
          <t>Monitoreo y Observabilidad</t>
        </is>
      </c>
      <c r="E102" s="113" t="inlineStr">
        <is>
          <t>24x7 · AIOps · Detección antes del impacto · Alertas automáticas</t>
        </is>
      </c>
      <c r="F102" s="85" t="n"/>
      <c r="G102" s="85" t="n"/>
      <c r="H102" s="85" t="n"/>
      <c r="I102" s="85" t="n"/>
    </row>
    <row r="103" ht="27.75" customHeight="1" s="78">
      <c r="A103" s="85" t="n"/>
      <c r="B103" s="114" t="inlineStr">
        <is>
          <t>Mesa Gen Next</t>
        </is>
      </c>
      <c r="C103" s="85" t="n"/>
      <c r="D103" s="115" t="inlineStr">
        <is>
          <t>Autónoma e Inteligente</t>
        </is>
      </c>
      <c r="E103" s="116" t="inlineStr">
        <is>
          <t>IA activa · N0 real · Mejora continua · AIOps · Predicción de fallas</t>
        </is>
      </c>
      <c r="F103" s="85" t="n"/>
      <c r="G103" s="85" t="n"/>
      <c r="H103" s="85" t="n"/>
      <c r="I103" s="85" t="n"/>
    </row>
    <row r="104">
      <c r="A104" s="85" t="n"/>
      <c r="B104" s="85" t="n"/>
      <c r="C104" s="85" t="n"/>
      <c r="D104" s="85" t="n"/>
      <c r="E104" s="85" t="n"/>
      <c r="F104" s="85" t="n"/>
      <c r="G104" s="85" t="n"/>
      <c r="H104" s="85" t="n"/>
      <c r="I104" s="85" t="n"/>
    </row>
    <row r="105" ht="27.75" customHeight="1" s="78">
      <c r="A105" s="85" t="n"/>
      <c r="B105" s="117" t="inlineStr">
        <is>
          <t>¿Qué tipo de mesa es esta HOY?</t>
        </is>
      </c>
      <c r="C105" s="118" t="n"/>
      <c r="D105" s="119" t="inlineStr">
        <is>
          <t>↳ Mesa de Ayuda / Soporte / Service Desk / Torre de Control</t>
        </is>
      </c>
      <c r="E105" s="85" t="n"/>
      <c r="F105" s="85" t="n"/>
      <c r="G105" s="85" t="n"/>
      <c r="H105" s="85" t="n"/>
      <c r="I105" s="85" t="n"/>
    </row>
    <row r="106" ht="27.75" customHeight="1" s="78">
      <c r="A106" s="85" t="n"/>
      <c r="B106" s="117" t="inlineStr">
        <is>
          <t>¿Qué tipo debería ser en 12 meses?</t>
        </is>
      </c>
      <c r="C106" s="118" t="n"/>
      <c r="D106" s="119" t="inlineStr">
        <is>
          <t>↳ hacia dónde debe evolucionar con el modelo nuevo</t>
        </is>
      </c>
      <c r="E106" s="85" t="n"/>
      <c r="F106" s="85" t="n"/>
      <c r="G106" s="85" t="n"/>
      <c r="H106" s="85" t="n"/>
      <c r="I106" s="85" t="n"/>
    </row>
    <row r="107" ht="27.75" customHeight="1" s="78">
      <c r="A107" s="85" t="n"/>
      <c r="B107" s="117" t="inlineStr">
        <is>
          <t>Modo de operación actual:</t>
        </is>
      </c>
      <c r="C107" s="118" t="n"/>
      <c r="D107" s="119" t="inlineStr">
        <is>
          <t>↳ Reactivo / Proactivo / Autónomo</t>
        </is>
      </c>
      <c r="E107" s="85" t="n"/>
      <c r="F107" s="85" t="n"/>
      <c r="G107" s="85" t="n"/>
      <c r="H107" s="85" t="n"/>
      <c r="I107" s="85" t="n"/>
    </row>
    <row r="108">
      <c r="A108" s="85" t="n"/>
      <c r="B108" s="85" t="n"/>
      <c r="C108" s="85" t="n"/>
      <c r="D108" s="85" t="n"/>
      <c r="E108" s="85" t="n"/>
      <c r="F108" s="85" t="n"/>
      <c r="G108" s="85" t="n"/>
      <c r="H108" s="85" t="n"/>
      <c r="I108" s="85" t="n"/>
    </row>
    <row r="109" ht="21.75" customHeight="1" s="78">
      <c r="A109" s="85" t="n"/>
      <c r="B109" s="120" t="inlineStr">
        <is>
          <t>Preguntas clave — modo de operación real</t>
        </is>
      </c>
      <c r="C109" s="85" t="n"/>
      <c r="D109" s="85" t="n"/>
      <c r="E109" s="85" t="n"/>
      <c r="F109" s="85" t="n"/>
      <c r="G109" s="85" t="n"/>
      <c r="H109" s="85" t="n"/>
      <c r="I109" s="85" t="n"/>
    </row>
    <row r="110" ht="27.75" customHeight="1" s="78">
      <c r="A110" s="85" t="n"/>
      <c r="B110" s="121" t="inlineStr">
        <is>
          <t>¿Cómo se entera el equipo de que hay un problema?</t>
        </is>
      </c>
      <c r="C110" s="122" t="n"/>
      <c r="D110" s="119" t="inlineStr">
        <is>
          <t>↳ Solo cuando el usuario llama (reactivo) / Alertas / Antes del impacto (proactivo)</t>
        </is>
      </c>
      <c r="E110" s="85" t="n"/>
      <c r="F110" s="85" t="n"/>
      <c r="G110" s="85" t="n"/>
      <c r="H110" s="85" t="n"/>
      <c r="I110" s="85" t="n"/>
    </row>
    <row r="111" ht="27.75" customHeight="1" s="78">
      <c r="A111" s="85" t="n"/>
      <c r="B111" s="121" t="inlineStr">
        <is>
          <t>¿Hay monitoreo automatizado de los sistemas del cliente?</t>
        </is>
      </c>
      <c r="C111" s="122" t="n"/>
      <c r="D111" s="119" t="inlineStr">
        <is>
          <t>↳ Sí / No / Parcial · ¿qué herramienta? ¿qué sistemas monitorea?</t>
        </is>
      </c>
      <c r="E111" s="85" t="n"/>
      <c r="F111" s="85" t="n"/>
      <c r="G111" s="85" t="n"/>
      <c r="H111" s="85" t="n"/>
      <c r="I111" s="85" t="n"/>
    </row>
    <row r="112" ht="27.75" customHeight="1" s="78">
      <c r="A112" s="85" t="n"/>
      <c r="B112" s="121" t="inlineStr">
        <is>
          <t>¿Se detectan incidentes ANTES de que el usuario los reporte?</t>
        </is>
      </c>
      <c r="C112" s="122" t="n"/>
      <c r="D112" s="119" t="inlineStr">
        <is>
          <t>↳ Sí (proactiva) / A veces / No (reactiva) — dar un ejemplo concreto</t>
        </is>
      </c>
      <c r="E112" s="85" t="n"/>
      <c r="F112" s="85" t="n"/>
      <c r="G112" s="85" t="n"/>
      <c r="H112" s="85" t="n"/>
      <c r="I112" s="85" t="n"/>
    </row>
    <row r="113" ht="27.75" customHeight="1" s="78">
      <c r="A113" s="85" t="n"/>
      <c r="B113" s="121" t="inlineStr">
        <is>
          <t>¿Cuántos tickets se resuelven sin intervención humana (% automatizados)?</t>
        </is>
      </c>
      <c r="C113" s="122" t="n"/>
      <c r="D113" s="119" t="inlineStr">
        <is>
          <t>↳ ej: 0% todo manual · 10% · 30% — cifra estimada</t>
        </is>
      </c>
      <c r="E113" s="85" t="n"/>
      <c r="F113" s="85" t="n"/>
      <c r="G113" s="85" t="n"/>
      <c r="H113" s="85" t="n"/>
      <c r="I113" s="85" t="n"/>
    </row>
    <row r="114" ht="27.75" customHeight="1" s="78">
      <c r="A114" s="85" t="n"/>
      <c r="B114" s="121" t="inlineStr">
        <is>
          <t>¿El usuario puede resolver algo solo sin contactar la mesa?</t>
        </is>
      </c>
      <c r="C114" s="122" t="n"/>
      <c r="D114" s="119" t="inlineStr">
        <is>
          <t>↳ Sí (portal activo) / No / En construcción · ¿qué puede resolver solo?</t>
        </is>
      </c>
      <c r="E114" s="85" t="n"/>
      <c r="F114" s="85" t="n"/>
      <c r="G114" s="85" t="n"/>
      <c r="H114" s="85" t="n"/>
      <c r="I114" s="85" t="n"/>
    </row>
    <row r="115" ht="27.75" customHeight="1" s="78">
      <c r="A115" s="85" t="n"/>
      <c r="B115" s="121" t="inlineStr">
        <is>
          <t>¿Cuánto tiempo tarda hacer el informe mensual del cliente?</t>
        </is>
      </c>
      <c r="C115" s="122" t="n"/>
      <c r="D115" s="119" t="inlineStr">
        <is>
          <t>↳ ej: 2 horas / medio día / un día completo — ¿es manual o automático?</t>
        </is>
      </c>
      <c r="E115" s="85" t="n"/>
      <c r="F115" s="85" t="n"/>
      <c r="G115" s="85" t="n"/>
      <c r="H115" s="85" t="n"/>
      <c r="I115" s="85" t="n"/>
    </row>
    <row r="116" ht="27.75" customHeight="1" s="78">
      <c r="A116" s="85" t="n"/>
      <c r="B116" s="121" t="inlineStr">
        <is>
          <t>¿Se mide la satisfacción del usuario (CSAT/XLA) sistemáticamente?</t>
        </is>
      </c>
      <c r="C116" s="122" t="n"/>
      <c r="D116" s="119" t="inlineStr">
        <is>
          <t>↳ Sí / No / Parcial · ¿cuándo fue la última medición?</t>
        </is>
      </c>
      <c r="E116" s="85" t="n"/>
      <c r="F116" s="85" t="n"/>
      <c r="G116" s="85" t="n"/>
      <c r="H116" s="85" t="n"/>
      <c r="I116" s="85" t="n"/>
    </row>
    <row r="117" ht="27.75" customHeight="1" s="78">
      <c r="A117" s="85" t="n"/>
      <c r="B117" s="121" t="inlineStr">
        <is>
          <t>Si tuvieras presupuesto para 1 mejora, ¿qué harías primero?</t>
        </is>
      </c>
      <c r="C117" s="122" t="n"/>
      <c r="D117" s="119" t="inlineStr">
        <is>
          <t>↳ La respuesta más valiosa para el diseño del servicio nuevo</t>
        </is>
      </c>
      <c r="E117" s="85" t="n"/>
      <c r="F117" s="85" t="n"/>
      <c r="G117" s="85" t="n"/>
      <c r="H117" s="85" t="n"/>
      <c r="I117" s="85" t="n"/>
    </row>
  </sheetData>
  <mergeCells count="185">
    <mergeCell ref="B91:C91"/>
    <mergeCell ref="D35:H35"/>
    <mergeCell ref="B100:C100"/>
    <mergeCell ref="B62:I62"/>
    <mergeCell ref="D10:H10"/>
    <mergeCell ref="D90:H90"/>
    <mergeCell ref="B22:C22"/>
    <mergeCell ref="B102:C102"/>
    <mergeCell ref="D50:E50"/>
    <mergeCell ref="D45:E45"/>
    <mergeCell ref="B12:C12"/>
    <mergeCell ref="B96:I96"/>
    <mergeCell ref="B21:C21"/>
    <mergeCell ref="B86:C86"/>
    <mergeCell ref="E103:I103"/>
    <mergeCell ref="D106:I106"/>
    <mergeCell ref="B67:C67"/>
    <mergeCell ref="D11:H11"/>
    <mergeCell ref="B101:C101"/>
    <mergeCell ref="B14:C14"/>
    <mergeCell ref="D48:E48"/>
    <mergeCell ref="D66:H66"/>
    <mergeCell ref="B13:C13"/>
    <mergeCell ref="B69:C69"/>
    <mergeCell ref="D117:I117"/>
    <mergeCell ref="B38:C38"/>
    <mergeCell ref="B82:I82"/>
    <mergeCell ref="B78:C78"/>
    <mergeCell ref="D28:H28"/>
    <mergeCell ref="D110:I110"/>
    <mergeCell ref="B19:I19"/>
    <mergeCell ref="D37:H37"/>
    <mergeCell ref="B40:C40"/>
    <mergeCell ref="B49:C49"/>
    <mergeCell ref="D9:H9"/>
    <mergeCell ref="B55:C55"/>
    <mergeCell ref="B24:C24"/>
    <mergeCell ref="D30:H30"/>
    <mergeCell ref="D39:H39"/>
    <mergeCell ref="B64:C64"/>
    <mergeCell ref="B33:C33"/>
    <mergeCell ref="B51:C51"/>
    <mergeCell ref="D51:E51"/>
    <mergeCell ref="D29:H29"/>
    <mergeCell ref="D23:H23"/>
    <mergeCell ref="D38:H38"/>
    <mergeCell ref="B76:I76"/>
    <mergeCell ref="B63:C63"/>
    <mergeCell ref="B26:C26"/>
    <mergeCell ref="B41:C41"/>
    <mergeCell ref="D111:I111"/>
    <mergeCell ref="B35:C35"/>
    <mergeCell ref="B16:C16"/>
    <mergeCell ref="B98:D98"/>
    <mergeCell ref="B25:C25"/>
    <mergeCell ref="B90:C90"/>
    <mergeCell ref="B109:I109"/>
    <mergeCell ref="D63:H63"/>
    <mergeCell ref="B66:C66"/>
    <mergeCell ref="D80:H80"/>
    <mergeCell ref="B27:C27"/>
    <mergeCell ref="G48:H48"/>
    <mergeCell ref="D65:H65"/>
    <mergeCell ref="B11:C11"/>
    <mergeCell ref="D57:H57"/>
    <mergeCell ref="D27:H27"/>
    <mergeCell ref="D41:H41"/>
    <mergeCell ref="D114:I114"/>
    <mergeCell ref="E5:H5"/>
    <mergeCell ref="D17:H17"/>
    <mergeCell ref="G49:H49"/>
    <mergeCell ref="D47:E47"/>
    <mergeCell ref="D91:H91"/>
    <mergeCell ref="B5:D5"/>
    <mergeCell ref="B29:C29"/>
    <mergeCell ref="D113:I113"/>
    <mergeCell ref="B103:C103"/>
    <mergeCell ref="B37:C37"/>
    <mergeCell ref="B84:C84"/>
    <mergeCell ref="D115:I115"/>
    <mergeCell ref="D74:H74"/>
    <mergeCell ref="D12:H12"/>
    <mergeCell ref="D68:H68"/>
    <mergeCell ref="D25:H25"/>
    <mergeCell ref="D83:H83"/>
    <mergeCell ref="B15:C15"/>
    <mergeCell ref="D55:H55"/>
    <mergeCell ref="B80:C80"/>
    <mergeCell ref="B89:C89"/>
    <mergeCell ref="D67:H67"/>
    <mergeCell ref="D14:H14"/>
    <mergeCell ref="B79:C79"/>
    <mergeCell ref="D85:H85"/>
    <mergeCell ref="D54:H54"/>
    <mergeCell ref="D60:H60"/>
    <mergeCell ref="B54:C54"/>
    <mergeCell ref="D69:H69"/>
    <mergeCell ref="B72:C72"/>
    <mergeCell ref="E98:I98"/>
    <mergeCell ref="B56:C56"/>
    <mergeCell ref="B71:C71"/>
    <mergeCell ref="D40:H40"/>
    <mergeCell ref="B93:I93"/>
    <mergeCell ref="B58:C58"/>
    <mergeCell ref="B52:C52"/>
    <mergeCell ref="D21:H21"/>
    <mergeCell ref="D52:E52"/>
    <mergeCell ref="B77:I77"/>
    <mergeCell ref="D112:I112"/>
    <mergeCell ref="D49:E49"/>
    <mergeCell ref="B60:C60"/>
    <mergeCell ref="B17:C17"/>
    <mergeCell ref="B57:C57"/>
    <mergeCell ref="B88:C88"/>
    <mergeCell ref="D16:H16"/>
    <mergeCell ref="D87:H87"/>
    <mergeCell ref="B34:C34"/>
    <mergeCell ref="B28:C28"/>
    <mergeCell ref="B99:C99"/>
    <mergeCell ref="D71:H71"/>
    <mergeCell ref="B9:C9"/>
    <mergeCell ref="D58:H58"/>
    <mergeCell ref="B83:C83"/>
    <mergeCell ref="G51:H51"/>
    <mergeCell ref="B30:C30"/>
    <mergeCell ref="D8:H8"/>
    <mergeCell ref="E100:I100"/>
    <mergeCell ref="D73:H73"/>
    <mergeCell ref="B45:C45"/>
    <mergeCell ref="B85:C85"/>
    <mergeCell ref="G50:H50"/>
    <mergeCell ref="D105:I105"/>
    <mergeCell ref="E102:I102"/>
    <mergeCell ref="B32:I32"/>
    <mergeCell ref="D59:H59"/>
    <mergeCell ref="B97:I97"/>
    <mergeCell ref="B47:C47"/>
    <mergeCell ref="G52:H52"/>
    <mergeCell ref="B7:I7"/>
    <mergeCell ref="D34:H34"/>
    <mergeCell ref="B59:C59"/>
    <mergeCell ref="D107:I107"/>
    <mergeCell ref="D116:I116"/>
    <mergeCell ref="B46:C46"/>
    <mergeCell ref="B3:I3"/>
    <mergeCell ref="D46:E46"/>
    <mergeCell ref="D84:H84"/>
    <mergeCell ref="D22:H22"/>
    <mergeCell ref="D36:H36"/>
    <mergeCell ref="B43:I43"/>
    <mergeCell ref="B39:C39"/>
    <mergeCell ref="B70:C70"/>
    <mergeCell ref="B48:C48"/>
    <mergeCell ref="D86:H86"/>
    <mergeCell ref="B2:I2"/>
    <mergeCell ref="D13:H13"/>
    <mergeCell ref="B23:C23"/>
    <mergeCell ref="B8:C8"/>
    <mergeCell ref="D70:H70"/>
    <mergeCell ref="B73:C73"/>
    <mergeCell ref="B87:C87"/>
    <mergeCell ref="B44:I44"/>
    <mergeCell ref="E99:I99"/>
    <mergeCell ref="D72:H72"/>
    <mergeCell ref="D78:H78"/>
    <mergeCell ref="B10:C10"/>
    <mergeCell ref="G45:H45"/>
    <mergeCell ref="D56:H56"/>
    <mergeCell ref="B65:C65"/>
    <mergeCell ref="E101:I101"/>
    <mergeCell ref="B74:C74"/>
    <mergeCell ref="B68:C68"/>
    <mergeCell ref="D15:H15"/>
    <mergeCell ref="G47:H47"/>
    <mergeCell ref="D24:H24"/>
    <mergeCell ref="D64:H64"/>
    <mergeCell ref="B20:I20"/>
    <mergeCell ref="D33:H33"/>
    <mergeCell ref="D89:H89"/>
    <mergeCell ref="B36:C36"/>
    <mergeCell ref="G46:H46"/>
    <mergeCell ref="B50:C50"/>
    <mergeCell ref="D79:H79"/>
    <mergeCell ref="D88:H88"/>
    <mergeCell ref="D26:H26"/>
  </mergeCells>
  <dataValidations count="2">
    <dataValidation sqref="C105:C106" showDropDown="0" showInputMessage="0" showErrorMessage="0" allowBlank="1" type="list" errorStyle="stop" operator="between">
      <formula1>Listas!$B$2:$B$6</formula1>
      <formula2>0</formula2>
    </dataValidation>
    <dataValidation sqref="C107" showDropDown="0" showInputMessage="0" showErrorMessage="0" allowBlank="1" type="list" errorStyle="stop" operator="between">
      <formula1>Listas!$P$1:$P$6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001F7A4D"/>
    <outlinePr summaryBelow="1" summaryRight="1"/>
    <pageSetUpPr fitToPage="0"/>
  </sheetPr>
  <dimension ref="A1:I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0" customWidth="1" style="77" min="2" max="2"/>
    <col width="18" customWidth="1" style="77" min="3" max="8"/>
    <col width="22" customWidth="1" style="77" min="9" max="9"/>
  </cols>
  <sheetData>
    <row r="1" ht="4.5" customHeight="1" s="78">
      <c r="A1" s="85" t="n"/>
      <c r="B1" s="85" t="n"/>
      <c r="C1" s="85" t="n"/>
      <c r="D1" s="85" t="n"/>
      <c r="E1" s="85" t="n"/>
      <c r="F1" s="85" t="n"/>
      <c r="G1" s="85" t="n"/>
      <c r="H1" s="85" t="n"/>
      <c r="I1" s="85" t="n"/>
    </row>
    <row r="2" ht="31.5" customHeight="1" s="78">
      <c r="A2" s="85" t="n"/>
      <c r="B2" s="81" t="inlineStr">
        <is>
          <t>Caracterización · SURA Torre Control</t>
        </is>
      </c>
      <c r="C2" s="85" t="n"/>
      <c r="D2" s="85" t="n"/>
      <c r="E2" s="85" t="n"/>
      <c r="F2" s="85" t="n"/>
      <c r="G2" s="85" t="n"/>
      <c r="H2" s="85" t="n"/>
      <c r="I2" s="85" t="n"/>
    </row>
    <row r="3" ht="18" customHeight="1" s="78">
      <c r="A3" s="85" t="n"/>
      <c r="B3" s="82" t="inlineStr">
        <is>
          <t>PersonalSoft · Mesa de Servicios de Nueva Generación · Julio 2026</t>
        </is>
      </c>
      <c r="C3" s="85" t="n"/>
      <c r="D3" s="85" t="n"/>
      <c r="E3" s="85" t="n"/>
      <c r="F3" s="85" t="n"/>
      <c r="G3" s="85" t="n"/>
      <c r="H3" s="85" t="n"/>
      <c r="I3" s="85" t="n"/>
    </row>
    <row r="4" ht="4.5" customHeight="1" s="78">
      <c r="A4" s="85" t="n"/>
      <c r="B4" s="85" t="n"/>
      <c r="C4" s="85" t="n"/>
      <c r="D4" s="85" t="n"/>
      <c r="E4" s="85" t="n"/>
      <c r="F4" s="85" t="n"/>
      <c r="G4" s="85" t="n"/>
      <c r="H4" s="85" t="n"/>
      <c r="I4" s="85" t="n"/>
    </row>
    <row r="5" ht="15.75" customHeight="1" s="78">
      <c r="A5" s="85" t="n"/>
      <c r="B5" s="86" t="inlineStr">
        <is>
          <t>Blanco = dato requerido (fuente real)</t>
        </is>
      </c>
      <c r="C5" s="85" t="n"/>
      <c r="D5" s="85" t="n"/>
      <c r="E5" s="87" t="inlineStr">
        <is>
          <t>Amarillo = estimación aceptada si no hay dato exacto</t>
        </is>
      </c>
      <c r="F5" s="85" t="n"/>
      <c r="G5" s="85" t="n"/>
      <c r="H5" s="85" t="n"/>
      <c r="I5" s="87" t="inlineStr">
        <is>
          <t>Col. I = Fuente / nota</t>
        </is>
      </c>
    </row>
    <row r="6" ht="4.5" customHeight="1" s="78">
      <c r="A6" s="85" t="n"/>
      <c r="B6" s="85" t="n"/>
      <c r="C6" s="85" t="n"/>
      <c r="D6" s="85" t="n"/>
      <c r="E6" s="85" t="n"/>
      <c r="F6" s="85" t="n"/>
      <c r="G6" s="85" t="n"/>
      <c r="H6" s="85" t="n"/>
      <c r="I6" s="85" t="n"/>
    </row>
    <row r="7" ht="21.75" customHeight="1" s="78">
      <c r="A7" s="85" t="n"/>
      <c r="B7" s="88" t="inlineStr">
        <is>
          <t>①  IDENTIDAD Y ALCANCE  ·  5 min</t>
        </is>
      </c>
      <c r="C7" s="85" t="n"/>
      <c r="D7" s="85" t="n"/>
      <c r="E7" s="85" t="n"/>
      <c r="F7" s="85" t="n"/>
      <c r="G7" s="85" t="n"/>
      <c r="H7" s="85" t="n"/>
      <c r="I7" s="85" t="n"/>
    </row>
    <row r="8" ht="21.75" customHeight="1" s="78">
      <c r="A8" s="85" t="n"/>
      <c r="B8" s="89" t="inlineStr">
        <is>
          <t>Mesa / Cliente:</t>
        </is>
      </c>
      <c r="C8" s="85" t="n"/>
      <c r="D8" s="90" t="n"/>
      <c r="E8" s="85" t="n"/>
      <c r="F8" s="85" t="n"/>
      <c r="G8" s="85" t="n"/>
      <c r="H8" s="85" t="n"/>
      <c r="I8" s="87" t="inlineStr">
        <is>
          <t>Nombre completo de la mesa y del cliente</t>
        </is>
      </c>
    </row>
    <row r="9" ht="21.75" customHeight="1" s="78">
      <c r="A9" s="85" t="n"/>
      <c r="B9" s="89" t="inlineStr">
        <is>
          <t>Tipo de mesa:</t>
        </is>
      </c>
      <c r="C9" s="85" t="n"/>
      <c r="D9" s="89" t="n"/>
      <c r="E9" s="85" t="n"/>
      <c r="F9" s="85" t="n"/>
      <c r="G9" s="85" t="n"/>
      <c r="H9" s="85" t="n"/>
      <c r="I9" s="87" t="inlineStr">
        <is>
          <t>Mesa de Ayuda / Mesa de Soporte / Torre de Control / Mesa Híbrida</t>
        </is>
      </c>
    </row>
    <row r="10" ht="21.75" customHeight="1" s="78">
      <c r="A10" s="85" t="n"/>
      <c r="B10" s="89" t="inlineStr">
        <is>
          <t>Cliente:</t>
        </is>
      </c>
      <c r="C10" s="85" t="n"/>
      <c r="D10" s="90" t="n"/>
      <c r="E10" s="85" t="n"/>
      <c r="F10" s="85" t="n"/>
      <c r="G10" s="85" t="n"/>
      <c r="H10" s="85" t="n"/>
      <c r="I10" s="87" t="inlineStr">
        <is>
          <t>SURA / Bancolombia / XM / AES / Medicarte / Centro América / Otro</t>
        </is>
      </c>
    </row>
    <row r="11" ht="21.75" customHeight="1" s="78">
      <c r="A11" s="85" t="n"/>
      <c r="B11" s="89" t="inlineStr">
        <is>
          <t>Sector:</t>
        </is>
      </c>
      <c r="C11" s="85" t="n"/>
      <c r="D11" s="90" t="n"/>
      <c r="E11" s="85" t="n"/>
      <c r="F11" s="85" t="n"/>
      <c r="G11" s="85" t="n"/>
      <c r="H11" s="85" t="n"/>
      <c r="I11" s="87" t="inlineStr">
        <is>
          <t>Banca y Seguros / Salud / Energía / Retail / Manufactura / Gobierno / Otro</t>
        </is>
      </c>
    </row>
    <row r="12" ht="21.75" customHeight="1" s="78">
      <c r="A12" s="85" t="n"/>
      <c r="B12" s="89" t="inlineStr">
        <is>
          <t>Criticidad para el negocio:</t>
        </is>
      </c>
      <c r="C12" s="85" t="n"/>
      <c r="D12" s="89" t="n"/>
      <c r="E12" s="85" t="n"/>
      <c r="F12" s="85" t="n"/>
      <c r="G12" s="85" t="n"/>
      <c r="H12" s="85" t="n"/>
      <c r="I12" s="87" t="inlineStr">
        <is>
          <t>Alta (PDN directo) / Media (impacto usuarios) / Baja (interna)</t>
        </is>
      </c>
    </row>
    <row r="13" ht="21.75" customHeight="1" s="78">
      <c r="A13" s="85" t="n"/>
      <c r="B13" s="89" t="inlineStr">
        <is>
          <t>Sabor de servicio PS:</t>
        </is>
      </c>
      <c r="C13" s="85" t="n"/>
      <c r="D13" s="89" t="n"/>
      <c r="E13" s="85" t="n"/>
      <c r="F13" s="85" t="n"/>
      <c r="G13" s="85" t="n"/>
      <c r="H13" s="85" t="n"/>
      <c r="I13" s="87" t="inlineStr">
        <is>
          <t>Equipo dedicado / Soporte compartido / Express (Alfa)</t>
        </is>
      </c>
    </row>
    <row r="14" ht="21.75" customHeight="1" s="78">
      <c r="A14" s="85" t="n"/>
      <c r="B14" s="89" t="inlineStr">
        <is>
          <t>Horario contractual:</t>
        </is>
      </c>
      <c r="C14" s="85" t="n"/>
      <c r="D14" s="89" t="n"/>
      <c r="E14" s="85" t="n"/>
      <c r="F14" s="85" t="n"/>
      <c r="G14" s="85" t="n"/>
      <c r="H14" s="85" t="n"/>
      <c r="I14" s="87" t="inlineStr">
        <is>
          <t>Ej: L-V 7am-6pm · 5x8 · 7x24h</t>
        </is>
      </c>
    </row>
    <row r="15" ht="21.75" customHeight="1" s="78">
      <c r="A15" s="85" t="n"/>
      <c r="B15" s="89" t="inlineStr">
        <is>
          <t>Horario real (operación efectiva):</t>
        </is>
      </c>
      <c r="C15" s="85" t="n"/>
      <c r="D15" s="90" t="n"/>
      <c r="E15" s="85" t="n"/>
      <c r="F15" s="85" t="n"/>
      <c r="G15" s="85" t="n"/>
      <c r="H15" s="85" t="n"/>
      <c r="I15" s="87" t="inlineStr">
        <is>
          <t>¿El horario real coincide con el contractual? ¿Hay horas extra?</t>
        </is>
      </c>
    </row>
    <row r="16" ht="21.75" customHeight="1" s="78">
      <c r="A16" s="85" t="n"/>
      <c r="B16" s="89" t="inlineStr">
        <is>
          <t>GAP horario — h/semana adicionales no reconocidas:</t>
        </is>
      </c>
      <c r="C16" s="85" t="n"/>
      <c r="D16" s="90" t="n"/>
      <c r="E16" s="85" t="n"/>
      <c r="F16" s="85" t="n"/>
      <c r="G16" s="85" t="n"/>
      <c r="H16" s="85" t="n"/>
      <c r="I16" s="87" t="inlineStr">
        <is>
          <t>Estimado en horas semanales</t>
        </is>
      </c>
    </row>
    <row r="17" ht="39.75" customHeight="1" s="78">
      <c r="A17" s="85" t="n"/>
      <c r="B17" s="89" t="inlineStr">
        <is>
          <t>Descripción del servicio (2-3 líneas):</t>
        </is>
      </c>
      <c r="C17" s="85" t="n"/>
      <c r="D17" s="90" t="n"/>
      <c r="E17" s="85" t="n"/>
      <c r="F17" s="85" t="n"/>
      <c r="G17" s="85" t="n"/>
      <c r="H17" s="85" t="n"/>
      <c r="I17" s="87" t="inlineStr">
        <is>
          <t>Qué resuelve esta mesa, qué aplicaciones soporta</t>
        </is>
      </c>
    </row>
    <row r="18" ht="6" customHeight="1" s="78">
      <c r="A18" s="85" t="n"/>
      <c r="B18" s="85" t="n"/>
      <c r="C18" s="85" t="n"/>
      <c r="D18" s="85" t="n"/>
      <c r="E18" s="85" t="n"/>
      <c r="F18" s="85" t="n"/>
      <c r="G18" s="85" t="n"/>
      <c r="H18" s="85" t="n"/>
      <c r="I18" s="85" t="n"/>
    </row>
    <row r="19" ht="21.75" customHeight="1" s="78">
      <c r="A19" s="85" t="n"/>
      <c r="B19" s="88" t="inlineStr">
        <is>
          <t>②  VOLUMETRÍA Y ECONOMÍA  ·  10 min</t>
        </is>
      </c>
      <c r="C19" s="85" t="n"/>
      <c r="D19" s="85" t="n"/>
      <c r="E19" s="85" t="n"/>
      <c r="F19" s="85" t="n"/>
      <c r="G19" s="85" t="n"/>
      <c r="H19" s="85" t="n"/>
      <c r="I19" s="85" t="n"/>
    </row>
    <row r="20" ht="18" customHeight="1" s="78">
      <c r="A20" s="85" t="n"/>
      <c r="B20" s="89" t="inlineStr">
        <is>
          <t>Volumetría mensual promedio</t>
        </is>
      </c>
      <c r="C20" s="85" t="n"/>
      <c r="D20" s="85" t="n"/>
      <c r="E20" s="85" t="n"/>
      <c r="F20" s="85" t="n"/>
      <c r="G20" s="85" t="n"/>
      <c r="H20" s="85" t="n"/>
      <c r="I20" s="85" t="n"/>
    </row>
    <row r="21" ht="21.75" customHeight="1" s="78">
      <c r="A21" s="85" t="n"/>
      <c r="B21" s="89" t="inlineStr">
        <is>
          <t>Total tickets / mes:</t>
        </is>
      </c>
      <c r="C21" s="85" t="n"/>
      <c r="D21" s="89" t="n"/>
      <c r="E21" s="85" t="n"/>
      <c r="F21" s="85" t="n"/>
      <c r="G21" s="85" t="n"/>
      <c r="H21" s="85" t="n"/>
      <c r="I21" s="87" t="inlineStr">
        <is>
          <t>Fuente ideal: herramienta de tickets. Estimado OK si no hay datos.</t>
        </is>
      </c>
    </row>
    <row r="22" ht="21.75" customHeight="1" s="78">
      <c r="A22" s="85" t="n"/>
      <c r="B22" s="89" t="inlineStr">
        <is>
          <t xml:space="preserve">  → % Incidentes (del total):</t>
        </is>
      </c>
      <c r="C22" s="85" t="n"/>
      <c r="D22" s="89" t="n"/>
      <c r="E22" s="85" t="n"/>
      <c r="F22" s="85" t="n"/>
      <c r="G22" s="85" t="n"/>
      <c r="H22" s="85" t="n"/>
      <c r="I22" s="87" t="inlineStr">
        <is>
          <t>Ej: 60%</t>
        </is>
      </c>
    </row>
    <row r="23" ht="21.75" customHeight="1" s="78">
      <c r="A23" s="85" t="n"/>
      <c r="B23" s="89" t="inlineStr">
        <is>
          <t xml:space="preserve">  → % Solicitudes (del total):</t>
        </is>
      </c>
      <c r="C23" s="85" t="n"/>
      <c r="D23" s="89" t="n"/>
      <c r="E23" s="85" t="n"/>
      <c r="F23" s="85" t="n"/>
      <c r="G23" s="85" t="n"/>
      <c r="H23" s="85" t="n"/>
      <c r="I23" s="87" t="inlineStr">
        <is>
          <t>Ej: 35%</t>
        </is>
      </c>
    </row>
    <row r="24" ht="21.75" customHeight="1" s="78">
      <c r="A24" s="85" t="n"/>
      <c r="B24" s="89" t="inlineStr">
        <is>
          <t xml:space="preserve">  → % Problemas / RCA (del total):</t>
        </is>
      </c>
      <c r="C24" s="85" t="n"/>
      <c r="D24" s="89" t="n"/>
      <c r="E24" s="85" t="n"/>
      <c r="F24" s="85" t="n"/>
      <c r="G24" s="85" t="n"/>
      <c r="H24" s="85" t="n"/>
      <c r="I24" s="87" t="inlineStr">
        <is>
          <t>Ej: 5%</t>
        </is>
      </c>
    </row>
    <row r="25" ht="21.75" customHeight="1" s="78">
      <c r="A25" s="85" t="n"/>
      <c r="B25" s="89" t="inlineStr">
        <is>
          <t xml:space="preserve">  → % Tickets Críticos / P1:</t>
        </is>
      </c>
      <c r="C25" s="85" t="n"/>
      <c r="D25" s="89" t="n"/>
      <c r="E25" s="85" t="n"/>
      <c r="F25" s="85" t="n"/>
      <c r="G25" s="85" t="n"/>
      <c r="H25" s="85" t="n"/>
      <c r="I25" s="87" t="inlineStr">
        <is>
          <t>Tickets con impacto PDN o multi-usuario</t>
        </is>
      </c>
    </row>
    <row r="26" ht="21.75" customHeight="1" s="78">
      <c r="A26" s="85" t="n"/>
      <c r="B26" s="89" t="inlineStr">
        <is>
          <t>Canales de entrada activos:</t>
        </is>
      </c>
      <c r="C26" s="85" t="n"/>
      <c r="D26" s="89" t="n"/>
      <c r="E26" s="85" t="n"/>
      <c r="F26" s="85" t="n"/>
      <c r="G26" s="85" t="n"/>
      <c r="H26" s="85" t="n"/>
      <c r="I26" s="87" t="inlineStr">
        <is>
          <t>Teléfono / Portal / Correo / Chat / WhatsApp / Presencial</t>
        </is>
      </c>
    </row>
    <row r="27" ht="21.75" customHeight="1" s="78">
      <c r="A27" s="85" t="n"/>
      <c r="B27" s="89" t="inlineStr">
        <is>
          <t>% tickets fuera de horario (sin atender en SLA):</t>
        </is>
      </c>
      <c r="C27" s="85" t="n"/>
      <c r="D27" s="89" t="n"/>
      <c r="E27" s="85" t="n"/>
      <c r="F27" s="85" t="n"/>
      <c r="G27" s="85" t="n"/>
      <c r="H27" s="85" t="n"/>
      <c r="I27" s="87" t="inlineStr">
        <is>
          <t>Tickets que llegan pero no se atienden en horario pactado</t>
        </is>
      </c>
    </row>
    <row r="28" ht="21.75" customHeight="1" s="78">
      <c r="A28" s="85" t="n"/>
      <c r="B28" s="89" t="inlineStr">
        <is>
          <t>Pico de demanda (día / hora):</t>
        </is>
      </c>
      <c r="C28" s="85" t="n"/>
      <c r="D28" s="89" t="n"/>
      <c r="E28" s="85" t="n"/>
      <c r="F28" s="85" t="n"/>
      <c r="G28" s="85" t="n"/>
      <c r="H28" s="85" t="n"/>
      <c r="I28" s="87" t="inlineStr">
        <is>
          <t>Ej: Lunes 9-11am · Cierre de mes · Despliegues viernes</t>
        </is>
      </c>
    </row>
    <row r="29" ht="21.75" customHeight="1" s="78">
      <c r="A29" s="85" t="n"/>
      <c r="B29" s="89" t="inlineStr">
        <is>
          <t>MTTR promedio estimado (horas):</t>
        </is>
      </c>
      <c r="C29" s="85" t="n"/>
      <c r="D29" s="89" t="n"/>
      <c r="E29" s="85" t="n"/>
      <c r="F29" s="85" t="n"/>
      <c r="G29" s="85" t="n"/>
      <c r="H29" s="85" t="n"/>
      <c r="I29" s="87" t="inlineStr">
        <is>
          <t>Tiempo medio de resolución. Por prioridad si es posible.</t>
        </is>
      </c>
    </row>
    <row r="30" ht="21.75" customHeight="1" s="78">
      <c r="A30" s="85" t="n"/>
      <c r="B30" s="89" t="inlineStr">
        <is>
          <t>FCR — First Call Resolution % (estimado):</t>
        </is>
      </c>
      <c r="C30" s="85" t="n"/>
      <c r="D30" s="89" t="n"/>
      <c r="E30" s="85" t="n"/>
      <c r="F30" s="85" t="n"/>
      <c r="G30" s="85" t="n"/>
      <c r="H30" s="85" t="n"/>
      <c r="I30" s="87" t="inlineStr">
        <is>
          <t>% resuelto en primer contacto sin escalar a N2/N3</t>
        </is>
      </c>
    </row>
    <row r="31" ht="3.75" customHeight="1" s="78">
      <c r="A31" s="85" t="n"/>
      <c r="B31" s="85" t="n"/>
      <c r="C31" s="85" t="n"/>
      <c r="D31" s="85" t="n"/>
      <c r="E31" s="85" t="n"/>
      <c r="F31" s="85" t="n"/>
      <c r="G31" s="85" t="n"/>
      <c r="H31" s="85" t="n"/>
      <c r="I31" s="85" t="n"/>
    </row>
    <row r="32" ht="18" customHeight="1" s="78">
      <c r="A32" s="85" t="n"/>
      <c r="B32" s="89" t="inlineStr">
        <is>
          <t>Modelo económico y contrato</t>
        </is>
      </c>
      <c r="C32" s="85" t="n"/>
      <c r="D32" s="85" t="n"/>
      <c r="E32" s="85" t="n"/>
      <c r="F32" s="85" t="n"/>
      <c r="G32" s="85" t="n"/>
      <c r="H32" s="85" t="n"/>
      <c r="I32" s="85" t="n"/>
    </row>
    <row r="33" ht="21.75" customHeight="1" s="78">
      <c r="A33" s="85" t="n"/>
      <c r="B33" s="89" t="inlineStr">
        <is>
          <t>Modelo de cobro:</t>
        </is>
      </c>
      <c r="C33" s="85" t="n"/>
      <c r="D33" s="89" t="n"/>
      <c r="E33" s="85" t="n"/>
      <c r="F33" s="85" t="n"/>
      <c r="G33" s="85" t="n"/>
      <c r="H33" s="85" t="n"/>
      <c r="I33" s="87" t="inlineStr">
        <is>
          <t>Por FTE / Por ticket / Precio fijo mensual / Mixto / Precio fijo + variable</t>
        </is>
      </c>
    </row>
    <row r="34" ht="21.75" customHeight="1" s="78">
      <c r="A34" s="85" t="n"/>
      <c r="B34" s="89" t="inlineStr">
        <is>
          <t># FTEs facturados al cliente:</t>
        </is>
      </c>
      <c r="C34" s="85" t="n"/>
      <c r="D34" s="90" t="n"/>
      <c r="E34" s="85" t="n"/>
      <c r="F34" s="85" t="n"/>
      <c r="G34" s="85" t="n"/>
      <c r="H34" s="85" t="n"/>
      <c r="I34" s="87" t="inlineStr">
        <is>
          <t>Número de personas que PS factura a este cliente</t>
        </is>
      </c>
    </row>
    <row r="35" ht="21.75" customHeight="1" s="78">
      <c r="A35" s="85" t="n"/>
      <c r="B35" s="89" t="inlineStr">
        <is>
          <t>Tarifa mensual total (COP o USD):</t>
        </is>
      </c>
      <c r="C35" s="85" t="n"/>
      <c r="D35" s="90" t="n"/>
      <c r="E35" s="85" t="n"/>
      <c r="F35" s="85" t="n"/>
      <c r="G35" s="85" t="n"/>
      <c r="H35" s="85" t="n"/>
      <c r="I35" s="87" t="inlineStr">
        <is>
          <t>Valor del contrato mensual. Estimado OK si no tienes exacto.</t>
        </is>
      </c>
    </row>
    <row r="36" ht="21.75" customHeight="1" s="78">
      <c r="A36" s="85" t="n"/>
      <c r="B36" s="89" t="inlineStr">
        <is>
          <t>Costo/FTE promedio (costo interno PS):</t>
        </is>
      </c>
      <c r="C36" s="85" t="n"/>
      <c r="D36" s="89" t="n"/>
      <c r="E36" s="85" t="n"/>
      <c r="F36" s="85" t="n"/>
      <c r="G36" s="85" t="n"/>
      <c r="H36" s="85" t="n"/>
      <c r="I36" s="87" t="inlineStr">
        <is>
          <t>Costo interno. Confidencial — solo para análisis de rentabilidad.</t>
        </is>
      </c>
    </row>
    <row r="37" ht="21.75" customHeight="1" s="78">
      <c r="A37" s="85" t="n"/>
      <c r="B37" s="89" t="inlineStr">
        <is>
          <t>Margen estimado (%):</t>
        </is>
      </c>
      <c r="C37" s="85" t="n"/>
      <c r="D37" s="89" t="n"/>
      <c r="E37" s="85" t="n"/>
      <c r="F37" s="85" t="n"/>
      <c r="G37" s="85" t="n"/>
      <c r="H37" s="85" t="n"/>
      <c r="I37" s="87" t="inlineStr">
        <is>
          <t>Rango: Bajo &lt; 15% / Medio 15-25% / Alto &gt; 25%</t>
        </is>
      </c>
    </row>
    <row r="38" ht="21.75" customHeight="1" s="78">
      <c r="A38" s="85" t="n"/>
      <c r="B38" s="89" t="inlineStr">
        <is>
          <t>¿Hay penalidades ANS activas en el contrato?</t>
        </is>
      </c>
      <c r="C38" s="85" t="n"/>
      <c r="D38" s="89" t="n"/>
      <c r="E38" s="85" t="n"/>
      <c r="F38" s="85" t="n"/>
      <c r="G38" s="85" t="n"/>
      <c r="H38" s="85" t="n"/>
      <c r="I38" s="87" t="inlineStr">
        <is>
          <t>Sí / No / Parcial. ¿Se aplican realmente?</t>
        </is>
      </c>
    </row>
    <row r="39" ht="21.75" customHeight="1" s="78">
      <c r="A39" s="85" t="n"/>
      <c r="B39" s="89" t="inlineStr">
        <is>
          <t>¿El modelo permite cobrar expansión de scope?</t>
        </is>
      </c>
      <c r="C39" s="85" t="n"/>
      <c r="D39" s="89" t="n"/>
      <c r="E39" s="85" t="n"/>
      <c r="F39" s="85" t="n"/>
      <c r="G39" s="85" t="n"/>
      <c r="H39" s="85" t="n"/>
      <c r="I39" s="87" t="inlineStr">
        <is>
          <t>Sí / No. ¿Existe mecanismo formal de adición de alcance?</t>
        </is>
      </c>
    </row>
    <row r="40" ht="21.75" customHeight="1" s="78">
      <c r="A40" s="85" t="n"/>
      <c r="B40" s="89" t="inlineStr">
        <is>
          <t>Fecha de renovación del contrato:</t>
        </is>
      </c>
      <c r="C40" s="85" t="n"/>
      <c r="D40" s="90" t="n"/>
      <c r="E40" s="85" t="n"/>
      <c r="F40" s="85" t="n"/>
      <c r="G40" s="85" t="n"/>
      <c r="H40" s="85" t="n"/>
      <c r="I40" s="87" t="inlineStr">
        <is>
          <t>Mes/Año de próxima renovación o vencimiento</t>
        </is>
      </c>
    </row>
    <row r="41" ht="21.75" customHeight="1" s="78">
      <c r="A41" s="85" t="n"/>
      <c r="B41" s="89" t="inlineStr">
        <is>
          <t>¿Hay adiciones de scope sin renegociación de precio?</t>
        </is>
      </c>
      <c r="C41" s="85" t="n"/>
      <c r="D41" s="89" t="n"/>
      <c r="E41" s="85" t="n"/>
      <c r="F41" s="85" t="n"/>
      <c r="G41" s="85" t="n"/>
      <c r="H41" s="85" t="n"/>
      <c r="I41" s="87" t="inlineStr">
        <is>
          <t>Apps o integraciones agregadas sin ajuste de precio</t>
        </is>
      </c>
    </row>
    <row r="42" ht="6" customHeight="1" s="78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</row>
    <row r="43" ht="21.75" customHeight="1" s="78">
      <c r="A43" s="85" t="n"/>
      <c r="B43" s="88" t="inlineStr">
        <is>
          <t>③  PERSONAS Y CULTURA  ·  10 min</t>
        </is>
      </c>
      <c r="C43" s="85" t="n"/>
      <c r="D43" s="85" t="n"/>
      <c r="E43" s="85" t="n"/>
      <c r="F43" s="85" t="n"/>
      <c r="G43" s="85" t="n"/>
      <c r="H43" s="85" t="n"/>
      <c r="I43" s="85" t="n"/>
    </row>
    <row r="44" ht="18" customHeight="1" s="78">
      <c r="A44" s="85" t="n"/>
      <c r="B44" s="89" t="inlineStr">
        <is>
          <t>Composición del equipo por nivel</t>
        </is>
      </c>
      <c r="C44" s="85" t="n"/>
      <c r="D44" s="85" t="n"/>
      <c r="E44" s="85" t="n"/>
      <c r="F44" s="85" t="n"/>
      <c r="G44" s="85" t="n"/>
      <c r="H44" s="85" t="n"/>
      <c r="I44" s="85" t="n"/>
    </row>
    <row r="45" ht="19.5" customHeight="1" s="78">
      <c r="A45" s="85" t="n"/>
      <c r="B45" s="91" t="inlineStr">
        <is>
          <t>Rol / Nivel</t>
        </is>
      </c>
      <c r="C45" s="85" t="n"/>
      <c r="D45" s="91" t="inlineStr">
        <is>
          <t>FTEs actuales</t>
        </is>
      </c>
      <c r="E45" s="85" t="n"/>
      <c r="F45" s="91" t="inlineStr">
        <is>
          <t>FTEs requeridos (ideal)</t>
        </is>
      </c>
      <c r="G45" s="91" t="inlineStr">
        <is>
          <t>% tiempo en soporte</t>
        </is>
      </c>
      <c r="H45" s="85" t="n"/>
      <c r="I45" s="91" t="inlineStr">
        <is>
          <t>Fuente</t>
        </is>
      </c>
    </row>
    <row r="46" ht="19.5" customHeight="1" s="78">
      <c r="A46" s="85" t="n"/>
      <c r="B46" s="89" t="inlineStr">
        <is>
          <t>Gerente de Mesa / Account Manager</t>
        </is>
      </c>
      <c r="C46" s="85" t="n"/>
      <c r="D46" s="92" t="n"/>
      <c r="E46" s="85" t="n"/>
      <c r="F46" s="92" t="n"/>
      <c r="G46" s="92" t="n"/>
      <c r="H46" s="85" t="n"/>
      <c r="I46" s="92" t="n"/>
    </row>
    <row r="47" ht="19.5" customHeight="1" s="78">
      <c r="A47" s="85" t="n"/>
      <c r="B47" s="90" t="inlineStr">
        <is>
          <t>Líder Técnico / Coordinador N2</t>
        </is>
      </c>
      <c r="C47" s="85" t="n"/>
      <c r="D47" s="93" t="n"/>
      <c r="E47" s="85" t="n"/>
      <c r="F47" s="93" t="n"/>
      <c r="G47" s="93" t="n"/>
      <c r="H47" s="85" t="n"/>
      <c r="I47" s="93" t="n"/>
    </row>
    <row r="48" ht="19.5" customHeight="1" s="78">
      <c r="A48" s="85" t="n"/>
      <c r="B48" s="89" t="inlineStr">
        <is>
          <t>Analista N1 (front-end)</t>
        </is>
      </c>
      <c r="C48" s="85" t="n"/>
      <c r="D48" s="92" t="n"/>
      <c r="E48" s="85" t="n"/>
      <c r="F48" s="92" t="n"/>
      <c r="G48" s="92" t="n"/>
      <c r="H48" s="85" t="n"/>
      <c r="I48" s="92" t="n"/>
    </row>
    <row r="49" ht="19.5" customHeight="1" s="78">
      <c r="A49" s="85" t="n"/>
      <c r="B49" s="90" t="inlineStr">
        <is>
          <t>Especialista N2 (soporte avanzado)</t>
        </is>
      </c>
      <c r="C49" s="85" t="n"/>
      <c r="D49" s="93" t="n"/>
      <c r="E49" s="85" t="n"/>
      <c r="F49" s="93" t="n"/>
      <c r="G49" s="93" t="n"/>
      <c r="H49" s="85" t="n"/>
      <c r="I49" s="93" t="n"/>
    </row>
    <row r="50" ht="19.5" customHeight="1" s="78">
      <c r="A50" s="85" t="n"/>
      <c r="B50" s="89" t="inlineStr">
        <is>
          <t>Desarrollador / Especialista N3</t>
        </is>
      </c>
      <c r="C50" s="85" t="n"/>
      <c r="D50" s="92" t="n"/>
      <c r="E50" s="85" t="n"/>
      <c r="F50" s="92" t="n"/>
      <c r="G50" s="92" t="n"/>
      <c r="H50" s="85" t="n"/>
      <c r="I50" s="92" t="n"/>
    </row>
    <row r="51" ht="19.5" customHeight="1" s="78">
      <c r="A51" s="85" t="n"/>
      <c r="B51" s="90" t="inlineStr">
        <is>
          <t>Especialista IA / Datos</t>
        </is>
      </c>
      <c r="C51" s="85" t="n"/>
      <c r="D51" s="93" t="n"/>
      <c r="E51" s="85" t="n"/>
      <c r="F51" s="93" t="n"/>
      <c r="G51" s="93" t="n"/>
      <c r="H51" s="85" t="n"/>
      <c r="I51" s="93" t="n"/>
    </row>
    <row r="52" ht="19.5" customHeight="1" s="78">
      <c r="A52" s="85" t="n"/>
      <c r="B52" s="89" t="inlineStr">
        <is>
          <t>TOTAL</t>
        </is>
      </c>
      <c r="C52" s="85" t="n"/>
      <c r="D52" s="92" t="n"/>
      <c r="E52" s="85" t="n"/>
      <c r="F52" s="92" t="n"/>
      <c r="G52" s="92" t="n"/>
      <c r="H52" s="85" t="n"/>
      <c r="I52" s="92" t="n"/>
    </row>
    <row r="53" ht="3.75" customHeight="1" s="78">
      <c r="A53" s="85" t="n"/>
      <c r="B53" s="85" t="n"/>
      <c r="C53" s="85" t="n"/>
      <c r="D53" s="85" t="n"/>
      <c r="E53" s="85" t="n"/>
      <c r="F53" s="85" t="n"/>
      <c r="G53" s="85" t="n"/>
      <c r="H53" s="85" t="n"/>
      <c r="I53" s="85" t="n"/>
    </row>
    <row r="54" ht="21.75" customHeight="1" s="78">
      <c r="A54" s="85" t="n"/>
      <c r="B54" s="89" t="inlineStr">
        <is>
          <t>Rotación anual del equipo (%):</t>
        </is>
      </c>
      <c r="C54" s="85" t="n"/>
      <c r="D54" s="89" t="n"/>
      <c r="E54" s="85" t="n"/>
      <c r="F54" s="85" t="n"/>
      <c r="G54" s="85" t="n"/>
      <c r="H54" s="85" t="n"/>
      <c r="I54" s="87" t="inlineStr">
        <is>
          <t>Bajo &lt; 10% / Medio 10-25% / Alto &gt; 25% / Muy alto &gt; 50%</t>
        </is>
      </c>
    </row>
    <row r="55" ht="21.75" customHeight="1" s="78">
      <c r="A55" s="85" t="n"/>
      <c r="B55" s="89" t="inlineStr">
        <is>
          <t>Antigüedad promedio en este cliente (meses):</t>
        </is>
      </c>
      <c r="C55" s="85" t="n"/>
      <c r="D55" s="89" t="n"/>
      <c r="E55" s="85" t="n"/>
      <c r="F55" s="85" t="n"/>
      <c r="G55" s="85" t="n"/>
      <c r="H55" s="85" t="n"/>
      <c r="I55" s="87" t="inlineStr">
        <is>
          <t>Tiempo que llevan los FTEs actuales en esta mesa</t>
        </is>
      </c>
    </row>
    <row r="56" ht="21.75" customHeight="1" s="78">
      <c r="A56" s="85" t="n"/>
      <c r="B56" s="89" t="inlineStr">
        <is>
          <t>Bus factor — ¿quién sabe TODO de esta mesa?:</t>
        </is>
      </c>
      <c r="C56" s="85" t="n"/>
      <c r="D56" s="90" t="n"/>
      <c r="E56" s="85" t="n"/>
      <c r="F56" s="85" t="n"/>
      <c r="G56" s="85" t="n"/>
      <c r="H56" s="85" t="n"/>
      <c r="I56" s="87" t="inlineStr">
        <is>
          <t>Nombre(s) de la(s) persona(s) crítica(s). Si se va, hay crisis.</t>
        </is>
      </c>
    </row>
    <row r="57" ht="21.75" customHeight="1" s="78">
      <c r="A57" s="85" t="n"/>
      <c r="B57" s="89" t="inlineStr">
        <is>
          <t>¿El equipo tiene ruta de crecimiento definida?</t>
        </is>
      </c>
      <c r="C57" s="85" t="n"/>
      <c r="D57" s="89" t="n"/>
      <c r="E57" s="85" t="n"/>
      <c r="F57" s="85" t="n"/>
      <c r="G57" s="85" t="n"/>
      <c r="H57" s="85" t="n"/>
      <c r="I57" s="87" t="inlineStr">
        <is>
          <t>Sí / No / Parcial — ¿Plan de carrera documentado?</t>
        </is>
      </c>
    </row>
    <row r="58" ht="21.75" customHeight="1" s="78">
      <c r="A58" s="85" t="n"/>
      <c r="B58" s="89" t="inlineStr">
        <is>
          <t>Satisfacción del equipo (NPS interno estimado 1-10):</t>
        </is>
      </c>
      <c r="C58" s="85" t="n"/>
      <c r="D58" s="89" t="n"/>
      <c r="E58" s="85" t="n"/>
      <c r="F58" s="85" t="n"/>
      <c r="G58" s="85" t="n"/>
      <c r="H58" s="85" t="n"/>
      <c r="I58" s="87" t="inlineStr">
        <is>
          <t>Estimación del líder de mesa</t>
        </is>
      </c>
    </row>
    <row r="59" ht="21.75" customHeight="1" s="78">
      <c r="A59" s="85" t="n"/>
      <c r="B59" s="89" t="inlineStr">
        <is>
          <t>Principal causa de rotación identificada:</t>
        </is>
      </c>
      <c r="C59" s="85" t="n"/>
      <c r="D59" s="90" t="n"/>
      <c r="E59" s="85" t="n"/>
      <c r="F59" s="85" t="n"/>
      <c r="G59" s="85" t="n"/>
      <c r="H59" s="85" t="n"/>
      <c r="I59" s="87" t="inlineStr">
        <is>
          <t>Salario / Falta crecimiento / Carga alta / Conflicto cliente / Otro</t>
        </is>
      </c>
    </row>
    <row r="60" ht="21.75" customHeight="1" s="78">
      <c r="A60" s="85" t="n"/>
      <c r="B60" s="89" t="inlineStr">
        <is>
          <t>¿Horas extra frecuentes no reconocidas?</t>
        </is>
      </c>
      <c r="C60" s="85" t="n"/>
      <c r="D60" s="90" t="n"/>
      <c r="E60" s="85" t="n"/>
      <c r="F60" s="85" t="n"/>
      <c r="G60" s="85" t="n"/>
      <c r="H60" s="85" t="n"/>
      <c r="I60" s="87" t="inlineStr">
        <is>
          <t>Sí / No. ¿Cuántas h/semana? ¿Se compensan?</t>
        </is>
      </c>
    </row>
    <row r="61" ht="6" customHeight="1" s="78">
      <c r="A61" s="85" t="n"/>
      <c r="B61" s="85" t="n"/>
      <c r="C61" s="85" t="n"/>
      <c r="D61" s="85" t="n"/>
      <c r="E61" s="85" t="n"/>
      <c r="F61" s="85" t="n"/>
      <c r="G61" s="85" t="n"/>
      <c r="H61" s="85" t="n"/>
      <c r="I61" s="85" t="n"/>
    </row>
    <row r="62" ht="21.75" customHeight="1" s="78">
      <c r="A62" s="85" t="n"/>
      <c r="B62" s="88" t="inlineStr">
        <is>
          <t>④  STACK TECNOLÓGICO Y APLICACIONES  ·  8 min</t>
        </is>
      </c>
      <c r="C62" s="85" t="n"/>
      <c r="D62" s="85" t="n"/>
      <c r="E62" s="85" t="n"/>
      <c r="F62" s="85" t="n"/>
      <c r="G62" s="85" t="n"/>
      <c r="H62" s="85" t="n"/>
      <c r="I62" s="85" t="n"/>
    </row>
    <row r="63" ht="21.75" customHeight="1" s="78">
      <c r="A63" s="85" t="n"/>
      <c r="B63" s="94" t="inlineStr">
        <is>
          <t>Herramienta de tickets (nombre):</t>
        </is>
      </c>
      <c r="C63" s="85" t="n"/>
      <c r="D63" s="89" t="n"/>
      <c r="E63" s="85" t="n"/>
      <c r="F63" s="85" t="n"/>
      <c r="G63" s="85" t="n"/>
      <c r="H63" s="85" t="n"/>
      <c r="I63" s="87" t="inlineStr">
        <is>
          <t>ServiceNow / Jira / BMC Remedy / Computer Associates / Excel / Otra</t>
        </is>
      </c>
    </row>
    <row r="64" ht="21.75" customHeight="1" s="78">
      <c r="A64" s="85" t="n"/>
      <c r="B64" s="94" t="inlineStr">
        <is>
          <t>¿Herramienta es del cliente o de PS?:</t>
        </is>
      </c>
      <c r="C64" s="85" t="n"/>
      <c r="D64" s="89" t="n"/>
      <c r="E64" s="85" t="n"/>
      <c r="F64" s="85" t="n"/>
      <c r="G64" s="85" t="n"/>
      <c r="H64" s="85" t="n"/>
      <c r="I64" s="87" t="inlineStr">
        <is>
          <t>Cliente (nos adaptamos) / PS provee herramienta</t>
        </is>
      </c>
    </row>
    <row r="65" ht="21.75" customHeight="1" s="78">
      <c r="A65" s="85" t="n"/>
      <c r="B65" s="94" t="inlineStr">
        <is>
          <t># Aplicaciones en scope:</t>
        </is>
      </c>
      <c r="C65" s="85" t="n"/>
      <c r="D65" s="90" t="n"/>
      <c r="E65" s="85" t="n"/>
      <c r="F65" s="85" t="n"/>
      <c r="G65" s="85" t="n"/>
      <c r="H65" s="85" t="n"/>
      <c r="I65" s="87" t="inlineStr">
        <is>
          <t>Número total de apps que esta mesa soporta</t>
        </is>
      </c>
    </row>
    <row r="66" ht="21.75" customHeight="1" s="78">
      <c r="A66" s="85" t="n"/>
      <c r="B66" s="94" t="inlineStr">
        <is>
          <t>Aplicaciones críticas (top 5):</t>
        </is>
      </c>
      <c r="C66" s="85" t="n"/>
      <c r="D66" s="90" t="n"/>
      <c r="E66" s="85" t="n"/>
      <c r="F66" s="85" t="n"/>
      <c r="G66" s="85" t="n"/>
      <c r="H66" s="85" t="n"/>
      <c r="I66" s="87" t="inlineStr">
        <is>
          <t>Listar por nombre. Ej: SAP FI · Portal web · API pagos</t>
        </is>
      </c>
    </row>
    <row r="67" ht="21.75" customHeight="1" s="78">
      <c r="A67" s="85" t="n"/>
      <c r="B67" s="94" t="inlineStr">
        <is>
          <t>Lenguajes / plataformas soportadas:</t>
        </is>
      </c>
      <c r="C67" s="85" t="n"/>
      <c r="D67" s="90" t="n"/>
      <c r="E67" s="85" t="n"/>
      <c r="F67" s="85" t="n"/>
      <c r="G67" s="85" t="n"/>
      <c r="H67" s="85" t="n"/>
      <c r="I67" s="87" t="inlineStr">
        <is>
          <t>Java / .Net / Python / SAP / AWS / Azure / Power Platform / OT/IT</t>
        </is>
      </c>
    </row>
    <row r="68" ht="21.75" customHeight="1" s="78">
      <c r="A68" s="85" t="n"/>
      <c r="B68" s="94" t="inlineStr">
        <is>
          <t># Ambientes soportados (DEV/QA/PRD):</t>
        </is>
      </c>
      <c r="C68" s="85" t="n"/>
      <c r="D68" s="90" t="n"/>
      <c r="E68" s="85" t="n"/>
      <c r="F68" s="85" t="n"/>
      <c r="G68" s="85" t="n"/>
      <c r="H68" s="85" t="n"/>
      <c r="I68" s="87" t="inlineStr">
        <is>
          <t>¿Todos los ambientes generan tickets?</t>
        </is>
      </c>
    </row>
    <row r="69" ht="21.75" customHeight="1" s="78">
      <c r="A69" s="85" t="n"/>
      <c r="B69" s="94" t="inlineStr">
        <is>
          <t>Integraciones críticas documentadas:</t>
        </is>
      </c>
      <c r="C69" s="85" t="n"/>
      <c r="D69" s="89" t="n"/>
      <c r="E69" s="85" t="n"/>
      <c r="F69" s="85" t="n"/>
      <c r="G69" s="85" t="n"/>
      <c r="H69" s="85" t="n"/>
      <c r="I69" s="87" t="inlineStr">
        <is>
          <t>Sí / No / Parcial. ¿Existe mapa de dependencias?</t>
        </is>
      </c>
    </row>
    <row r="70" ht="21.75" customHeight="1" s="78">
      <c r="A70" s="85" t="n"/>
      <c r="B70" s="94" t="inlineStr">
        <is>
          <t>¿Monitoreo activo configurado?:</t>
        </is>
      </c>
      <c r="C70" s="85" t="n"/>
      <c r="D70" s="89" t="n"/>
      <c r="E70" s="85" t="n"/>
      <c r="F70" s="85" t="n"/>
      <c r="G70" s="85" t="n"/>
      <c r="H70" s="85" t="n"/>
      <c r="I70" s="87" t="inlineStr">
        <is>
          <t>Sí / No / Parcial. ¿Qué herramienta? ¿Umbrales definidos?</t>
        </is>
      </c>
    </row>
    <row r="71" ht="21.75" customHeight="1" s="78">
      <c r="A71" s="85" t="n"/>
      <c r="B71" s="94" t="inlineStr">
        <is>
          <t>¿KEDB (base de conocimiento) existe?:</t>
        </is>
      </c>
      <c r="C71" s="85" t="n"/>
      <c r="D71" s="89" t="n"/>
      <c r="E71" s="85" t="n"/>
      <c r="F71" s="85" t="n"/>
      <c r="G71" s="85" t="n"/>
      <c r="H71" s="85" t="n"/>
      <c r="I71" s="87" t="inlineStr">
        <is>
          <t>Sí / No / Parcial. ¿Actualizada? ¿Quién la mantiene?</t>
        </is>
      </c>
    </row>
    <row r="72" ht="21.75" customHeight="1" s="78">
      <c r="A72" s="85" t="n"/>
      <c r="B72" s="94" t="inlineStr">
        <is>
          <t>¿Automatización en producción?:</t>
        </is>
      </c>
      <c r="C72" s="85" t="n"/>
      <c r="D72" s="89" t="n"/>
      <c r="E72" s="85" t="n"/>
      <c r="F72" s="85" t="n"/>
      <c r="G72" s="85" t="n"/>
      <c r="H72" s="85" t="n"/>
      <c r="I72" s="87" t="inlineStr">
        <is>
          <t>Sí / No. Si Sí: ¿qué automatiza? ¿% tickets automatizados?</t>
        </is>
      </c>
    </row>
    <row r="73" ht="21.75" customHeight="1" s="78">
      <c r="A73" s="85" t="n"/>
      <c r="B73" s="94" t="inlineStr">
        <is>
          <t>¿Hay N0 activo (autoservicio / portal)?:</t>
        </is>
      </c>
      <c r="C73" s="85" t="n"/>
      <c r="D73" s="89" t="n"/>
      <c r="E73" s="85" t="n"/>
      <c r="F73" s="85" t="n"/>
      <c r="G73" s="85" t="n"/>
      <c r="H73" s="85" t="n"/>
      <c r="I73" s="87" t="inlineStr">
        <is>
          <t>Sí / No / En construcción. ¿% de deflexión?</t>
        </is>
      </c>
    </row>
    <row r="74" ht="21.75" customHeight="1" s="78">
      <c r="A74" s="85" t="n"/>
      <c r="B74" s="94" t="inlineStr">
        <is>
          <t>Regulación sectorial aplicable:</t>
        </is>
      </c>
      <c r="C74" s="85" t="n"/>
      <c r="D74" s="90" t="n"/>
      <c r="E74" s="85" t="n"/>
      <c r="F74" s="85" t="n"/>
      <c r="G74" s="85" t="n"/>
      <c r="H74" s="85" t="n"/>
      <c r="I74" s="87" t="inlineStr">
        <is>
          <t>SFC / SOX / BCP/DRP / Habeas Data / Supersalud / RIPS / Ninguna</t>
        </is>
      </c>
    </row>
    <row r="75" ht="6" customHeight="1" s="78">
      <c r="A75" s="85" t="n"/>
      <c r="B75" s="85" t="n"/>
      <c r="C75" s="85" t="n"/>
      <c r="D75" s="85" t="n"/>
      <c r="E75" s="85" t="n"/>
      <c r="F75" s="85" t="n"/>
      <c r="G75" s="85" t="n"/>
      <c r="H75" s="85" t="n"/>
      <c r="I75" s="85" t="n"/>
    </row>
    <row r="76" ht="21.75" customHeight="1" s="78">
      <c r="A76" s="85" t="n"/>
      <c r="B76" s="88" t="inlineStr">
        <is>
          <t>⑤  RIESGOS Y OPORTUNIDADES  ·  7 min</t>
        </is>
      </c>
      <c r="C76" s="85" t="n"/>
      <c r="D76" s="85" t="n"/>
      <c r="E76" s="85" t="n"/>
      <c r="F76" s="85" t="n"/>
      <c r="G76" s="85" t="n"/>
      <c r="H76" s="85" t="n"/>
      <c r="I76" s="85" t="n"/>
    </row>
    <row r="77" ht="18" customHeight="1" s="78">
      <c r="A77" s="85" t="n"/>
      <c r="B77" s="95" t="inlineStr">
        <is>
          <t>Top 3 riesgos actuales</t>
        </is>
      </c>
      <c r="C77" s="85" t="n"/>
      <c r="D77" s="85" t="n"/>
      <c r="E77" s="85" t="n"/>
      <c r="F77" s="85" t="n"/>
      <c r="G77" s="85" t="n"/>
      <c r="H77" s="85" t="n"/>
      <c r="I77" s="85" t="n"/>
    </row>
    <row r="78" ht="25.5" customHeight="1" s="78">
      <c r="A78" s="85" t="n"/>
      <c r="B78" s="89" t="inlineStr">
        <is>
          <t>Riesgo #1:</t>
        </is>
      </c>
      <c r="C78" s="85" t="n"/>
      <c r="D78" s="90" t="n"/>
      <c r="E78" s="85" t="n"/>
      <c r="F78" s="85" t="n"/>
      <c r="G78" s="85" t="n"/>
      <c r="H78" s="85" t="n"/>
      <c r="I78" s="87" t="inlineStr">
        <is>
          <t>Ej: Bus factor / Scope creep / ANS sin medir / Churn latente</t>
        </is>
      </c>
    </row>
    <row r="79" ht="25.5" customHeight="1" s="78">
      <c r="A79" s="85" t="n"/>
      <c r="B79" s="89" t="inlineStr">
        <is>
          <t>Riesgo #2:</t>
        </is>
      </c>
      <c r="C79" s="85" t="n"/>
      <c r="D79" s="90" t="n"/>
      <c r="E79" s="85" t="n"/>
      <c r="F79" s="85" t="n"/>
      <c r="G79" s="85" t="n"/>
      <c r="H79" s="85" t="n"/>
      <c r="I79" s="87" t="inlineStr">
        <is>
          <t>Ej: Bus factor / Scope creep / ANS sin medir / Churn latente</t>
        </is>
      </c>
    </row>
    <row r="80" ht="25.5" customHeight="1" s="78">
      <c r="A80" s="85" t="n"/>
      <c r="B80" s="89" t="inlineStr">
        <is>
          <t>Riesgo #3:</t>
        </is>
      </c>
      <c r="C80" s="85" t="n"/>
      <c r="D80" s="90" t="n"/>
      <c r="E80" s="85" t="n"/>
      <c r="F80" s="85" t="n"/>
      <c r="G80" s="85" t="n"/>
      <c r="H80" s="85" t="n"/>
      <c r="I80" s="87" t="inlineStr">
        <is>
          <t>Ej: Bus factor / Scope creep / ANS sin medir / Churn latente</t>
        </is>
      </c>
    </row>
    <row r="81" ht="3.75" customHeight="1" s="78">
      <c r="A81" s="85" t="n"/>
      <c r="B81" s="85" t="n"/>
      <c r="C81" s="85" t="n"/>
      <c r="D81" s="85" t="n"/>
      <c r="E81" s="85" t="n"/>
      <c r="F81" s="85" t="n"/>
      <c r="G81" s="85" t="n"/>
      <c r="H81" s="85" t="n"/>
      <c r="I81" s="85" t="n"/>
    </row>
    <row r="82" ht="18" customHeight="1" s="78">
      <c r="A82" s="85" t="n"/>
      <c r="B82" s="96" t="inlineStr">
        <is>
          <t>Oportunidades para el servicio Gen Next</t>
        </is>
      </c>
      <c r="C82" s="85" t="n"/>
      <c r="D82" s="85" t="n"/>
      <c r="E82" s="85" t="n"/>
      <c r="F82" s="85" t="n"/>
      <c r="G82" s="85" t="n"/>
      <c r="H82" s="85" t="n"/>
      <c r="I82" s="85" t="n"/>
    </row>
    <row r="83" ht="21.75" customHeight="1" s="78">
      <c r="A83" s="85" t="n"/>
      <c r="B83" s="89" t="inlineStr">
        <is>
          <t>Potencial de automatización:</t>
        </is>
      </c>
      <c r="C83" s="85" t="n"/>
      <c r="D83" s="89" t="n"/>
      <c r="E83" s="85" t="n"/>
      <c r="F83" s="85" t="n"/>
      <c r="G83" s="85" t="n"/>
      <c r="H83" s="85" t="n"/>
      <c r="I83" s="87" t="inlineStr">
        <is>
          <t>Alto / Medio / Bajo. ¿Qué tareas repetitivas hay?</t>
        </is>
      </c>
    </row>
    <row r="84" ht="21.75" customHeight="1" s="78">
      <c r="A84" s="85" t="n"/>
      <c r="B84" s="89" t="inlineStr">
        <is>
          <t>Potencial de incorporar IA:</t>
        </is>
      </c>
      <c r="C84" s="85" t="n"/>
      <c r="D84" s="89" t="n"/>
      <c r="E84" s="85" t="n"/>
      <c r="F84" s="85" t="n"/>
      <c r="G84" s="85" t="n"/>
      <c r="H84" s="85" t="n"/>
      <c r="I84" s="87" t="inlineStr">
        <is>
          <t>Alto / Medio / Bajo. ¿Clasificación / KEDB / AIOps?</t>
        </is>
      </c>
    </row>
    <row r="85" ht="21.75" customHeight="1" s="78">
      <c r="A85" s="85" t="n"/>
      <c r="B85" s="89" t="inlineStr">
        <is>
          <t>Apetito del cliente por el cambio:</t>
        </is>
      </c>
      <c r="C85" s="85" t="n"/>
      <c r="D85" s="89" t="n"/>
      <c r="E85" s="85" t="n"/>
      <c r="F85" s="85" t="n"/>
      <c r="G85" s="85" t="n"/>
      <c r="H85" s="85" t="n"/>
      <c r="I85" s="87" t="inlineStr">
        <is>
          <t>Alto (promotor activo) / Medio (receptivo) / Bajo (conservador)</t>
        </is>
      </c>
    </row>
    <row r="86" ht="21.75" customHeight="1" s="78">
      <c r="A86" s="85" t="n"/>
      <c r="B86" s="89" t="inlineStr">
        <is>
          <t>Señal de churn (semáforo):</t>
        </is>
      </c>
      <c r="C86" s="85" t="n"/>
      <c r="D86" s="89" t="n"/>
      <c r="E86" s="85" t="n"/>
      <c r="F86" s="85" t="n"/>
      <c r="G86" s="85" t="n"/>
      <c r="H86" s="85" t="n"/>
      <c r="I86" s="87" t="inlineStr">
        <is>
          <t>Verde / Amarillo / Naranja / Rojo</t>
        </is>
      </c>
    </row>
    <row r="87" ht="21.75" customHeight="1" s="78">
      <c r="A87" s="85" t="n"/>
      <c r="B87" s="89" t="inlineStr">
        <is>
          <t>¿Hay oportunidad de upselling?:</t>
        </is>
      </c>
      <c r="C87" s="85" t="n"/>
      <c r="D87" s="89" t="n"/>
      <c r="E87" s="85" t="n"/>
      <c r="F87" s="85" t="n"/>
      <c r="G87" s="85" t="n"/>
      <c r="H87" s="85" t="n"/>
      <c r="I87" s="87" t="inlineStr">
        <is>
          <t>Sí / No. Si Sí: ¿qué servicio adicional? ¿quién decide?</t>
        </is>
      </c>
    </row>
    <row r="88" ht="21.75" customHeight="1" s="78">
      <c r="A88" s="85" t="n"/>
      <c r="B88" s="89" t="inlineStr">
        <is>
          <t>¿Esta mesa es replicable como template?:</t>
        </is>
      </c>
      <c r="C88" s="85" t="n"/>
      <c r="D88" s="89" t="n"/>
      <c r="E88" s="85" t="n"/>
      <c r="F88" s="85" t="n"/>
      <c r="G88" s="85" t="n"/>
      <c r="H88" s="85" t="n"/>
      <c r="I88" s="87" t="inlineStr">
        <is>
          <t>Sí / No / Parcial. ¿Qué haría falta?</t>
        </is>
      </c>
    </row>
    <row r="89" ht="36" customHeight="1" s="78">
      <c r="A89" s="85" t="n"/>
      <c r="B89" s="89" t="inlineStr">
        <is>
          <t>¿Qué haría esta mesa excelente? (voz del líder):</t>
        </is>
      </c>
      <c r="C89" s="85" t="n"/>
      <c r="D89" s="90" t="n"/>
      <c r="E89" s="85" t="n"/>
      <c r="F89" s="85" t="n"/>
      <c r="G89" s="85" t="n"/>
      <c r="H89" s="85" t="n"/>
      <c r="I89" s="87" t="inlineStr">
        <is>
          <t>Respuesta literal del líder de mesa</t>
        </is>
      </c>
    </row>
    <row r="90" ht="36" customHeight="1" s="78">
      <c r="A90" s="85" t="n"/>
      <c r="B90" s="89" t="inlineStr">
        <is>
          <t>¿Qué automatizaría primero si tuviera IA?:</t>
        </is>
      </c>
      <c r="C90" s="85" t="n"/>
      <c r="D90" s="90" t="n"/>
      <c r="E90" s="85" t="n"/>
      <c r="F90" s="85" t="n"/>
      <c r="G90" s="85" t="n"/>
      <c r="H90" s="85" t="n"/>
      <c r="I90" s="87" t="inlineStr">
        <is>
          <t>Respuesta literal del líder de mesa</t>
        </is>
      </c>
    </row>
    <row r="91" ht="36" customHeight="1" s="78">
      <c r="A91" s="85" t="n"/>
      <c r="B91" s="89" t="inlineStr">
        <is>
          <t>Comentarios / contexto adicional:</t>
        </is>
      </c>
      <c r="C91" s="85" t="n"/>
      <c r="D91" s="90" t="n"/>
      <c r="E91" s="85" t="n"/>
      <c r="F91" s="85" t="n"/>
      <c r="G91" s="85" t="n"/>
      <c r="H91" s="85" t="n"/>
      <c r="I91" s="87" t="inlineStr">
        <is>
          <t>Cualquier dato relevante que no entró en los bloques anteriores</t>
        </is>
      </c>
    </row>
    <row r="92" ht="4.5" customHeight="1" s="78">
      <c r="A92" s="85" t="n"/>
      <c r="B92" s="85" t="n"/>
      <c r="C92" s="85" t="n"/>
      <c r="D92" s="85" t="n"/>
      <c r="E92" s="85" t="n"/>
      <c r="F92" s="85" t="n"/>
      <c r="G92" s="85" t="n"/>
      <c r="H92" s="85" t="n"/>
      <c r="I92" s="85" t="n"/>
    </row>
    <row r="93" ht="18" customHeight="1" s="78">
      <c r="A93" s="85" t="n"/>
      <c r="B93" s="97" t="inlineStr">
        <is>
          <t>PersonalSoft · CTO / SICTO · Mesa de Servicios de Nueva Generación · Julio 2026</t>
        </is>
      </c>
      <c r="C93" s="85" t="n"/>
      <c r="D93" s="85" t="n"/>
      <c r="E93" s="85" t="n"/>
      <c r="F93" s="85" t="n"/>
      <c r="G93" s="85" t="n"/>
      <c r="H93" s="85" t="n"/>
      <c r="I93" s="85" t="n"/>
    </row>
    <row r="94">
      <c r="A94" s="85" t="n"/>
      <c r="B94" s="85" t="n"/>
      <c r="C94" s="85" t="n"/>
      <c r="D94" s="85" t="n"/>
      <c r="E94" s="85" t="n"/>
      <c r="F94" s="85" t="n"/>
      <c r="G94" s="85" t="n"/>
      <c r="H94" s="85" t="n"/>
      <c r="I94" s="85" t="n"/>
    </row>
    <row r="95">
      <c r="A95" s="85" t="n"/>
      <c r="B95" s="85" t="n"/>
      <c r="C95" s="85" t="n"/>
      <c r="D95" s="85" t="n"/>
      <c r="E95" s="85" t="n"/>
      <c r="F95" s="85" t="n"/>
      <c r="G95" s="85" t="n"/>
      <c r="H95" s="85" t="n"/>
      <c r="I95" s="85" t="n"/>
    </row>
    <row r="96" ht="30" customHeight="1" s="78">
      <c r="A96" s="85" t="n"/>
      <c r="B96" s="98" t="inlineStr">
        <is>
          <t>MODO DE OPERACIÓN · SURA Torre Control</t>
        </is>
      </c>
      <c r="C96" s="85" t="n"/>
      <c r="D96" s="85" t="n"/>
      <c r="E96" s="85" t="n"/>
      <c r="F96" s="85" t="n"/>
      <c r="G96" s="85" t="n"/>
      <c r="H96" s="85" t="n"/>
      <c r="I96" s="85" t="n"/>
    </row>
    <row r="97" ht="24" customHeight="1" s="78">
      <c r="A97" s="85" t="n"/>
      <c r="B97" s="99" t="inlineStr">
        <is>
          <t>¿Cómo opera hoy esta mesa? — Reactiva, Proactiva o Automatizada · Esta sección define qué tipo de mesa es y hacia dónde debe evolucionar</t>
        </is>
      </c>
      <c r="C97" s="85" t="n"/>
      <c r="D97" s="85" t="n"/>
      <c r="E97" s="85" t="n"/>
      <c r="F97" s="85" t="n"/>
      <c r="G97" s="85" t="n"/>
      <c r="H97" s="85" t="n"/>
      <c r="I97" s="85" t="n"/>
    </row>
    <row r="98" ht="19.5" customHeight="1" s="78">
      <c r="A98" s="85" t="n"/>
      <c r="B98" s="100" t="inlineStr">
        <is>
          <t>Tipo / Modo</t>
        </is>
      </c>
      <c r="C98" s="85" t="n"/>
      <c r="D98" s="85" t="n"/>
      <c r="E98" s="101" t="inlineStr">
        <is>
          <t>Características — cómo se ve en la práctica</t>
        </is>
      </c>
      <c r="F98" s="85" t="n"/>
      <c r="G98" s="85" t="n"/>
      <c r="H98" s="85" t="n"/>
      <c r="I98" s="85" t="n"/>
    </row>
    <row r="99" ht="27.75" customHeight="1" s="78">
      <c r="A99" s="85" t="n"/>
      <c r="B99" s="102" t="inlineStr">
        <is>
          <t>Mesa de Ayuda
(Help Desk)</t>
        </is>
      </c>
      <c r="C99" s="85" t="n"/>
      <c r="D99" s="103" t="inlineStr">
        <is>
          <t>Reactiva</t>
        </is>
      </c>
      <c r="E99" s="104" t="inlineStr">
        <is>
          <t>Solo responde cuando el usuario reporta · N1 sin escalamiento · Bus factor alto</t>
        </is>
      </c>
      <c r="F99" s="85" t="n"/>
      <c r="G99" s="85" t="n"/>
      <c r="H99" s="85" t="n"/>
      <c r="I99" s="85" t="n"/>
    </row>
    <row r="100" ht="27.75" customHeight="1" s="78">
      <c r="A100" s="85" t="n"/>
      <c r="B100" s="105" t="inlineStr">
        <is>
          <t>Mesa de Soporte</t>
        </is>
      </c>
      <c r="C100" s="85" t="n"/>
      <c r="D100" s="106" t="inlineStr">
        <is>
          <t>Reactiva + Proactiva</t>
        </is>
      </c>
      <c r="E100" s="107" t="inlineStr">
        <is>
          <t>N1+N2+N3 · Gestión de problemas · Algo de monitoreo · Documentación básica</t>
        </is>
      </c>
      <c r="F100" s="85" t="n"/>
      <c r="G100" s="85" t="n"/>
      <c r="H100" s="85" t="n"/>
      <c r="I100" s="85" t="n"/>
    </row>
    <row r="101" ht="27.75" customHeight="1" s="78">
      <c r="A101" s="85" t="n"/>
      <c r="B101" s="108" t="inlineStr">
        <is>
          <t>Mesa de Servicios
(Service Desk)</t>
        </is>
      </c>
      <c r="C101" s="85" t="n"/>
      <c r="D101" s="109" t="inlineStr">
        <is>
          <t>Proactiva e Integral</t>
        </is>
      </c>
      <c r="E101" s="110" t="inlineStr">
        <is>
          <t>SPOC · Catálogo · ANS medidos · Change Enablement · ITSM completo</t>
        </is>
      </c>
      <c r="F101" s="85" t="n"/>
      <c r="G101" s="85" t="n"/>
      <c r="H101" s="85" t="n"/>
      <c r="I101" s="85" t="n"/>
    </row>
    <row r="102" ht="27.75" customHeight="1" s="78">
      <c r="A102" s="85" t="n"/>
      <c r="B102" s="111" t="inlineStr">
        <is>
          <t>Torre de Control</t>
        </is>
      </c>
      <c r="C102" s="85" t="n"/>
      <c r="D102" s="112" t="inlineStr">
        <is>
          <t>Monitoreo y Observabilidad</t>
        </is>
      </c>
      <c r="E102" s="113" t="inlineStr">
        <is>
          <t>24x7 · AIOps · Detección antes del impacto · Alertas automáticas</t>
        </is>
      </c>
      <c r="F102" s="85" t="n"/>
      <c r="G102" s="85" t="n"/>
      <c r="H102" s="85" t="n"/>
      <c r="I102" s="85" t="n"/>
    </row>
    <row r="103" ht="27.75" customHeight="1" s="78">
      <c r="A103" s="85" t="n"/>
      <c r="B103" s="114" t="inlineStr">
        <is>
          <t>Mesa Gen Next</t>
        </is>
      </c>
      <c r="C103" s="85" t="n"/>
      <c r="D103" s="115" t="inlineStr">
        <is>
          <t>Autónoma e Inteligente</t>
        </is>
      </c>
      <c r="E103" s="116" t="inlineStr">
        <is>
          <t>IA activa · N0 real · Mejora continua · AIOps · Predicción de fallas</t>
        </is>
      </c>
      <c r="F103" s="85" t="n"/>
      <c r="G103" s="85" t="n"/>
      <c r="H103" s="85" t="n"/>
      <c r="I103" s="85" t="n"/>
    </row>
    <row r="104">
      <c r="A104" s="85" t="n"/>
      <c r="B104" s="85" t="n"/>
      <c r="C104" s="85" t="n"/>
      <c r="D104" s="85" t="n"/>
      <c r="E104" s="85" t="n"/>
      <c r="F104" s="85" t="n"/>
      <c r="G104" s="85" t="n"/>
      <c r="H104" s="85" t="n"/>
      <c r="I104" s="85" t="n"/>
    </row>
    <row r="105" ht="27.75" customHeight="1" s="78">
      <c r="A105" s="85" t="n"/>
      <c r="B105" s="117" t="inlineStr">
        <is>
          <t>¿Qué tipo de mesa es esta HOY?</t>
        </is>
      </c>
      <c r="C105" s="118" t="n"/>
      <c r="D105" s="119" t="inlineStr">
        <is>
          <t>↳ Mesa de Ayuda / Soporte / Service Desk / Torre de Control</t>
        </is>
      </c>
      <c r="E105" s="85" t="n"/>
      <c r="F105" s="85" t="n"/>
      <c r="G105" s="85" t="n"/>
      <c r="H105" s="85" t="n"/>
      <c r="I105" s="85" t="n"/>
    </row>
    <row r="106" ht="27.75" customHeight="1" s="78">
      <c r="A106" s="85" t="n"/>
      <c r="B106" s="117" t="inlineStr">
        <is>
          <t>¿Qué tipo debería ser en 12 meses?</t>
        </is>
      </c>
      <c r="C106" s="118" t="n"/>
      <c r="D106" s="119" t="inlineStr">
        <is>
          <t>↳ hacia dónde debe evolucionar con el modelo nuevo</t>
        </is>
      </c>
      <c r="E106" s="85" t="n"/>
      <c r="F106" s="85" t="n"/>
      <c r="G106" s="85" t="n"/>
      <c r="H106" s="85" t="n"/>
      <c r="I106" s="85" t="n"/>
    </row>
    <row r="107" ht="27.75" customHeight="1" s="78">
      <c r="A107" s="85" t="n"/>
      <c r="B107" s="117" t="inlineStr">
        <is>
          <t>Modo de operación actual:</t>
        </is>
      </c>
      <c r="C107" s="118" t="n"/>
      <c r="D107" s="119" t="inlineStr">
        <is>
          <t>↳ Reactivo / Proactivo / Autónomo</t>
        </is>
      </c>
      <c r="E107" s="85" t="n"/>
      <c r="F107" s="85" t="n"/>
      <c r="G107" s="85" t="n"/>
      <c r="H107" s="85" t="n"/>
      <c r="I107" s="85" t="n"/>
    </row>
    <row r="108">
      <c r="A108" s="85" t="n"/>
      <c r="B108" s="85" t="n"/>
      <c r="C108" s="85" t="n"/>
      <c r="D108" s="85" t="n"/>
      <c r="E108" s="85" t="n"/>
      <c r="F108" s="85" t="n"/>
      <c r="G108" s="85" t="n"/>
      <c r="H108" s="85" t="n"/>
      <c r="I108" s="85" t="n"/>
    </row>
    <row r="109" ht="21.75" customHeight="1" s="78">
      <c r="A109" s="85" t="n"/>
      <c r="B109" s="120" t="inlineStr">
        <is>
          <t>Preguntas clave — modo de operación real</t>
        </is>
      </c>
      <c r="C109" s="85" t="n"/>
      <c r="D109" s="85" t="n"/>
      <c r="E109" s="85" t="n"/>
      <c r="F109" s="85" t="n"/>
      <c r="G109" s="85" t="n"/>
      <c r="H109" s="85" t="n"/>
      <c r="I109" s="85" t="n"/>
    </row>
    <row r="110" ht="27.75" customHeight="1" s="78">
      <c r="A110" s="85" t="n"/>
      <c r="B110" s="121" t="inlineStr">
        <is>
          <t>¿Cómo se entera el equipo de que hay un problema?</t>
        </is>
      </c>
      <c r="C110" s="122" t="n"/>
      <c r="D110" s="119" t="inlineStr">
        <is>
          <t>↳ Solo cuando el usuario llama (reactivo) / Alertas / Antes del impacto (proactivo)</t>
        </is>
      </c>
      <c r="E110" s="85" t="n"/>
      <c r="F110" s="85" t="n"/>
      <c r="G110" s="85" t="n"/>
      <c r="H110" s="85" t="n"/>
      <c r="I110" s="85" t="n"/>
    </row>
    <row r="111" ht="27.75" customHeight="1" s="78">
      <c r="A111" s="85" t="n"/>
      <c r="B111" s="121" t="inlineStr">
        <is>
          <t>¿Hay monitoreo automatizado de los sistemas del cliente?</t>
        </is>
      </c>
      <c r="C111" s="122" t="n"/>
      <c r="D111" s="119" t="inlineStr">
        <is>
          <t>↳ Sí / No / Parcial · ¿qué herramienta? ¿qué sistemas monitorea?</t>
        </is>
      </c>
      <c r="E111" s="85" t="n"/>
      <c r="F111" s="85" t="n"/>
      <c r="G111" s="85" t="n"/>
      <c r="H111" s="85" t="n"/>
      <c r="I111" s="85" t="n"/>
    </row>
    <row r="112" ht="27.75" customHeight="1" s="78">
      <c r="A112" s="85" t="n"/>
      <c r="B112" s="121" t="inlineStr">
        <is>
          <t>¿Se detectan incidentes ANTES de que el usuario los reporte?</t>
        </is>
      </c>
      <c r="C112" s="122" t="n"/>
      <c r="D112" s="119" t="inlineStr">
        <is>
          <t>↳ Sí (proactiva) / A veces / No (reactiva) — dar un ejemplo concreto</t>
        </is>
      </c>
      <c r="E112" s="85" t="n"/>
      <c r="F112" s="85" t="n"/>
      <c r="G112" s="85" t="n"/>
      <c r="H112" s="85" t="n"/>
      <c r="I112" s="85" t="n"/>
    </row>
    <row r="113" ht="27.75" customHeight="1" s="78">
      <c r="A113" s="85" t="n"/>
      <c r="B113" s="121" t="inlineStr">
        <is>
          <t>¿Cuántos tickets se resuelven sin intervención humana (% automatizados)?</t>
        </is>
      </c>
      <c r="C113" s="122" t="n"/>
      <c r="D113" s="119" t="inlineStr">
        <is>
          <t>↳ ej: 0% todo manual · 10% · 30% — cifra estimada</t>
        </is>
      </c>
      <c r="E113" s="85" t="n"/>
      <c r="F113" s="85" t="n"/>
      <c r="G113" s="85" t="n"/>
      <c r="H113" s="85" t="n"/>
      <c r="I113" s="85" t="n"/>
    </row>
    <row r="114" ht="27.75" customHeight="1" s="78">
      <c r="A114" s="85" t="n"/>
      <c r="B114" s="121" t="inlineStr">
        <is>
          <t>¿El usuario puede resolver algo solo sin contactar la mesa?</t>
        </is>
      </c>
      <c r="C114" s="122" t="n"/>
      <c r="D114" s="119" t="inlineStr">
        <is>
          <t>↳ Sí (portal activo) / No / En construcción · ¿qué puede resolver solo?</t>
        </is>
      </c>
      <c r="E114" s="85" t="n"/>
      <c r="F114" s="85" t="n"/>
      <c r="G114" s="85" t="n"/>
      <c r="H114" s="85" t="n"/>
      <c r="I114" s="85" t="n"/>
    </row>
    <row r="115" ht="27.75" customHeight="1" s="78">
      <c r="A115" s="85" t="n"/>
      <c r="B115" s="121" t="inlineStr">
        <is>
          <t>¿Cuánto tiempo tarda hacer el informe mensual del cliente?</t>
        </is>
      </c>
      <c r="C115" s="122" t="n"/>
      <c r="D115" s="119" t="inlineStr">
        <is>
          <t>↳ ej: 2 horas / medio día / un día completo — ¿es manual o automático?</t>
        </is>
      </c>
      <c r="E115" s="85" t="n"/>
      <c r="F115" s="85" t="n"/>
      <c r="G115" s="85" t="n"/>
      <c r="H115" s="85" t="n"/>
      <c r="I115" s="85" t="n"/>
    </row>
    <row r="116" ht="27.75" customHeight="1" s="78">
      <c r="A116" s="85" t="n"/>
      <c r="B116" s="121" t="inlineStr">
        <is>
          <t>¿Se mide la satisfacción del usuario (CSAT/XLA) sistemáticamente?</t>
        </is>
      </c>
      <c r="C116" s="122" t="n"/>
      <c r="D116" s="119" t="inlineStr">
        <is>
          <t>↳ Sí / No / Parcial · ¿cuándo fue la última medición?</t>
        </is>
      </c>
      <c r="E116" s="85" t="n"/>
      <c r="F116" s="85" t="n"/>
      <c r="G116" s="85" t="n"/>
      <c r="H116" s="85" t="n"/>
      <c r="I116" s="85" t="n"/>
    </row>
    <row r="117" ht="27.75" customHeight="1" s="78">
      <c r="A117" s="85" t="n"/>
      <c r="B117" s="121" t="inlineStr">
        <is>
          <t>Si tuvieras presupuesto para 1 mejora, ¿qué harías primero?</t>
        </is>
      </c>
      <c r="C117" s="122" t="n"/>
      <c r="D117" s="119" t="inlineStr">
        <is>
          <t>↳ La respuesta más valiosa para el diseño del servicio nuevo</t>
        </is>
      </c>
      <c r="E117" s="85" t="n"/>
      <c r="F117" s="85" t="n"/>
      <c r="G117" s="85" t="n"/>
      <c r="H117" s="85" t="n"/>
      <c r="I117" s="85" t="n"/>
    </row>
  </sheetData>
  <mergeCells count="185">
    <mergeCell ref="B91:C91"/>
    <mergeCell ref="D35:H35"/>
    <mergeCell ref="B100:C100"/>
    <mergeCell ref="B62:I62"/>
    <mergeCell ref="D10:H10"/>
    <mergeCell ref="D90:H90"/>
    <mergeCell ref="B22:C22"/>
    <mergeCell ref="B102:C102"/>
    <mergeCell ref="D50:E50"/>
    <mergeCell ref="D45:E45"/>
    <mergeCell ref="B12:C12"/>
    <mergeCell ref="B96:I96"/>
    <mergeCell ref="B21:C21"/>
    <mergeCell ref="B86:C86"/>
    <mergeCell ref="E103:I103"/>
    <mergeCell ref="D106:I106"/>
    <mergeCell ref="B67:C67"/>
    <mergeCell ref="D11:H11"/>
    <mergeCell ref="B101:C101"/>
    <mergeCell ref="B14:C14"/>
    <mergeCell ref="D48:E48"/>
    <mergeCell ref="D66:H66"/>
    <mergeCell ref="B13:C13"/>
    <mergeCell ref="B69:C69"/>
    <mergeCell ref="D117:I117"/>
    <mergeCell ref="B38:C38"/>
    <mergeCell ref="B82:I82"/>
    <mergeCell ref="B78:C78"/>
    <mergeCell ref="D28:H28"/>
    <mergeCell ref="D110:I110"/>
    <mergeCell ref="B19:I19"/>
    <mergeCell ref="D37:H37"/>
    <mergeCell ref="B40:C40"/>
    <mergeCell ref="B49:C49"/>
    <mergeCell ref="D9:H9"/>
    <mergeCell ref="B55:C55"/>
    <mergeCell ref="B24:C24"/>
    <mergeCell ref="D30:H30"/>
    <mergeCell ref="D39:H39"/>
    <mergeCell ref="B64:C64"/>
    <mergeCell ref="B33:C33"/>
    <mergeCell ref="B51:C51"/>
    <mergeCell ref="D51:E51"/>
    <mergeCell ref="D29:H29"/>
    <mergeCell ref="D23:H23"/>
    <mergeCell ref="D38:H38"/>
    <mergeCell ref="B76:I76"/>
    <mergeCell ref="B63:C63"/>
    <mergeCell ref="B26:C26"/>
    <mergeCell ref="B41:C41"/>
    <mergeCell ref="D111:I111"/>
    <mergeCell ref="B35:C35"/>
    <mergeCell ref="B16:C16"/>
    <mergeCell ref="B98:D98"/>
    <mergeCell ref="B25:C25"/>
    <mergeCell ref="B90:C90"/>
    <mergeCell ref="B109:I109"/>
    <mergeCell ref="D63:H63"/>
    <mergeCell ref="B66:C66"/>
    <mergeCell ref="D80:H80"/>
    <mergeCell ref="B27:C27"/>
    <mergeCell ref="G48:H48"/>
    <mergeCell ref="D65:H65"/>
    <mergeCell ref="B11:C11"/>
    <mergeCell ref="D57:H57"/>
    <mergeCell ref="D27:H27"/>
    <mergeCell ref="D41:H41"/>
    <mergeCell ref="D114:I114"/>
    <mergeCell ref="E5:H5"/>
    <mergeCell ref="D17:H17"/>
    <mergeCell ref="G49:H49"/>
    <mergeCell ref="D47:E47"/>
    <mergeCell ref="D91:H91"/>
    <mergeCell ref="B5:D5"/>
    <mergeCell ref="B29:C29"/>
    <mergeCell ref="D113:I113"/>
    <mergeCell ref="B103:C103"/>
    <mergeCell ref="B37:C37"/>
    <mergeCell ref="B84:C84"/>
    <mergeCell ref="D115:I115"/>
    <mergeCell ref="D74:H74"/>
    <mergeCell ref="D12:H12"/>
    <mergeCell ref="D68:H68"/>
    <mergeCell ref="D25:H25"/>
    <mergeCell ref="D83:H83"/>
    <mergeCell ref="B15:C15"/>
    <mergeCell ref="D55:H55"/>
    <mergeCell ref="B80:C80"/>
    <mergeCell ref="B89:C89"/>
    <mergeCell ref="D67:H67"/>
    <mergeCell ref="D14:H14"/>
    <mergeCell ref="B79:C79"/>
    <mergeCell ref="D85:H85"/>
    <mergeCell ref="D54:H54"/>
    <mergeCell ref="D60:H60"/>
    <mergeCell ref="B54:C54"/>
    <mergeCell ref="D69:H69"/>
    <mergeCell ref="B72:C72"/>
    <mergeCell ref="E98:I98"/>
    <mergeCell ref="B56:C56"/>
    <mergeCell ref="B71:C71"/>
    <mergeCell ref="D40:H40"/>
    <mergeCell ref="B93:I93"/>
    <mergeCell ref="B58:C58"/>
    <mergeCell ref="B52:C52"/>
    <mergeCell ref="D21:H21"/>
    <mergeCell ref="D52:E52"/>
    <mergeCell ref="B77:I77"/>
    <mergeCell ref="D112:I112"/>
    <mergeCell ref="D49:E49"/>
    <mergeCell ref="B60:C60"/>
    <mergeCell ref="B17:C17"/>
    <mergeCell ref="B57:C57"/>
    <mergeCell ref="B88:C88"/>
    <mergeCell ref="D16:H16"/>
    <mergeCell ref="D87:H87"/>
    <mergeCell ref="B34:C34"/>
    <mergeCell ref="B28:C28"/>
    <mergeCell ref="B99:C99"/>
    <mergeCell ref="D71:H71"/>
    <mergeCell ref="B9:C9"/>
    <mergeCell ref="D58:H58"/>
    <mergeCell ref="B83:C83"/>
    <mergeCell ref="G51:H51"/>
    <mergeCell ref="B30:C30"/>
    <mergeCell ref="D8:H8"/>
    <mergeCell ref="E100:I100"/>
    <mergeCell ref="D73:H73"/>
    <mergeCell ref="B45:C45"/>
    <mergeCell ref="B85:C85"/>
    <mergeCell ref="G50:H50"/>
    <mergeCell ref="D105:I105"/>
    <mergeCell ref="E102:I102"/>
    <mergeCell ref="B32:I32"/>
    <mergeCell ref="D59:H59"/>
    <mergeCell ref="B97:I97"/>
    <mergeCell ref="B47:C47"/>
    <mergeCell ref="G52:H52"/>
    <mergeCell ref="B7:I7"/>
    <mergeCell ref="D34:H34"/>
    <mergeCell ref="B59:C59"/>
    <mergeCell ref="D107:I107"/>
    <mergeCell ref="D116:I116"/>
    <mergeCell ref="B46:C46"/>
    <mergeCell ref="B3:I3"/>
    <mergeCell ref="D46:E46"/>
    <mergeCell ref="D84:H84"/>
    <mergeCell ref="D22:H22"/>
    <mergeCell ref="D36:H36"/>
    <mergeCell ref="B43:I43"/>
    <mergeCell ref="B39:C39"/>
    <mergeCell ref="B70:C70"/>
    <mergeCell ref="B48:C48"/>
    <mergeCell ref="D86:H86"/>
    <mergeCell ref="B2:I2"/>
    <mergeCell ref="D13:H13"/>
    <mergeCell ref="B23:C23"/>
    <mergeCell ref="B8:C8"/>
    <mergeCell ref="D70:H70"/>
    <mergeCell ref="B73:C73"/>
    <mergeCell ref="B87:C87"/>
    <mergeCell ref="B44:I44"/>
    <mergeCell ref="E99:I99"/>
    <mergeCell ref="D72:H72"/>
    <mergeCell ref="D78:H78"/>
    <mergeCell ref="B10:C10"/>
    <mergeCell ref="G45:H45"/>
    <mergeCell ref="D56:H56"/>
    <mergeCell ref="B65:C65"/>
    <mergeCell ref="E101:I101"/>
    <mergeCell ref="B74:C74"/>
    <mergeCell ref="B68:C68"/>
    <mergeCell ref="D15:H15"/>
    <mergeCell ref="G47:H47"/>
    <mergeCell ref="D24:H24"/>
    <mergeCell ref="D64:H64"/>
    <mergeCell ref="B20:I20"/>
    <mergeCell ref="D33:H33"/>
    <mergeCell ref="D89:H89"/>
    <mergeCell ref="B36:C36"/>
    <mergeCell ref="G46:H46"/>
    <mergeCell ref="B50:C50"/>
    <mergeCell ref="D79:H79"/>
    <mergeCell ref="D88:H88"/>
    <mergeCell ref="D26:H26"/>
  </mergeCells>
  <dataValidations count="2">
    <dataValidation sqref="C105:C106" showDropDown="0" showInputMessage="0" showErrorMessage="0" allowBlank="1" type="list" errorStyle="stop" operator="between">
      <formula1>Listas!$B$2:$B$6</formula1>
      <formula2>0</formula2>
    </dataValidation>
    <dataValidation sqref="C107" showDropDown="0" showInputMessage="0" showErrorMessage="0" allowBlank="1" type="list" errorStyle="stop" operator="between">
      <formula1>Listas!$P$1:$P$6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001F7A4D"/>
    <outlinePr summaryBelow="1" summaryRight="1"/>
    <pageSetUpPr fitToPage="0"/>
  </sheetPr>
  <dimension ref="A1:I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0" customWidth="1" style="77" min="2" max="2"/>
    <col width="18" customWidth="1" style="77" min="3" max="8"/>
    <col width="22" customWidth="1" style="77" min="9" max="9"/>
  </cols>
  <sheetData>
    <row r="1" ht="4.5" customHeight="1" s="78">
      <c r="A1" s="85" t="n"/>
      <c r="B1" s="85" t="n"/>
      <c r="C1" s="85" t="n"/>
      <c r="D1" s="85" t="n"/>
      <c r="E1" s="85" t="n"/>
      <c r="F1" s="85" t="n"/>
      <c r="G1" s="85" t="n"/>
      <c r="H1" s="85" t="n"/>
      <c r="I1" s="85" t="n"/>
    </row>
    <row r="2" ht="31.5" customHeight="1" s="78">
      <c r="A2" s="85" t="n"/>
      <c r="B2" s="81" t="inlineStr">
        <is>
          <t>Caracterización · SURA Mesa 4</t>
        </is>
      </c>
      <c r="C2" s="85" t="n"/>
      <c r="D2" s="85" t="n"/>
      <c r="E2" s="85" t="n"/>
      <c r="F2" s="85" t="n"/>
      <c r="G2" s="85" t="n"/>
      <c r="H2" s="85" t="n"/>
      <c r="I2" s="85" t="n"/>
    </row>
    <row r="3" ht="18" customHeight="1" s="78">
      <c r="A3" s="85" t="n"/>
      <c r="B3" s="82" t="inlineStr">
        <is>
          <t>PersonalSoft · Mesa de Servicios de Nueva Generación · Julio 2026</t>
        </is>
      </c>
      <c r="C3" s="85" t="n"/>
      <c r="D3" s="85" t="n"/>
      <c r="E3" s="85" t="n"/>
      <c r="F3" s="85" t="n"/>
      <c r="G3" s="85" t="n"/>
      <c r="H3" s="85" t="n"/>
      <c r="I3" s="85" t="n"/>
    </row>
    <row r="4" ht="4.5" customHeight="1" s="78">
      <c r="A4" s="85" t="n"/>
      <c r="B4" s="85" t="n"/>
      <c r="C4" s="85" t="n"/>
      <c r="D4" s="85" t="n"/>
      <c r="E4" s="85" t="n"/>
      <c r="F4" s="85" t="n"/>
      <c r="G4" s="85" t="n"/>
      <c r="H4" s="85" t="n"/>
      <c r="I4" s="85" t="n"/>
    </row>
    <row r="5" ht="15.75" customHeight="1" s="78">
      <c r="A5" s="85" t="n"/>
      <c r="B5" s="86" t="inlineStr">
        <is>
          <t>Blanco = dato requerido (fuente real)</t>
        </is>
      </c>
      <c r="C5" s="85" t="n"/>
      <c r="D5" s="85" t="n"/>
      <c r="E5" s="87" t="inlineStr">
        <is>
          <t>Amarillo = estimación aceptada si no hay dato exacto</t>
        </is>
      </c>
      <c r="F5" s="85" t="n"/>
      <c r="G5" s="85" t="n"/>
      <c r="H5" s="85" t="n"/>
      <c r="I5" s="87" t="inlineStr">
        <is>
          <t>Col. I = Fuente / nota</t>
        </is>
      </c>
    </row>
    <row r="6" ht="4.5" customHeight="1" s="78">
      <c r="A6" s="85" t="n"/>
      <c r="B6" s="85" t="n"/>
      <c r="C6" s="85" t="n"/>
      <c r="D6" s="85" t="n"/>
      <c r="E6" s="85" t="n"/>
      <c r="F6" s="85" t="n"/>
      <c r="G6" s="85" t="n"/>
      <c r="H6" s="85" t="n"/>
      <c r="I6" s="85" t="n"/>
    </row>
    <row r="7" ht="21.75" customHeight="1" s="78">
      <c r="A7" s="85" t="n"/>
      <c r="B7" s="88" t="inlineStr">
        <is>
          <t>①  IDENTIDAD Y ALCANCE  ·  5 min</t>
        </is>
      </c>
      <c r="C7" s="85" t="n"/>
      <c r="D7" s="85" t="n"/>
      <c r="E7" s="85" t="n"/>
      <c r="F7" s="85" t="n"/>
      <c r="G7" s="85" t="n"/>
      <c r="H7" s="85" t="n"/>
      <c r="I7" s="85" t="n"/>
    </row>
    <row r="8" ht="21.75" customHeight="1" s="78">
      <c r="A8" s="85" t="n"/>
      <c r="B8" s="89" t="inlineStr">
        <is>
          <t>Mesa / Cliente:</t>
        </is>
      </c>
      <c r="C8" s="85" t="n"/>
      <c r="D8" s="90" t="n"/>
      <c r="E8" s="85" t="n"/>
      <c r="F8" s="85" t="n"/>
      <c r="G8" s="85" t="n"/>
      <c r="H8" s="85" t="n"/>
      <c r="I8" s="87" t="inlineStr">
        <is>
          <t>Nombre completo de la mesa y del cliente</t>
        </is>
      </c>
    </row>
    <row r="9" ht="21.75" customHeight="1" s="78">
      <c r="A9" s="85" t="n"/>
      <c r="B9" s="89" t="inlineStr">
        <is>
          <t>Tipo de mesa:</t>
        </is>
      </c>
      <c r="C9" s="85" t="n"/>
      <c r="D9" s="89" t="n"/>
      <c r="E9" s="85" t="n"/>
      <c r="F9" s="85" t="n"/>
      <c r="G9" s="85" t="n"/>
      <c r="H9" s="85" t="n"/>
      <c r="I9" s="87" t="inlineStr">
        <is>
          <t>Mesa de Ayuda / Mesa de Soporte / Torre de Control / Mesa Híbrida</t>
        </is>
      </c>
    </row>
    <row r="10" ht="21.75" customHeight="1" s="78">
      <c r="A10" s="85" t="n"/>
      <c r="B10" s="89" t="inlineStr">
        <is>
          <t>Cliente:</t>
        </is>
      </c>
      <c r="C10" s="85" t="n"/>
      <c r="D10" s="90" t="n"/>
      <c r="E10" s="85" t="n"/>
      <c r="F10" s="85" t="n"/>
      <c r="G10" s="85" t="n"/>
      <c r="H10" s="85" t="n"/>
      <c r="I10" s="87" t="inlineStr">
        <is>
          <t>SURA / Bancolombia / XM / AES / Medicarte / Centro América / Otro</t>
        </is>
      </c>
    </row>
    <row r="11" ht="21.75" customHeight="1" s="78">
      <c r="A11" s="85" t="n"/>
      <c r="B11" s="89" t="inlineStr">
        <is>
          <t>Sector:</t>
        </is>
      </c>
      <c r="C11" s="85" t="n"/>
      <c r="D11" s="90" t="n"/>
      <c r="E11" s="85" t="n"/>
      <c r="F11" s="85" t="n"/>
      <c r="G11" s="85" t="n"/>
      <c r="H11" s="85" t="n"/>
      <c r="I11" s="87" t="inlineStr">
        <is>
          <t>Banca y Seguros / Salud / Energía / Retail / Manufactura / Gobierno / Otro</t>
        </is>
      </c>
    </row>
    <row r="12" ht="21.75" customHeight="1" s="78">
      <c r="A12" s="85" t="n"/>
      <c r="B12" s="89" t="inlineStr">
        <is>
          <t>Criticidad para el negocio:</t>
        </is>
      </c>
      <c r="C12" s="85" t="n"/>
      <c r="D12" s="89" t="n"/>
      <c r="E12" s="85" t="n"/>
      <c r="F12" s="85" t="n"/>
      <c r="G12" s="85" t="n"/>
      <c r="H12" s="85" t="n"/>
      <c r="I12" s="87" t="inlineStr">
        <is>
          <t>Alta (PDN directo) / Media (impacto usuarios) / Baja (interna)</t>
        </is>
      </c>
    </row>
    <row r="13" ht="21.75" customHeight="1" s="78">
      <c r="A13" s="85" t="n"/>
      <c r="B13" s="89" t="inlineStr">
        <is>
          <t>Sabor de servicio PS:</t>
        </is>
      </c>
      <c r="C13" s="85" t="n"/>
      <c r="D13" s="89" t="n"/>
      <c r="E13" s="85" t="n"/>
      <c r="F13" s="85" t="n"/>
      <c r="G13" s="85" t="n"/>
      <c r="H13" s="85" t="n"/>
      <c r="I13" s="87" t="inlineStr">
        <is>
          <t>Equipo dedicado / Soporte compartido / Express (Alfa)</t>
        </is>
      </c>
    </row>
    <row r="14" ht="21.75" customHeight="1" s="78">
      <c r="A14" s="85" t="n"/>
      <c r="B14" s="89" t="inlineStr">
        <is>
          <t>Horario contractual:</t>
        </is>
      </c>
      <c r="C14" s="85" t="n"/>
      <c r="D14" s="89" t="n"/>
      <c r="E14" s="85" t="n"/>
      <c r="F14" s="85" t="n"/>
      <c r="G14" s="85" t="n"/>
      <c r="H14" s="85" t="n"/>
      <c r="I14" s="87" t="inlineStr">
        <is>
          <t>Ej: L-V 7am-6pm · 5x8 · 7x24h</t>
        </is>
      </c>
    </row>
    <row r="15" ht="21.75" customHeight="1" s="78">
      <c r="A15" s="85" t="n"/>
      <c r="B15" s="89" t="inlineStr">
        <is>
          <t>Horario real (operación efectiva):</t>
        </is>
      </c>
      <c r="C15" s="85" t="n"/>
      <c r="D15" s="90" t="n"/>
      <c r="E15" s="85" t="n"/>
      <c r="F15" s="85" t="n"/>
      <c r="G15" s="85" t="n"/>
      <c r="H15" s="85" t="n"/>
      <c r="I15" s="87" t="inlineStr">
        <is>
          <t>¿El horario real coincide con el contractual? ¿Hay horas extra?</t>
        </is>
      </c>
    </row>
    <row r="16" ht="21.75" customHeight="1" s="78">
      <c r="A16" s="85" t="n"/>
      <c r="B16" s="89" t="inlineStr">
        <is>
          <t>GAP horario — h/semana adicionales no reconocidas:</t>
        </is>
      </c>
      <c r="C16" s="85" t="n"/>
      <c r="D16" s="90" t="n"/>
      <c r="E16" s="85" t="n"/>
      <c r="F16" s="85" t="n"/>
      <c r="G16" s="85" t="n"/>
      <c r="H16" s="85" t="n"/>
      <c r="I16" s="87" t="inlineStr">
        <is>
          <t>Estimado en horas semanales</t>
        </is>
      </c>
    </row>
    <row r="17" ht="39.75" customHeight="1" s="78">
      <c r="A17" s="85" t="n"/>
      <c r="B17" s="89" t="inlineStr">
        <is>
          <t>Descripción del servicio (2-3 líneas):</t>
        </is>
      </c>
      <c r="C17" s="85" t="n"/>
      <c r="D17" s="90" t="n"/>
      <c r="E17" s="85" t="n"/>
      <c r="F17" s="85" t="n"/>
      <c r="G17" s="85" t="n"/>
      <c r="H17" s="85" t="n"/>
      <c r="I17" s="87" t="inlineStr">
        <is>
          <t>Qué resuelve esta mesa, qué aplicaciones soporta</t>
        </is>
      </c>
    </row>
    <row r="18" ht="6" customHeight="1" s="78">
      <c r="A18" s="85" t="n"/>
      <c r="B18" s="85" t="n"/>
      <c r="C18" s="85" t="n"/>
      <c r="D18" s="85" t="n"/>
      <c r="E18" s="85" t="n"/>
      <c r="F18" s="85" t="n"/>
      <c r="G18" s="85" t="n"/>
      <c r="H18" s="85" t="n"/>
      <c r="I18" s="85" t="n"/>
    </row>
    <row r="19" ht="21.75" customHeight="1" s="78">
      <c r="A19" s="85" t="n"/>
      <c r="B19" s="88" t="inlineStr">
        <is>
          <t>②  VOLUMETRÍA Y ECONOMÍA  ·  10 min</t>
        </is>
      </c>
      <c r="C19" s="85" t="n"/>
      <c r="D19" s="85" t="n"/>
      <c r="E19" s="85" t="n"/>
      <c r="F19" s="85" t="n"/>
      <c r="G19" s="85" t="n"/>
      <c r="H19" s="85" t="n"/>
      <c r="I19" s="85" t="n"/>
    </row>
    <row r="20" ht="18" customHeight="1" s="78">
      <c r="A20" s="85" t="n"/>
      <c r="B20" s="89" t="inlineStr">
        <is>
          <t>Volumetría mensual promedio</t>
        </is>
      </c>
      <c r="C20" s="85" t="n"/>
      <c r="D20" s="85" t="n"/>
      <c r="E20" s="85" t="n"/>
      <c r="F20" s="85" t="n"/>
      <c r="G20" s="85" t="n"/>
      <c r="H20" s="85" t="n"/>
      <c r="I20" s="85" t="n"/>
    </row>
    <row r="21" ht="21.75" customHeight="1" s="78">
      <c r="A21" s="85" t="n"/>
      <c r="B21" s="89" t="inlineStr">
        <is>
          <t>Total tickets / mes:</t>
        </is>
      </c>
      <c r="C21" s="85" t="n"/>
      <c r="D21" s="89" t="n"/>
      <c r="E21" s="85" t="n"/>
      <c r="F21" s="85" t="n"/>
      <c r="G21" s="85" t="n"/>
      <c r="H21" s="85" t="n"/>
      <c r="I21" s="87" t="inlineStr">
        <is>
          <t>Fuente ideal: herramienta de tickets. Estimado OK si no hay datos.</t>
        </is>
      </c>
    </row>
    <row r="22" ht="21.75" customHeight="1" s="78">
      <c r="A22" s="85" t="n"/>
      <c r="B22" s="89" t="inlineStr">
        <is>
          <t xml:space="preserve">  → % Incidentes (del total):</t>
        </is>
      </c>
      <c r="C22" s="85" t="n"/>
      <c r="D22" s="89" t="n"/>
      <c r="E22" s="85" t="n"/>
      <c r="F22" s="85" t="n"/>
      <c r="G22" s="85" t="n"/>
      <c r="H22" s="85" t="n"/>
      <c r="I22" s="87" t="inlineStr">
        <is>
          <t>Ej: 60%</t>
        </is>
      </c>
    </row>
    <row r="23" ht="21.75" customHeight="1" s="78">
      <c r="A23" s="85" t="n"/>
      <c r="B23" s="89" t="inlineStr">
        <is>
          <t xml:space="preserve">  → % Solicitudes (del total):</t>
        </is>
      </c>
      <c r="C23" s="85" t="n"/>
      <c r="D23" s="89" t="n"/>
      <c r="E23" s="85" t="n"/>
      <c r="F23" s="85" t="n"/>
      <c r="G23" s="85" t="n"/>
      <c r="H23" s="85" t="n"/>
      <c r="I23" s="87" t="inlineStr">
        <is>
          <t>Ej: 35%</t>
        </is>
      </c>
    </row>
    <row r="24" ht="21.75" customHeight="1" s="78">
      <c r="A24" s="85" t="n"/>
      <c r="B24" s="89" t="inlineStr">
        <is>
          <t xml:space="preserve">  → % Problemas / RCA (del total):</t>
        </is>
      </c>
      <c r="C24" s="85" t="n"/>
      <c r="D24" s="89" t="n"/>
      <c r="E24" s="85" t="n"/>
      <c r="F24" s="85" t="n"/>
      <c r="G24" s="85" t="n"/>
      <c r="H24" s="85" t="n"/>
      <c r="I24" s="87" t="inlineStr">
        <is>
          <t>Ej: 5%</t>
        </is>
      </c>
    </row>
    <row r="25" ht="21.75" customHeight="1" s="78">
      <c r="A25" s="85" t="n"/>
      <c r="B25" s="89" t="inlineStr">
        <is>
          <t xml:space="preserve">  → % Tickets Críticos / P1:</t>
        </is>
      </c>
      <c r="C25" s="85" t="n"/>
      <c r="D25" s="89" t="n"/>
      <c r="E25" s="85" t="n"/>
      <c r="F25" s="85" t="n"/>
      <c r="G25" s="85" t="n"/>
      <c r="H25" s="85" t="n"/>
      <c r="I25" s="87" t="inlineStr">
        <is>
          <t>Tickets con impacto PDN o multi-usuario</t>
        </is>
      </c>
    </row>
    <row r="26" ht="21.75" customHeight="1" s="78">
      <c r="A26" s="85" t="n"/>
      <c r="B26" s="89" t="inlineStr">
        <is>
          <t>Canales de entrada activos:</t>
        </is>
      </c>
      <c r="C26" s="85" t="n"/>
      <c r="D26" s="89" t="n"/>
      <c r="E26" s="85" t="n"/>
      <c r="F26" s="85" t="n"/>
      <c r="G26" s="85" t="n"/>
      <c r="H26" s="85" t="n"/>
      <c r="I26" s="87" t="inlineStr">
        <is>
          <t>Teléfono / Portal / Correo / Chat / WhatsApp / Presencial</t>
        </is>
      </c>
    </row>
    <row r="27" ht="21.75" customHeight="1" s="78">
      <c r="A27" s="85" t="n"/>
      <c r="B27" s="89" t="inlineStr">
        <is>
          <t>% tickets fuera de horario (sin atender en SLA):</t>
        </is>
      </c>
      <c r="C27" s="85" t="n"/>
      <c r="D27" s="89" t="n"/>
      <c r="E27" s="85" t="n"/>
      <c r="F27" s="85" t="n"/>
      <c r="G27" s="85" t="n"/>
      <c r="H27" s="85" t="n"/>
      <c r="I27" s="87" t="inlineStr">
        <is>
          <t>Tickets que llegan pero no se atienden en horario pactado</t>
        </is>
      </c>
    </row>
    <row r="28" ht="21.75" customHeight="1" s="78">
      <c r="A28" s="85" t="n"/>
      <c r="B28" s="89" t="inlineStr">
        <is>
          <t>Pico de demanda (día / hora):</t>
        </is>
      </c>
      <c r="C28" s="85" t="n"/>
      <c r="D28" s="89" t="n"/>
      <c r="E28" s="85" t="n"/>
      <c r="F28" s="85" t="n"/>
      <c r="G28" s="85" t="n"/>
      <c r="H28" s="85" t="n"/>
      <c r="I28" s="87" t="inlineStr">
        <is>
          <t>Ej: Lunes 9-11am · Cierre de mes · Despliegues viernes</t>
        </is>
      </c>
    </row>
    <row r="29" ht="21.75" customHeight="1" s="78">
      <c r="A29" s="85" t="n"/>
      <c r="B29" s="89" t="inlineStr">
        <is>
          <t>MTTR promedio estimado (horas):</t>
        </is>
      </c>
      <c r="C29" s="85" t="n"/>
      <c r="D29" s="89" t="n"/>
      <c r="E29" s="85" t="n"/>
      <c r="F29" s="85" t="n"/>
      <c r="G29" s="85" t="n"/>
      <c r="H29" s="85" t="n"/>
      <c r="I29" s="87" t="inlineStr">
        <is>
          <t>Tiempo medio de resolución. Por prioridad si es posible.</t>
        </is>
      </c>
    </row>
    <row r="30" ht="21.75" customHeight="1" s="78">
      <c r="A30" s="85" t="n"/>
      <c r="B30" s="89" t="inlineStr">
        <is>
          <t>FCR — First Call Resolution % (estimado):</t>
        </is>
      </c>
      <c r="C30" s="85" t="n"/>
      <c r="D30" s="89" t="n"/>
      <c r="E30" s="85" t="n"/>
      <c r="F30" s="85" t="n"/>
      <c r="G30" s="85" t="n"/>
      <c r="H30" s="85" t="n"/>
      <c r="I30" s="87" t="inlineStr">
        <is>
          <t>% resuelto en primer contacto sin escalar a N2/N3</t>
        </is>
      </c>
    </row>
    <row r="31" ht="3.75" customHeight="1" s="78">
      <c r="A31" s="85" t="n"/>
      <c r="B31" s="85" t="n"/>
      <c r="C31" s="85" t="n"/>
      <c r="D31" s="85" t="n"/>
      <c r="E31" s="85" t="n"/>
      <c r="F31" s="85" t="n"/>
      <c r="G31" s="85" t="n"/>
      <c r="H31" s="85" t="n"/>
      <c r="I31" s="85" t="n"/>
    </row>
    <row r="32" ht="18" customHeight="1" s="78">
      <c r="A32" s="85" t="n"/>
      <c r="B32" s="89" t="inlineStr">
        <is>
          <t>Modelo económico y contrato</t>
        </is>
      </c>
      <c r="C32" s="85" t="n"/>
      <c r="D32" s="85" t="n"/>
      <c r="E32" s="85" t="n"/>
      <c r="F32" s="85" t="n"/>
      <c r="G32" s="85" t="n"/>
      <c r="H32" s="85" t="n"/>
      <c r="I32" s="85" t="n"/>
    </row>
    <row r="33" ht="21.75" customHeight="1" s="78">
      <c r="A33" s="85" t="n"/>
      <c r="B33" s="89" t="inlineStr">
        <is>
          <t>Modelo de cobro:</t>
        </is>
      </c>
      <c r="C33" s="85" t="n"/>
      <c r="D33" s="89" t="n"/>
      <c r="E33" s="85" t="n"/>
      <c r="F33" s="85" t="n"/>
      <c r="G33" s="85" t="n"/>
      <c r="H33" s="85" t="n"/>
      <c r="I33" s="87" t="inlineStr">
        <is>
          <t>Por FTE / Por ticket / Precio fijo mensual / Mixto / Precio fijo + variable</t>
        </is>
      </c>
    </row>
    <row r="34" ht="21.75" customHeight="1" s="78">
      <c r="A34" s="85" t="n"/>
      <c r="B34" s="89" t="inlineStr">
        <is>
          <t># FTEs facturados al cliente:</t>
        </is>
      </c>
      <c r="C34" s="85" t="n"/>
      <c r="D34" s="90" t="n"/>
      <c r="E34" s="85" t="n"/>
      <c r="F34" s="85" t="n"/>
      <c r="G34" s="85" t="n"/>
      <c r="H34" s="85" t="n"/>
      <c r="I34" s="87" t="inlineStr">
        <is>
          <t>Número de personas que PS factura a este cliente</t>
        </is>
      </c>
    </row>
    <row r="35" ht="21.75" customHeight="1" s="78">
      <c r="A35" s="85" t="n"/>
      <c r="B35" s="89" t="inlineStr">
        <is>
          <t>Tarifa mensual total (COP o USD):</t>
        </is>
      </c>
      <c r="C35" s="85" t="n"/>
      <c r="D35" s="90" t="n"/>
      <c r="E35" s="85" t="n"/>
      <c r="F35" s="85" t="n"/>
      <c r="G35" s="85" t="n"/>
      <c r="H35" s="85" t="n"/>
      <c r="I35" s="87" t="inlineStr">
        <is>
          <t>Valor del contrato mensual. Estimado OK si no tienes exacto.</t>
        </is>
      </c>
    </row>
    <row r="36" ht="21.75" customHeight="1" s="78">
      <c r="A36" s="85" t="n"/>
      <c r="B36" s="89" t="inlineStr">
        <is>
          <t>Costo/FTE promedio (costo interno PS):</t>
        </is>
      </c>
      <c r="C36" s="85" t="n"/>
      <c r="D36" s="89" t="n"/>
      <c r="E36" s="85" t="n"/>
      <c r="F36" s="85" t="n"/>
      <c r="G36" s="85" t="n"/>
      <c r="H36" s="85" t="n"/>
      <c r="I36" s="87" t="inlineStr">
        <is>
          <t>Costo interno. Confidencial — solo para análisis de rentabilidad.</t>
        </is>
      </c>
    </row>
    <row r="37" ht="21.75" customHeight="1" s="78">
      <c r="A37" s="85" t="n"/>
      <c r="B37" s="89" t="inlineStr">
        <is>
          <t>Margen estimado (%):</t>
        </is>
      </c>
      <c r="C37" s="85" t="n"/>
      <c r="D37" s="89" t="n"/>
      <c r="E37" s="85" t="n"/>
      <c r="F37" s="85" t="n"/>
      <c r="G37" s="85" t="n"/>
      <c r="H37" s="85" t="n"/>
      <c r="I37" s="87" t="inlineStr">
        <is>
          <t>Rango: Bajo &lt; 15% / Medio 15-25% / Alto &gt; 25%</t>
        </is>
      </c>
    </row>
    <row r="38" ht="21.75" customHeight="1" s="78">
      <c r="A38" s="85" t="n"/>
      <c r="B38" s="89" t="inlineStr">
        <is>
          <t>¿Hay penalidades ANS activas en el contrato?</t>
        </is>
      </c>
      <c r="C38" s="85" t="n"/>
      <c r="D38" s="89" t="n"/>
      <c r="E38" s="85" t="n"/>
      <c r="F38" s="85" t="n"/>
      <c r="G38" s="85" t="n"/>
      <c r="H38" s="85" t="n"/>
      <c r="I38" s="87" t="inlineStr">
        <is>
          <t>Sí / No / Parcial. ¿Se aplican realmente?</t>
        </is>
      </c>
    </row>
    <row r="39" ht="21.75" customHeight="1" s="78">
      <c r="A39" s="85" t="n"/>
      <c r="B39" s="89" t="inlineStr">
        <is>
          <t>¿El modelo permite cobrar expansión de scope?</t>
        </is>
      </c>
      <c r="C39" s="85" t="n"/>
      <c r="D39" s="89" t="n"/>
      <c r="E39" s="85" t="n"/>
      <c r="F39" s="85" t="n"/>
      <c r="G39" s="85" t="n"/>
      <c r="H39" s="85" t="n"/>
      <c r="I39" s="87" t="inlineStr">
        <is>
          <t>Sí / No. ¿Existe mecanismo formal de adición de alcance?</t>
        </is>
      </c>
    </row>
    <row r="40" ht="21.75" customHeight="1" s="78">
      <c r="A40" s="85" t="n"/>
      <c r="B40" s="89" t="inlineStr">
        <is>
          <t>Fecha de renovación del contrato:</t>
        </is>
      </c>
      <c r="C40" s="85" t="n"/>
      <c r="D40" s="90" t="n"/>
      <c r="E40" s="85" t="n"/>
      <c r="F40" s="85" t="n"/>
      <c r="G40" s="85" t="n"/>
      <c r="H40" s="85" t="n"/>
      <c r="I40" s="87" t="inlineStr">
        <is>
          <t>Mes/Año de próxima renovación o vencimiento</t>
        </is>
      </c>
    </row>
    <row r="41" ht="21.75" customHeight="1" s="78">
      <c r="A41" s="85" t="n"/>
      <c r="B41" s="89" t="inlineStr">
        <is>
          <t>¿Hay adiciones de scope sin renegociación de precio?</t>
        </is>
      </c>
      <c r="C41" s="85" t="n"/>
      <c r="D41" s="89" t="n"/>
      <c r="E41" s="85" t="n"/>
      <c r="F41" s="85" t="n"/>
      <c r="G41" s="85" t="n"/>
      <c r="H41" s="85" t="n"/>
      <c r="I41" s="87" t="inlineStr">
        <is>
          <t>Apps o integraciones agregadas sin ajuste de precio</t>
        </is>
      </c>
    </row>
    <row r="42" ht="6" customHeight="1" s="78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</row>
    <row r="43" ht="21.75" customHeight="1" s="78">
      <c r="A43" s="85" t="n"/>
      <c r="B43" s="88" t="inlineStr">
        <is>
          <t>③  PERSONAS Y CULTURA  ·  10 min</t>
        </is>
      </c>
      <c r="C43" s="85" t="n"/>
      <c r="D43" s="85" t="n"/>
      <c r="E43" s="85" t="n"/>
      <c r="F43" s="85" t="n"/>
      <c r="G43" s="85" t="n"/>
      <c r="H43" s="85" t="n"/>
      <c r="I43" s="85" t="n"/>
    </row>
    <row r="44" ht="18" customHeight="1" s="78">
      <c r="A44" s="85" t="n"/>
      <c r="B44" s="89" t="inlineStr">
        <is>
          <t>Composición del equipo por nivel</t>
        </is>
      </c>
      <c r="C44" s="85" t="n"/>
      <c r="D44" s="85" t="n"/>
      <c r="E44" s="85" t="n"/>
      <c r="F44" s="85" t="n"/>
      <c r="G44" s="85" t="n"/>
      <c r="H44" s="85" t="n"/>
      <c r="I44" s="85" t="n"/>
    </row>
    <row r="45" ht="19.5" customHeight="1" s="78">
      <c r="A45" s="85" t="n"/>
      <c r="B45" s="91" t="inlineStr">
        <is>
          <t>Rol / Nivel</t>
        </is>
      </c>
      <c r="C45" s="85" t="n"/>
      <c r="D45" s="91" t="inlineStr">
        <is>
          <t>FTEs actuales</t>
        </is>
      </c>
      <c r="E45" s="85" t="n"/>
      <c r="F45" s="91" t="inlineStr">
        <is>
          <t>FTEs requeridos (ideal)</t>
        </is>
      </c>
      <c r="G45" s="91" t="inlineStr">
        <is>
          <t>% tiempo en soporte</t>
        </is>
      </c>
      <c r="H45" s="85" t="n"/>
      <c r="I45" s="91" t="inlineStr">
        <is>
          <t>Fuente</t>
        </is>
      </c>
    </row>
    <row r="46" ht="19.5" customHeight="1" s="78">
      <c r="A46" s="85" t="n"/>
      <c r="B46" s="89" t="inlineStr">
        <is>
          <t>Gerente de Mesa / Account Manager</t>
        </is>
      </c>
      <c r="C46" s="85" t="n"/>
      <c r="D46" s="92" t="n"/>
      <c r="E46" s="85" t="n"/>
      <c r="F46" s="92" t="n"/>
      <c r="G46" s="92" t="n"/>
      <c r="H46" s="85" t="n"/>
      <c r="I46" s="92" t="n"/>
    </row>
    <row r="47" ht="19.5" customHeight="1" s="78">
      <c r="A47" s="85" t="n"/>
      <c r="B47" s="90" t="inlineStr">
        <is>
          <t>Líder Técnico / Coordinador N2</t>
        </is>
      </c>
      <c r="C47" s="85" t="n"/>
      <c r="D47" s="93" t="n"/>
      <c r="E47" s="85" t="n"/>
      <c r="F47" s="93" t="n"/>
      <c r="G47" s="93" t="n"/>
      <c r="H47" s="85" t="n"/>
      <c r="I47" s="93" t="n"/>
    </row>
    <row r="48" ht="19.5" customHeight="1" s="78">
      <c r="A48" s="85" t="n"/>
      <c r="B48" s="89" t="inlineStr">
        <is>
          <t>Analista N1 (front-end)</t>
        </is>
      </c>
      <c r="C48" s="85" t="n"/>
      <c r="D48" s="92" t="n"/>
      <c r="E48" s="85" t="n"/>
      <c r="F48" s="92" t="n"/>
      <c r="G48" s="92" t="n"/>
      <c r="H48" s="85" t="n"/>
      <c r="I48" s="92" t="n"/>
    </row>
    <row r="49" ht="19.5" customHeight="1" s="78">
      <c r="A49" s="85" t="n"/>
      <c r="B49" s="90" t="inlineStr">
        <is>
          <t>Especialista N2 (soporte avanzado)</t>
        </is>
      </c>
      <c r="C49" s="85" t="n"/>
      <c r="D49" s="93" t="n"/>
      <c r="E49" s="85" t="n"/>
      <c r="F49" s="93" t="n"/>
      <c r="G49" s="93" t="n"/>
      <c r="H49" s="85" t="n"/>
      <c r="I49" s="93" t="n"/>
    </row>
    <row r="50" ht="19.5" customHeight="1" s="78">
      <c r="A50" s="85" t="n"/>
      <c r="B50" s="89" t="inlineStr">
        <is>
          <t>Desarrollador / Especialista N3</t>
        </is>
      </c>
      <c r="C50" s="85" t="n"/>
      <c r="D50" s="92" t="n"/>
      <c r="E50" s="85" t="n"/>
      <c r="F50" s="92" t="n"/>
      <c r="G50" s="92" t="n"/>
      <c r="H50" s="85" t="n"/>
      <c r="I50" s="92" t="n"/>
    </row>
    <row r="51" ht="19.5" customHeight="1" s="78">
      <c r="A51" s="85" t="n"/>
      <c r="B51" s="90" t="inlineStr">
        <is>
          <t>Especialista IA / Datos</t>
        </is>
      </c>
      <c r="C51" s="85" t="n"/>
      <c r="D51" s="93" t="n"/>
      <c r="E51" s="85" t="n"/>
      <c r="F51" s="93" t="n"/>
      <c r="G51" s="93" t="n"/>
      <c r="H51" s="85" t="n"/>
      <c r="I51" s="93" t="n"/>
    </row>
    <row r="52" ht="19.5" customHeight="1" s="78">
      <c r="A52" s="85" t="n"/>
      <c r="B52" s="89" t="inlineStr">
        <is>
          <t>TOTAL</t>
        </is>
      </c>
      <c r="C52" s="85" t="n"/>
      <c r="D52" s="92" t="n"/>
      <c r="E52" s="85" t="n"/>
      <c r="F52" s="92" t="n"/>
      <c r="G52" s="92" t="n"/>
      <c r="H52" s="85" t="n"/>
      <c r="I52" s="92" t="n"/>
    </row>
    <row r="53" ht="3.75" customHeight="1" s="78">
      <c r="A53" s="85" t="n"/>
      <c r="B53" s="85" t="n"/>
      <c r="C53" s="85" t="n"/>
      <c r="D53" s="85" t="n"/>
      <c r="E53" s="85" t="n"/>
      <c r="F53" s="85" t="n"/>
      <c r="G53" s="85" t="n"/>
      <c r="H53" s="85" t="n"/>
      <c r="I53" s="85" t="n"/>
    </row>
    <row r="54" ht="21.75" customHeight="1" s="78">
      <c r="A54" s="85" t="n"/>
      <c r="B54" s="89" t="inlineStr">
        <is>
          <t>Rotación anual del equipo (%):</t>
        </is>
      </c>
      <c r="C54" s="85" t="n"/>
      <c r="D54" s="89" t="n"/>
      <c r="E54" s="85" t="n"/>
      <c r="F54" s="85" t="n"/>
      <c r="G54" s="85" t="n"/>
      <c r="H54" s="85" t="n"/>
      <c r="I54" s="87" t="inlineStr">
        <is>
          <t>Bajo &lt; 10% / Medio 10-25% / Alto &gt; 25% / Muy alto &gt; 50%</t>
        </is>
      </c>
    </row>
    <row r="55" ht="21.75" customHeight="1" s="78">
      <c r="A55" s="85" t="n"/>
      <c r="B55" s="89" t="inlineStr">
        <is>
          <t>Antigüedad promedio en este cliente (meses):</t>
        </is>
      </c>
      <c r="C55" s="85" t="n"/>
      <c r="D55" s="89" t="n"/>
      <c r="E55" s="85" t="n"/>
      <c r="F55" s="85" t="n"/>
      <c r="G55" s="85" t="n"/>
      <c r="H55" s="85" t="n"/>
      <c r="I55" s="87" t="inlineStr">
        <is>
          <t>Tiempo que llevan los FTEs actuales en esta mesa</t>
        </is>
      </c>
    </row>
    <row r="56" ht="21.75" customHeight="1" s="78">
      <c r="A56" s="85" t="n"/>
      <c r="B56" s="89" t="inlineStr">
        <is>
          <t>Bus factor — ¿quién sabe TODO de esta mesa?:</t>
        </is>
      </c>
      <c r="C56" s="85" t="n"/>
      <c r="D56" s="90" t="n"/>
      <c r="E56" s="85" t="n"/>
      <c r="F56" s="85" t="n"/>
      <c r="G56" s="85" t="n"/>
      <c r="H56" s="85" t="n"/>
      <c r="I56" s="87" t="inlineStr">
        <is>
          <t>Nombre(s) de la(s) persona(s) crítica(s). Si se va, hay crisis.</t>
        </is>
      </c>
    </row>
    <row r="57" ht="21.75" customHeight="1" s="78">
      <c r="A57" s="85" t="n"/>
      <c r="B57" s="89" t="inlineStr">
        <is>
          <t>¿El equipo tiene ruta de crecimiento definida?</t>
        </is>
      </c>
      <c r="C57" s="85" t="n"/>
      <c r="D57" s="89" t="n"/>
      <c r="E57" s="85" t="n"/>
      <c r="F57" s="85" t="n"/>
      <c r="G57" s="85" t="n"/>
      <c r="H57" s="85" t="n"/>
      <c r="I57" s="87" t="inlineStr">
        <is>
          <t>Sí / No / Parcial — ¿Plan de carrera documentado?</t>
        </is>
      </c>
    </row>
    <row r="58" ht="21.75" customHeight="1" s="78">
      <c r="A58" s="85" t="n"/>
      <c r="B58" s="89" t="inlineStr">
        <is>
          <t>Satisfacción del equipo (NPS interno estimado 1-10):</t>
        </is>
      </c>
      <c r="C58" s="85" t="n"/>
      <c r="D58" s="89" t="n"/>
      <c r="E58" s="85" t="n"/>
      <c r="F58" s="85" t="n"/>
      <c r="G58" s="85" t="n"/>
      <c r="H58" s="85" t="n"/>
      <c r="I58" s="87" t="inlineStr">
        <is>
          <t>Estimación del líder de mesa</t>
        </is>
      </c>
    </row>
    <row r="59" ht="21.75" customHeight="1" s="78">
      <c r="A59" s="85" t="n"/>
      <c r="B59" s="89" t="inlineStr">
        <is>
          <t>Principal causa de rotación identificada:</t>
        </is>
      </c>
      <c r="C59" s="85" t="n"/>
      <c r="D59" s="90" t="n"/>
      <c r="E59" s="85" t="n"/>
      <c r="F59" s="85" t="n"/>
      <c r="G59" s="85" t="n"/>
      <c r="H59" s="85" t="n"/>
      <c r="I59" s="87" t="inlineStr">
        <is>
          <t>Salario / Falta crecimiento / Carga alta / Conflicto cliente / Otro</t>
        </is>
      </c>
    </row>
    <row r="60" ht="21.75" customHeight="1" s="78">
      <c r="A60" s="85" t="n"/>
      <c r="B60" s="89" t="inlineStr">
        <is>
          <t>¿Horas extra frecuentes no reconocidas?</t>
        </is>
      </c>
      <c r="C60" s="85" t="n"/>
      <c r="D60" s="90" t="n"/>
      <c r="E60" s="85" t="n"/>
      <c r="F60" s="85" t="n"/>
      <c r="G60" s="85" t="n"/>
      <c r="H60" s="85" t="n"/>
      <c r="I60" s="87" t="inlineStr">
        <is>
          <t>Sí / No. ¿Cuántas h/semana? ¿Se compensan?</t>
        </is>
      </c>
    </row>
    <row r="61" ht="6" customHeight="1" s="78">
      <c r="A61" s="85" t="n"/>
      <c r="B61" s="85" t="n"/>
      <c r="C61" s="85" t="n"/>
      <c r="D61" s="85" t="n"/>
      <c r="E61" s="85" t="n"/>
      <c r="F61" s="85" t="n"/>
      <c r="G61" s="85" t="n"/>
      <c r="H61" s="85" t="n"/>
      <c r="I61" s="85" t="n"/>
    </row>
    <row r="62" ht="21.75" customHeight="1" s="78">
      <c r="A62" s="85" t="n"/>
      <c r="B62" s="88" t="inlineStr">
        <is>
          <t>④  STACK TECNOLÓGICO Y APLICACIONES  ·  8 min</t>
        </is>
      </c>
      <c r="C62" s="85" t="n"/>
      <c r="D62" s="85" t="n"/>
      <c r="E62" s="85" t="n"/>
      <c r="F62" s="85" t="n"/>
      <c r="G62" s="85" t="n"/>
      <c r="H62" s="85" t="n"/>
      <c r="I62" s="85" t="n"/>
    </row>
    <row r="63" ht="21.75" customHeight="1" s="78">
      <c r="A63" s="85" t="n"/>
      <c r="B63" s="94" t="inlineStr">
        <is>
          <t>Herramienta de tickets (nombre):</t>
        </is>
      </c>
      <c r="C63" s="85" t="n"/>
      <c r="D63" s="89" t="n"/>
      <c r="E63" s="85" t="n"/>
      <c r="F63" s="85" t="n"/>
      <c r="G63" s="85" t="n"/>
      <c r="H63" s="85" t="n"/>
      <c r="I63" s="87" t="inlineStr">
        <is>
          <t>ServiceNow / Jira / BMC Remedy / Computer Associates / Excel / Otra</t>
        </is>
      </c>
    </row>
    <row r="64" ht="21.75" customHeight="1" s="78">
      <c r="A64" s="85" t="n"/>
      <c r="B64" s="94" t="inlineStr">
        <is>
          <t>¿Herramienta es del cliente o de PS?:</t>
        </is>
      </c>
      <c r="C64" s="85" t="n"/>
      <c r="D64" s="89" t="n"/>
      <c r="E64" s="85" t="n"/>
      <c r="F64" s="85" t="n"/>
      <c r="G64" s="85" t="n"/>
      <c r="H64" s="85" t="n"/>
      <c r="I64" s="87" t="inlineStr">
        <is>
          <t>Cliente (nos adaptamos) / PS provee herramienta</t>
        </is>
      </c>
    </row>
    <row r="65" ht="21.75" customHeight="1" s="78">
      <c r="A65" s="85" t="n"/>
      <c r="B65" s="94" t="inlineStr">
        <is>
          <t># Aplicaciones en scope:</t>
        </is>
      </c>
      <c r="C65" s="85" t="n"/>
      <c r="D65" s="90" t="n"/>
      <c r="E65" s="85" t="n"/>
      <c r="F65" s="85" t="n"/>
      <c r="G65" s="85" t="n"/>
      <c r="H65" s="85" t="n"/>
      <c r="I65" s="87" t="inlineStr">
        <is>
          <t>Número total de apps que esta mesa soporta</t>
        </is>
      </c>
    </row>
    <row r="66" ht="21.75" customHeight="1" s="78">
      <c r="A66" s="85" t="n"/>
      <c r="B66" s="94" t="inlineStr">
        <is>
          <t>Aplicaciones críticas (top 5):</t>
        </is>
      </c>
      <c r="C66" s="85" t="n"/>
      <c r="D66" s="90" t="n"/>
      <c r="E66" s="85" t="n"/>
      <c r="F66" s="85" t="n"/>
      <c r="G66" s="85" t="n"/>
      <c r="H66" s="85" t="n"/>
      <c r="I66" s="87" t="inlineStr">
        <is>
          <t>Listar por nombre. Ej: SAP FI · Portal web · API pagos</t>
        </is>
      </c>
    </row>
    <row r="67" ht="21.75" customHeight="1" s="78">
      <c r="A67" s="85" t="n"/>
      <c r="B67" s="94" t="inlineStr">
        <is>
          <t>Lenguajes / plataformas soportadas:</t>
        </is>
      </c>
      <c r="C67" s="85" t="n"/>
      <c r="D67" s="90" t="n"/>
      <c r="E67" s="85" t="n"/>
      <c r="F67" s="85" t="n"/>
      <c r="G67" s="85" t="n"/>
      <c r="H67" s="85" t="n"/>
      <c r="I67" s="87" t="inlineStr">
        <is>
          <t>Java / .Net / Python / SAP / AWS / Azure / Power Platform / OT/IT</t>
        </is>
      </c>
    </row>
    <row r="68" ht="21.75" customHeight="1" s="78">
      <c r="A68" s="85" t="n"/>
      <c r="B68" s="94" t="inlineStr">
        <is>
          <t># Ambientes soportados (DEV/QA/PRD):</t>
        </is>
      </c>
      <c r="C68" s="85" t="n"/>
      <c r="D68" s="90" t="n"/>
      <c r="E68" s="85" t="n"/>
      <c r="F68" s="85" t="n"/>
      <c r="G68" s="85" t="n"/>
      <c r="H68" s="85" t="n"/>
      <c r="I68" s="87" t="inlineStr">
        <is>
          <t>¿Todos los ambientes generan tickets?</t>
        </is>
      </c>
    </row>
    <row r="69" ht="21.75" customHeight="1" s="78">
      <c r="A69" s="85" t="n"/>
      <c r="B69" s="94" t="inlineStr">
        <is>
          <t>Integraciones críticas documentadas:</t>
        </is>
      </c>
      <c r="C69" s="85" t="n"/>
      <c r="D69" s="89" t="n"/>
      <c r="E69" s="85" t="n"/>
      <c r="F69" s="85" t="n"/>
      <c r="G69" s="85" t="n"/>
      <c r="H69" s="85" t="n"/>
      <c r="I69" s="87" t="inlineStr">
        <is>
          <t>Sí / No / Parcial. ¿Existe mapa de dependencias?</t>
        </is>
      </c>
    </row>
    <row r="70" ht="21.75" customHeight="1" s="78">
      <c r="A70" s="85" t="n"/>
      <c r="B70" s="94" t="inlineStr">
        <is>
          <t>¿Monitoreo activo configurado?:</t>
        </is>
      </c>
      <c r="C70" s="85" t="n"/>
      <c r="D70" s="89" t="n"/>
      <c r="E70" s="85" t="n"/>
      <c r="F70" s="85" t="n"/>
      <c r="G70" s="85" t="n"/>
      <c r="H70" s="85" t="n"/>
      <c r="I70" s="87" t="inlineStr">
        <is>
          <t>Sí / No / Parcial. ¿Qué herramienta? ¿Umbrales definidos?</t>
        </is>
      </c>
    </row>
    <row r="71" ht="21.75" customHeight="1" s="78">
      <c r="A71" s="85" t="n"/>
      <c r="B71" s="94" t="inlineStr">
        <is>
          <t>¿KEDB (base de conocimiento) existe?:</t>
        </is>
      </c>
      <c r="C71" s="85" t="n"/>
      <c r="D71" s="89" t="n"/>
      <c r="E71" s="85" t="n"/>
      <c r="F71" s="85" t="n"/>
      <c r="G71" s="85" t="n"/>
      <c r="H71" s="85" t="n"/>
      <c r="I71" s="87" t="inlineStr">
        <is>
          <t>Sí / No / Parcial. ¿Actualizada? ¿Quién la mantiene?</t>
        </is>
      </c>
    </row>
    <row r="72" ht="21.75" customHeight="1" s="78">
      <c r="A72" s="85" t="n"/>
      <c r="B72" s="94" t="inlineStr">
        <is>
          <t>¿Automatización en producción?:</t>
        </is>
      </c>
      <c r="C72" s="85" t="n"/>
      <c r="D72" s="89" t="n"/>
      <c r="E72" s="85" t="n"/>
      <c r="F72" s="85" t="n"/>
      <c r="G72" s="85" t="n"/>
      <c r="H72" s="85" t="n"/>
      <c r="I72" s="87" t="inlineStr">
        <is>
          <t>Sí / No. Si Sí: ¿qué automatiza? ¿% tickets automatizados?</t>
        </is>
      </c>
    </row>
    <row r="73" ht="21.75" customHeight="1" s="78">
      <c r="A73" s="85" t="n"/>
      <c r="B73" s="94" t="inlineStr">
        <is>
          <t>¿Hay N0 activo (autoservicio / portal)?:</t>
        </is>
      </c>
      <c r="C73" s="85" t="n"/>
      <c r="D73" s="89" t="n"/>
      <c r="E73" s="85" t="n"/>
      <c r="F73" s="85" t="n"/>
      <c r="G73" s="85" t="n"/>
      <c r="H73" s="85" t="n"/>
      <c r="I73" s="87" t="inlineStr">
        <is>
          <t>Sí / No / En construcción. ¿% de deflexión?</t>
        </is>
      </c>
    </row>
    <row r="74" ht="21.75" customHeight="1" s="78">
      <c r="A74" s="85" t="n"/>
      <c r="B74" s="94" t="inlineStr">
        <is>
          <t>Regulación sectorial aplicable:</t>
        </is>
      </c>
      <c r="C74" s="85" t="n"/>
      <c r="D74" s="90" t="n"/>
      <c r="E74" s="85" t="n"/>
      <c r="F74" s="85" t="n"/>
      <c r="G74" s="85" t="n"/>
      <c r="H74" s="85" t="n"/>
      <c r="I74" s="87" t="inlineStr">
        <is>
          <t>SFC / SOX / BCP/DRP / Habeas Data / Supersalud / RIPS / Ninguna</t>
        </is>
      </c>
    </row>
    <row r="75" ht="6" customHeight="1" s="78">
      <c r="A75" s="85" t="n"/>
      <c r="B75" s="85" t="n"/>
      <c r="C75" s="85" t="n"/>
      <c r="D75" s="85" t="n"/>
      <c r="E75" s="85" t="n"/>
      <c r="F75" s="85" t="n"/>
      <c r="G75" s="85" t="n"/>
      <c r="H75" s="85" t="n"/>
      <c r="I75" s="85" t="n"/>
    </row>
    <row r="76" ht="21.75" customHeight="1" s="78">
      <c r="A76" s="85" t="n"/>
      <c r="B76" s="88" t="inlineStr">
        <is>
          <t>⑤  RIESGOS Y OPORTUNIDADES  ·  7 min</t>
        </is>
      </c>
      <c r="C76" s="85" t="n"/>
      <c r="D76" s="85" t="n"/>
      <c r="E76" s="85" t="n"/>
      <c r="F76" s="85" t="n"/>
      <c r="G76" s="85" t="n"/>
      <c r="H76" s="85" t="n"/>
      <c r="I76" s="85" t="n"/>
    </row>
    <row r="77" ht="18" customHeight="1" s="78">
      <c r="A77" s="85" t="n"/>
      <c r="B77" s="95" t="inlineStr">
        <is>
          <t>Top 3 riesgos actuales</t>
        </is>
      </c>
      <c r="C77" s="85" t="n"/>
      <c r="D77" s="85" t="n"/>
      <c r="E77" s="85" t="n"/>
      <c r="F77" s="85" t="n"/>
      <c r="G77" s="85" t="n"/>
      <c r="H77" s="85" t="n"/>
      <c r="I77" s="85" t="n"/>
    </row>
    <row r="78" ht="25.5" customHeight="1" s="78">
      <c r="A78" s="85" t="n"/>
      <c r="B78" s="89" t="inlineStr">
        <is>
          <t>Riesgo #1:</t>
        </is>
      </c>
      <c r="C78" s="85" t="n"/>
      <c r="D78" s="90" t="n"/>
      <c r="E78" s="85" t="n"/>
      <c r="F78" s="85" t="n"/>
      <c r="G78" s="85" t="n"/>
      <c r="H78" s="85" t="n"/>
      <c r="I78" s="87" t="inlineStr">
        <is>
          <t>Ej: Bus factor / Scope creep / ANS sin medir / Churn latente</t>
        </is>
      </c>
    </row>
    <row r="79" ht="25.5" customHeight="1" s="78">
      <c r="A79" s="85" t="n"/>
      <c r="B79" s="89" t="inlineStr">
        <is>
          <t>Riesgo #2:</t>
        </is>
      </c>
      <c r="C79" s="85" t="n"/>
      <c r="D79" s="90" t="n"/>
      <c r="E79" s="85" t="n"/>
      <c r="F79" s="85" t="n"/>
      <c r="G79" s="85" t="n"/>
      <c r="H79" s="85" t="n"/>
      <c r="I79" s="87" t="inlineStr">
        <is>
          <t>Ej: Bus factor / Scope creep / ANS sin medir / Churn latente</t>
        </is>
      </c>
    </row>
    <row r="80" ht="25.5" customHeight="1" s="78">
      <c r="A80" s="85" t="n"/>
      <c r="B80" s="89" t="inlineStr">
        <is>
          <t>Riesgo #3:</t>
        </is>
      </c>
      <c r="C80" s="85" t="n"/>
      <c r="D80" s="90" t="n"/>
      <c r="E80" s="85" t="n"/>
      <c r="F80" s="85" t="n"/>
      <c r="G80" s="85" t="n"/>
      <c r="H80" s="85" t="n"/>
      <c r="I80" s="87" t="inlineStr">
        <is>
          <t>Ej: Bus factor / Scope creep / ANS sin medir / Churn latente</t>
        </is>
      </c>
    </row>
    <row r="81" ht="3.75" customHeight="1" s="78">
      <c r="A81" s="85" t="n"/>
      <c r="B81" s="85" t="n"/>
      <c r="C81" s="85" t="n"/>
      <c r="D81" s="85" t="n"/>
      <c r="E81" s="85" t="n"/>
      <c r="F81" s="85" t="n"/>
      <c r="G81" s="85" t="n"/>
      <c r="H81" s="85" t="n"/>
      <c r="I81" s="85" t="n"/>
    </row>
    <row r="82" ht="18" customHeight="1" s="78">
      <c r="A82" s="85" t="n"/>
      <c r="B82" s="96" t="inlineStr">
        <is>
          <t>Oportunidades para el servicio Gen Next</t>
        </is>
      </c>
      <c r="C82" s="85" t="n"/>
      <c r="D82" s="85" t="n"/>
      <c r="E82" s="85" t="n"/>
      <c r="F82" s="85" t="n"/>
      <c r="G82" s="85" t="n"/>
      <c r="H82" s="85" t="n"/>
      <c r="I82" s="85" t="n"/>
    </row>
    <row r="83" ht="21.75" customHeight="1" s="78">
      <c r="A83" s="85" t="n"/>
      <c r="B83" s="89" t="inlineStr">
        <is>
          <t>Potencial de automatización:</t>
        </is>
      </c>
      <c r="C83" s="85" t="n"/>
      <c r="D83" s="89" t="n"/>
      <c r="E83" s="85" t="n"/>
      <c r="F83" s="85" t="n"/>
      <c r="G83" s="85" t="n"/>
      <c r="H83" s="85" t="n"/>
      <c r="I83" s="87" t="inlineStr">
        <is>
          <t>Alto / Medio / Bajo. ¿Qué tareas repetitivas hay?</t>
        </is>
      </c>
    </row>
    <row r="84" ht="21.75" customHeight="1" s="78">
      <c r="A84" s="85" t="n"/>
      <c r="B84" s="89" t="inlineStr">
        <is>
          <t>Potencial de incorporar IA:</t>
        </is>
      </c>
      <c r="C84" s="85" t="n"/>
      <c r="D84" s="89" t="n"/>
      <c r="E84" s="85" t="n"/>
      <c r="F84" s="85" t="n"/>
      <c r="G84" s="85" t="n"/>
      <c r="H84" s="85" t="n"/>
      <c r="I84" s="87" t="inlineStr">
        <is>
          <t>Alto / Medio / Bajo. ¿Clasificación / KEDB / AIOps?</t>
        </is>
      </c>
    </row>
    <row r="85" ht="21.75" customHeight="1" s="78">
      <c r="A85" s="85" t="n"/>
      <c r="B85" s="89" t="inlineStr">
        <is>
          <t>Apetito del cliente por el cambio:</t>
        </is>
      </c>
      <c r="C85" s="85" t="n"/>
      <c r="D85" s="89" t="n"/>
      <c r="E85" s="85" t="n"/>
      <c r="F85" s="85" t="n"/>
      <c r="G85" s="85" t="n"/>
      <c r="H85" s="85" t="n"/>
      <c r="I85" s="87" t="inlineStr">
        <is>
          <t>Alto (promotor activo) / Medio (receptivo) / Bajo (conservador)</t>
        </is>
      </c>
    </row>
    <row r="86" ht="21.75" customHeight="1" s="78">
      <c r="A86" s="85" t="n"/>
      <c r="B86" s="89" t="inlineStr">
        <is>
          <t>Señal de churn (semáforo):</t>
        </is>
      </c>
      <c r="C86" s="85" t="n"/>
      <c r="D86" s="89" t="n"/>
      <c r="E86" s="85" t="n"/>
      <c r="F86" s="85" t="n"/>
      <c r="G86" s="85" t="n"/>
      <c r="H86" s="85" t="n"/>
      <c r="I86" s="87" t="inlineStr">
        <is>
          <t>Verde / Amarillo / Naranja / Rojo</t>
        </is>
      </c>
    </row>
    <row r="87" ht="21.75" customHeight="1" s="78">
      <c r="A87" s="85" t="n"/>
      <c r="B87" s="89" t="inlineStr">
        <is>
          <t>¿Hay oportunidad de upselling?:</t>
        </is>
      </c>
      <c r="C87" s="85" t="n"/>
      <c r="D87" s="89" t="n"/>
      <c r="E87" s="85" t="n"/>
      <c r="F87" s="85" t="n"/>
      <c r="G87" s="85" t="n"/>
      <c r="H87" s="85" t="n"/>
      <c r="I87" s="87" t="inlineStr">
        <is>
          <t>Sí / No. Si Sí: ¿qué servicio adicional? ¿quién decide?</t>
        </is>
      </c>
    </row>
    <row r="88" ht="21.75" customHeight="1" s="78">
      <c r="A88" s="85" t="n"/>
      <c r="B88" s="89" t="inlineStr">
        <is>
          <t>¿Esta mesa es replicable como template?:</t>
        </is>
      </c>
      <c r="C88" s="85" t="n"/>
      <c r="D88" s="89" t="n"/>
      <c r="E88" s="85" t="n"/>
      <c r="F88" s="85" t="n"/>
      <c r="G88" s="85" t="n"/>
      <c r="H88" s="85" t="n"/>
      <c r="I88" s="87" t="inlineStr">
        <is>
          <t>Sí / No / Parcial. ¿Qué haría falta?</t>
        </is>
      </c>
    </row>
    <row r="89" ht="36" customHeight="1" s="78">
      <c r="A89" s="85" t="n"/>
      <c r="B89" s="89" t="inlineStr">
        <is>
          <t>¿Qué haría esta mesa excelente? (voz del líder):</t>
        </is>
      </c>
      <c r="C89" s="85" t="n"/>
      <c r="D89" s="90" t="n"/>
      <c r="E89" s="85" t="n"/>
      <c r="F89" s="85" t="n"/>
      <c r="G89" s="85" t="n"/>
      <c r="H89" s="85" t="n"/>
      <c r="I89" s="87" t="inlineStr">
        <is>
          <t>Respuesta literal del líder de mesa</t>
        </is>
      </c>
    </row>
    <row r="90" ht="36" customHeight="1" s="78">
      <c r="A90" s="85" t="n"/>
      <c r="B90" s="89" t="inlineStr">
        <is>
          <t>¿Qué automatizaría primero si tuviera IA?:</t>
        </is>
      </c>
      <c r="C90" s="85" t="n"/>
      <c r="D90" s="90" t="n"/>
      <c r="E90" s="85" t="n"/>
      <c r="F90" s="85" t="n"/>
      <c r="G90" s="85" t="n"/>
      <c r="H90" s="85" t="n"/>
      <c r="I90" s="87" t="inlineStr">
        <is>
          <t>Respuesta literal del líder de mesa</t>
        </is>
      </c>
    </row>
    <row r="91" ht="36" customHeight="1" s="78">
      <c r="A91" s="85" t="n"/>
      <c r="B91" s="89" t="inlineStr">
        <is>
          <t>Comentarios / contexto adicional:</t>
        </is>
      </c>
      <c r="C91" s="85" t="n"/>
      <c r="D91" s="90" t="n"/>
      <c r="E91" s="85" t="n"/>
      <c r="F91" s="85" t="n"/>
      <c r="G91" s="85" t="n"/>
      <c r="H91" s="85" t="n"/>
      <c r="I91" s="87" t="inlineStr">
        <is>
          <t>Cualquier dato relevante que no entró en los bloques anteriores</t>
        </is>
      </c>
    </row>
    <row r="92" ht="4.5" customHeight="1" s="78">
      <c r="A92" s="85" t="n"/>
      <c r="B92" s="85" t="n"/>
      <c r="C92" s="85" t="n"/>
      <c r="D92" s="85" t="n"/>
      <c r="E92" s="85" t="n"/>
      <c r="F92" s="85" t="n"/>
      <c r="G92" s="85" t="n"/>
      <c r="H92" s="85" t="n"/>
      <c r="I92" s="85" t="n"/>
    </row>
    <row r="93" ht="18" customHeight="1" s="78">
      <c r="A93" s="85" t="n"/>
      <c r="B93" s="97" t="inlineStr">
        <is>
          <t>PersonalSoft · CTO / SICTO · Mesa de Servicios de Nueva Generación · Julio 2026</t>
        </is>
      </c>
      <c r="C93" s="85" t="n"/>
      <c r="D93" s="85" t="n"/>
      <c r="E93" s="85" t="n"/>
      <c r="F93" s="85" t="n"/>
      <c r="G93" s="85" t="n"/>
      <c r="H93" s="85" t="n"/>
      <c r="I93" s="85" t="n"/>
    </row>
    <row r="94">
      <c r="A94" s="85" t="n"/>
      <c r="B94" s="85" t="n"/>
      <c r="C94" s="85" t="n"/>
      <c r="D94" s="85" t="n"/>
      <c r="E94" s="85" t="n"/>
      <c r="F94" s="85" t="n"/>
      <c r="G94" s="85" t="n"/>
      <c r="H94" s="85" t="n"/>
      <c r="I94" s="85" t="n"/>
    </row>
    <row r="95">
      <c r="A95" s="85" t="n"/>
      <c r="B95" s="85" t="n"/>
      <c r="C95" s="85" t="n"/>
      <c r="D95" s="85" t="n"/>
      <c r="E95" s="85" t="n"/>
      <c r="F95" s="85" t="n"/>
      <c r="G95" s="85" t="n"/>
      <c r="H95" s="85" t="n"/>
      <c r="I95" s="85" t="n"/>
    </row>
    <row r="96" ht="30" customHeight="1" s="78">
      <c r="A96" s="85" t="n"/>
      <c r="B96" s="98" t="inlineStr">
        <is>
          <t>MODO DE OPERACIÓN · SURA Mesa 4</t>
        </is>
      </c>
      <c r="C96" s="85" t="n"/>
      <c r="D96" s="85" t="n"/>
      <c r="E96" s="85" t="n"/>
      <c r="F96" s="85" t="n"/>
      <c r="G96" s="85" t="n"/>
      <c r="H96" s="85" t="n"/>
      <c r="I96" s="85" t="n"/>
    </row>
    <row r="97" ht="24" customHeight="1" s="78">
      <c r="A97" s="85" t="n"/>
      <c r="B97" s="99" t="inlineStr">
        <is>
          <t>¿Cómo opera hoy esta mesa? — Reactiva, Proactiva o Automatizada · Esta sección define qué tipo de mesa es y hacia dónde debe evolucionar</t>
        </is>
      </c>
      <c r="C97" s="85" t="n"/>
      <c r="D97" s="85" t="n"/>
      <c r="E97" s="85" t="n"/>
      <c r="F97" s="85" t="n"/>
      <c r="G97" s="85" t="n"/>
      <c r="H97" s="85" t="n"/>
      <c r="I97" s="85" t="n"/>
    </row>
    <row r="98" ht="19.5" customHeight="1" s="78">
      <c r="A98" s="85" t="n"/>
      <c r="B98" s="100" t="inlineStr">
        <is>
          <t>Tipo / Modo</t>
        </is>
      </c>
      <c r="C98" s="85" t="n"/>
      <c r="D98" s="85" t="n"/>
      <c r="E98" s="101" t="inlineStr">
        <is>
          <t>Características — cómo se ve en la práctica</t>
        </is>
      </c>
      <c r="F98" s="85" t="n"/>
      <c r="G98" s="85" t="n"/>
      <c r="H98" s="85" t="n"/>
      <c r="I98" s="85" t="n"/>
    </row>
    <row r="99" ht="27.75" customHeight="1" s="78">
      <c r="A99" s="85" t="n"/>
      <c r="B99" s="102" t="inlineStr">
        <is>
          <t>Mesa de Ayuda
(Help Desk)</t>
        </is>
      </c>
      <c r="C99" s="85" t="n"/>
      <c r="D99" s="103" t="inlineStr">
        <is>
          <t>Reactiva</t>
        </is>
      </c>
      <c r="E99" s="104" t="inlineStr">
        <is>
          <t>Solo responde cuando el usuario reporta · N1 sin escalamiento · Bus factor alto</t>
        </is>
      </c>
      <c r="F99" s="85" t="n"/>
      <c r="G99" s="85" t="n"/>
      <c r="H99" s="85" t="n"/>
      <c r="I99" s="85" t="n"/>
    </row>
    <row r="100" ht="27.75" customHeight="1" s="78">
      <c r="A100" s="85" t="n"/>
      <c r="B100" s="105" t="inlineStr">
        <is>
          <t>Mesa de Soporte</t>
        </is>
      </c>
      <c r="C100" s="85" t="n"/>
      <c r="D100" s="106" t="inlineStr">
        <is>
          <t>Reactiva + Proactiva</t>
        </is>
      </c>
      <c r="E100" s="107" t="inlineStr">
        <is>
          <t>N1+N2+N3 · Gestión de problemas · Algo de monitoreo · Documentación básica</t>
        </is>
      </c>
      <c r="F100" s="85" t="n"/>
      <c r="G100" s="85" t="n"/>
      <c r="H100" s="85" t="n"/>
      <c r="I100" s="85" t="n"/>
    </row>
    <row r="101" ht="27.75" customHeight="1" s="78">
      <c r="A101" s="85" t="n"/>
      <c r="B101" s="108" t="inlineStr">
        <is>
          <t>Mesa de Servicios
(Service Desk)</t>
        </is>
      </c>
      <c r="C101" s="85" t="n"/>
      <c r="D101" s="109" t="inlineStr">
        <is>
          <t>Proactiva e Integral</t>
        </is>
      </c>
      <c r="E101" s="110" t="inlineStr">
        <is>
          <t>SPOC · Catálogo · ANS medidos · Change Enablement · ITSM completo</t>
        </is>
      </c>
      <c r="F101" s="85" t="n"/>
      <c r="G101" s="85" t="n"/>
      <c r="H101" s="85" t="n"/>
      <c r="I101" s="85" t="n"/>
    </row>
    <row r="102" ht="27.75" customHeight="1" s="78">
      <c r="A102" s="85" t="n"/>
      <c r="B102" s="111" t="inlineStr">
        <is>
          <t>Torre de Control</t>
        </is>
      </c>
      <c r="C102" s="85" t="n"/>
      <c r="D102" s="112" t="inlineStr">
        <is>
          <t>Monitoreo y Observabilidad</t>
        </is>
      </c>
      <c r="E102" s="113" t="inlineStr">
        <is>
          <t>24x7 · AIOps · Detección antes del impacto · Alertas automáticas</t>
        </is>
      </c>
      <c r="F102" s="85" t="n"/>
      <c r="G102" s="85" t="n"/>
      <c r="H102" s="85" t="n"/>
      <c r="I102" s="85" t="n"/>
    </row>
    <row r="103" ht="27.75" customHeight="1" s="78">
      <c r="A103" s="85" t="n"/>
      <c r="B103" s="114" t="inlineStr">
        <is>
          <t>Mesa Gen Next</t>
        </is>
      </c>
      <c r="C103" s="85" t="n"/>
      <c r="D103" s="115" t="inlineStr">
        <is>
          <t>Autónoma e Inteligente</t>
        </is>
      </c>
      <c r="E103" s="116" t="inlineStr">
        <is>
          <t>IA activa · N0 real · Mejora continua · AIOps · Predicción de fallas</t>
        </is>
      </c>
      <c r="F103" s="85" t="n"/>
      <c r="G103" s="85" t="n"/>
      <c r="H103" s="85" t="n"/>
      <c r="I103" s="85" t="n"/>
    </row>
    <row r="104">
      <c r="A104" s="85" t="n"/>
      <c r="B104" s="85" t="n"/>
      <c r="C104" s="85" t="n"/>
      <c r="D104" s="85" t="n"/>
      <c r="E104" s="85" t="n"/>
      <c r="F104" s="85" t="n"/>
      <c r="G104" s="85" t="n"/>
      <c r="H104" s="85" t="n"/>
      <c r="I104" s="85" t="n"/>
    </row>
    <row r="105" ht="27.75" customHeight="1" s="78">
      <c r="A105" s="85" t="n"/>
      <c r="B105" s="117" t="inlineStr">
        <is>
          <t>¿Qué tipo de mesa es esta HOY?</t>
        </is>
      </c>
      <c r="C105" s="118" t="n"/>
      <c r="D105" s="119" t="inlineStr">
        <is>
          <t>↳ Mesa de Ayuda / Soporte / Service Desk / Torre de Control</t>
        </is>
      </c>
      <c r="E105" s="85" t="n"/>
      <c r="F105" s="85" t="n"/>
      <c r="G105" s="85" t="n"/>
      <c r="H105" s="85" t="n"/>
      <c r="I105" s="85" t="n"/>
    </row>
    <row r="106" ht="27.75" customHeight="1" s="78">
      <c r="A106" s="85" t="n"/>
      <c r="B106" s="117" t="inlineStr">
        <is>
          <t>¿Qué tipo debería ser en 12 meses?</t>
        </is>
      </c>
      <c r="C106" s="118" t="n"/>
      <c r="D106" s="119" t="inlineStr">
        <is>
          <t>↳ hacia dónde debe evolucionar con el modelo nuevo</t>
        </is>
      </c>
      <c r="E106" s="85" t="n"/>
      <c r="F106" s="85" t="n"/>
      <c r="G106" s="85" t="n"/>
      <c r="H106" s="85" t="n"/>
      <c r="I106" s="85" t="n"/>
    </row>
    <row r="107" ht="27.75" customHeight="1" s="78">
      <c r="A107" s="85" t="n"/>
      <c r="B107" s="117" t="inlineStr">
        <is>
          <t>Modo de operación actual:</t>
        </is>
      </c>
      <c r="C107" s="118" t="n"/>
      <c r="D107" s="119" t="inlineStr">
        <is>
          <t>↳ Reactivo / Proactivo / Autónomo</t>
        </is>
      </c>
      <c r="E107" s="85" t="n"/>
      <c r="F107" s="85" t="n"/>
      <c r="G107" s="85" t="n"/>
      <c r="H107" s="85" t="n"/>
      <c r="I107" s="85" t="n"/>
    </row>
    <row r="108">
      <c r="A108" s="85" t="n"/>
      <c r="B108" s="85" t="n"/>
      <c r="C108" s="85" t="n"/>
      <c r="D108" s="85" t="n"/>
      <c r="E108" s="85" t="n"/>
      <c r="F108" s="85" t="n"/>
      <c r="G108" s="85" t="n"/>
      <c r="H108" s="85" t="n"/>
      <c r="I108" s="85" t="n"/>
    </row>
    <row r="109" ht="21.75" customHeight="1" s="78">
      <c r="A109" s="85" t="n"/>
      <c r="B109" s="120" t="inlineStr">
        <is>
          <t>Preguntas clave — modo de operación real</t>
        </is>
      </c>
      <c r="C109" s="85" t="n"/>
      <c r="D109" s="85" t="n"/>
      <c r="E109" s="85" t="n"/>
      <c r="F109" s="85" t="n"/>
      <c r="G109" s="85" t="n"/>
      <c r="H109" s="85" t="n"/>
      <c r="I109" s="85" t="n"/>
    </row>
    <row r="110" ht="27.75" customHeight="1" s="78">
      <c r="A110" s="85" t="n"/>
      <c r="B110" s="121" t="inlineStr">
        <is>
          <t>¿Cómo se entera el equipo de que hay un problema?</t>
        </is>
      </c>
      <c r="C110" s="122" t="n"/>
      <c r="D110" s="119" t="inlineStr">
        <is>
          <t>↳ Solo cuando el usuario llama (reactivo) / Alertas / Antes del impacto (proactivo)</t>
        </is>
      </c>
      <c r="E110" s="85" t="n"/>
      <c r="F110" s="85" t="n"/>
      <c r="G110" s="85" t="n"/>
      <c r="H110" s="85" t="n"/>
      <c r="I110" s="85" t="n"/>
    </row>
    <row r="111" ht="27.75" customHeight="1" s="78">
      <c r="A111" s="85" t="n"/>
      <c r="B111" s="121" t="inlineStr">
        <is>
          <t>¿Hay monitoreo automatizado de los sistemas del cliente?</t>
        </is>
      </c>
      <c r="C111" s="122" t="n"/>
      <c r="D111" s="119" t="inlineStr">
        <is>
          <t>↳ Sí / No / Parcial · ¿qué herramienta? ¿qué sistemas monitorea?</t>
        </is>
      </c>
      <c r="E111" s="85" t="n"/>
      <c r="F111" s="85" t="n"/>
      <c r="G111" s="85" t="n"/>
      <c r="H111" s="85" t="n"/>
      <c r="I111" s="85" t="n"/>
    </row>
    <row r="112" ht="27.75" customHeight="1" s="78">
      <c r="A112" s="85" t="n"/>
      <c r="B112" s="121" t="inlineStr">
        <is>
          <t>¿Se detectan incidentes ANTES de que el usuario los reporte?</t>
        </is>
      </c>
      <c r="C112" s="122" t="n"/>
      <c r="D112" s="119" t="inlineStr">
        <is>
          <t>↳ Sí (proactiva) / A veces / No (reactiva) — dar un ejemplo concreto</t>
        </is>
      </c>
      <c r="E112" s="85" t="n"/>
      <c r="F112" s="85" t="n"/>
      <c r="G112" s="85" t="n"/>
      <c r="H112" s="85" t="n"/>
      <c r="I112" s="85" t="n"/>
    </row>
    <row r="113" ht="27.75" customHeight="1" s="78">
      <c r="A113" s="85" t="n"/>
      <c r="B113" s="121" t="inlineStr">
        <is>
          <t>¿Cuántos tickets se resuelven sin intervención humana (% automatizados)?</t>
        </is>
      </c>
      <c r="C113" s="122" t="n"/>
      <c r="D113" s="119" t="inlineStr">
        <is>
          <t>↳ ej: 0% todo manual · 10% · 30% — cifra estimada</t>
        </is>
      </c>
      <c r="E113" s="85" t="n"/>
      <c r="F113" s="85" t="n"/>
      <c r="G113" s="85" t="n"/>
      <c r="H113" s="85" t="n"/>
      <c r="I113" s="85" t="n"/>
    </row>
    <row r="114" ht="27.75" customHeight="1" s="78">
      <c r="A114" s="85" t="n"/>
      <c r="B114" s="121" t="inlineStr">
        <is>
          <t>¿El usuario puede resolver algo solo sin contactar la mesa?</t>
        </is>
      </c>
      <c r="C114" s="122" t="n"/>
      <c r="D114" s="119" t="inlineStr">
        <is>
          <t>↳ Sí (portal activo) / No / En construcción · ¿qué puede resolver solo?</t>
        </is>
      </c>
      <c r="E114" s="85" t="n"/>
      <c r="F114" s="85" t="n"/>
      <c r="G114" s="85" t="n"/>
      <c r="H114" s="85" t="n"/>
      <c r="I114" s="85" t="n"/>
    </row>
    <row r="115" ht="27.75" customHeight="1" s="78">
      <c r="A115" s="85" t="n"/>
      <c r="B115" s="121" t="inlineStr">
        <is>
          <t>¿Cuánto tiempo tarda hacer el informe mensual del cliente?</t>
        </is>
      </c>
      <c r="C115" s="122" t="n"/>
      <c r="D115" s="119" t="inlineStr">
        <is>
          <t>↳ ej: 2 horas / medio día / un día completo — ¿es manual o automático?</t>
        </is>
      </c>
      <c r="E115" s="85" t="n"/>
      <c r="F115" s="85" t="n"/>
      <c r="G115" s="85" t="n"/>
      <c r="H115" s="85" t="n"/>
      <c r="I115" s="85" t="n"/>
    </row>
    <row r="116" ht="27.75" customHeight="1" s="78">
      <c r="A116" s="85" t="n"/>
      <c r="B116" s="121" t="inlineStr">
        <is>
          <t>¿Se mide la satisfacción del usuario (CSAT/XLA) sistemáticamente?</t>
        </is>
      </c>
      <c r="C116" s="122" t="n"/>
      <c r="D116" s="119" t="inlineStr">
        <is>
          <t>↳ Sí / No / Parcial · ¿cuándo fue la última medición?</t>
        </is>
      </c>
      <c r="E116" s="85" t="n"/>
      <c r="F116" s="85" t="n"/>
      <c r="G116" s="85" t="n"/>
      <c r="H116" s="85" t="n"/>
      <c r="I116" s="85" t="n"/>
    </row>
    <row r="117" ht="27.75" customHeight="1" s="78">
      <c r="A117" s="85" t="n"/>
      <c r="B117" s="121" t="inlineStr">
        <is>
          <t>Si tuvieras presupuesto para 1 mejora, ¿qué harías primero?</t>
        </is>
      </c>
      <c r="C117" s="122" t="n"/>
      <c r="D117" s="119" t="inlineStr">
        <is>
          <t>↳ La respuesta más valiosa para el diseño del servicio nuevo</t>
        </is>
      </c>
      <c r="E117" s="85" t="n"/>
      <c r="F117" s="85" t="n"/>
      <c r="G117" s="85" t="n"/>
      <c r="H117" s="85" t="n"/>
      <c r="I117" s="85" t="n"/>
    </row>
  </sheetData>
  <mergeCells count="185">
    <mergeCell ref="B91:C91"/>
    <mergeCell ref="D35:H35"/>
    <mergeCell ref="B100:C100"/>
    <mergeCell ref="B62:I62"/>
    <mergeCell ref="D10:H10"/>
    <mergeCell ref="D90:H90"/>
    <mergeCell ref="B22:C22"/>
    <mergeCell ref="B102:C102"/>
    <mergeCell ref="D50:E50"/>
    <mergeCell ref="D45:E45"/>
    <mergeCell ref="B12:C12"/>
    <mergeCell ref="B96:I96"/>
    <mergeCell ref="B21:C21"/>
    <mergeCell ref="B86:C86"/>
    <mergeCell ref="E103:I103"/>
    <mergeCell ref="D106:I106"/>
    <mergeCell ref="B67:C67"/>
    <mergeCell ref="D11:H11"/>
    <mergeCell ref="B101:C101"/>
    <mergeCell ref="B14:C14"/>
    <mergeCell ref="D48:E48"/>
    <mergeCell ref="D66:H66"/>
    <mergeCell ref="B13:C13"/>
    <mergeCell ref="B69:C69"/>
    <mergeCell ref="D117:I117"/>
    <mergeCell ref="B38:C38"/>
    <mergeCell ref="B82:I82"/>
    <mergeCell ref="B78:C78"/>
    <mergeCell ref="D28:H28"/>
    <mergeCell ref="D110:I110"/>
    <mergeCell ref="B19:I19"/>
    <mergeCell ref="D37:H37"/>
    <mergeCell ref="B40:C40"/>
    <mergeCell ref="B49:C49"/>
    <mergeCell ref="D9:H9"/>
    <mergeCell ref="B55:C55"/>
    <mergeCell ref="B24:C24"/>
    <mergeCell ref="D30:H30"/>
    <mergeCell ref="D39:H39"/>
    <mergeCell ref="B64:C64"/>
    <mergeCell ref="B33:C33"/>
    <mergeCell ref="B51:C51"/>
    <mergeCell ref="D51:E51"/>
    <mergeCell ref="D29:H29"/>
    <mergeCell ref="D23:H23"/>
    <mergeCell ref="D38:H38"/>
    <mergeCell ref="B76:I76"/>
    <mergeCell ref="B63:C63"/>
    <mergeCell ref="B26:C26"/>
    <mergeCell ref="B41:C41"/>
    <mergeCell ref="D111:I111"/>
    <mergeCell ref="B35:C35"/>
    <mergeCell ref="B16:C16"/>
    <mergeCell ref="B98:D98"/>
    <mergeCell ref="B25:C25"/>
    <mergeCell ref="B90:C90"/>
    <mergeCell ref="B109:I109"/>
    <mergeCell ref="D63:H63"/>
    <mergeCell ref="B66:C66"/>
    <mergeCell ref="D80:H80"/>
    <mergeCell ref="B27:C27"/>
    <mergeCell ref="G48:H48"/>
    <mergeCell ref="D65:H65"/>
    <mergeCell ref="B11:C11"/>
    <mergeCell ref="D57:H57"/>
    <mergeCell ref="D27:H27"/>
    <mergeCell ref="D41:H41"/>
    <mergeCell ref="D114:I114"/>
    <mergeCell ref="E5:H5"/>
    <mergeCell ref="D17:H17"/>
    <mergeCell ref="G49:H49"/>
    <mergeCell ref="D47:E47"/>
    <mergeCell ref="D91:H91"/>
    <mergeCell ref="B5:D5"/>
    <mergeCell ref="B29:C29"/>
    <mergeCell ref="D113:I113"/>
    <mergeCell ref="B103:C103"/>
    <mergeCell ref="B37:C37"/>
    <mergeCell ref="B84:C84"/>
    <mergeCell ref="D115:I115"/>
    <mergeCell ref="D74:H74"/>
    <mergeCell ref="D12:H12"/>
    <mergeCell ref="D68:H68"/>
    <mergeCell ref="D25:H25"/>
    <mergeCell ref="D83:H83"/>
    <mergeCell ref="B15:C15"/>
    <mergeCell ref="D55:H55"/>
    <mergeCell ref="B80:C80"/>
    <mergeCell ref="B89:C89"/>
    <mergeCell ref="D67:H67"/>
    <mergeCell ref="D14:H14"/>
    <mergeCell ref="B79:C79"/>
    <mergeCell ref="D85:H85"/>
    <mergeCell ref="D54:H54"/>
    <mergeCell ref="D60:H60"/>
    <mergeCell ref="B54:C54"/>
    <mergeCell ref="D69:H69"/>
    <mergeCell ref="B72:C72"/>
    <mergeCell ref="E98:I98"/>
    <mergeCell ref="B56:C56"/>
    <mergeCell ref="B71:C71"/>
    <mergeCell ref="D40:H40"/>
    <mergeCell ref="B93:I93"/>
    <mergeCell ref="B58:C58"/>
    <mergeCell ref="B52:C52"/>
    <mergeCell ref="D21:H21"/>
    <mergeCell ref="D52:E52"/>
    <mergeCell ref="B77:I77"/>
    <mergeCell ref="D112:I112"/>
    <mergeCell ref="D49:E49"/>
    <mergeCell ref="B60:C60"/>
    <mergeCell ref="B17:C17"/>
    <mergeCell ref="B57:C57"/>
    <mergeCell ref="B88:C88"/>
    <mergeCell ref="D16:H16"/>
    <mergeCell ref="D87:H87"/>
    <mergeCell ref="B34:C34"/>
    <mergeCell ref="B28:C28"/>
    <mergeCell ref="B99:C99"/>
    <mergeCell ref="D71:H71"/>
    <mergeCell ref="B9:C9"/>
    <mergeCell ref="D58:H58"/>
    <mergeCell ref="B83:C83"/>
    <mergeCell ref="G51:H51"/>
    <mergeCell ref="B30:C30"/>
    <mergeCell ref="D8:H8"/>
    <mergeCell ref="E100:I100"/>
    <mergeCell ref="D73:H73"/>
    <mergeCell ref="B45:C45"/>
    <mergeCell ref="B85:C85"/>
    <mergeCell ref="G50:H50"/>
    <mergeCell ref="D105:I105"/>
    <mergeCell ref="E102:I102"/>
    <mergeCell ref="B32:I32"/>
    <mergeCell ref="D59:H59"/>
    <mergeCell ref="B97:I97"/>
    <mergeCell ref="B47:C47"/>
    <mergeCell ref="G52:H52"/>
    <mergeCell ref="B7:I7"/>
    <mergeCell ref="D34:H34"/>
    <mergeCell ref="B59:C59"/>
    <mergeCell ref="D107:I107"/>
    <mergeCell ref="D116:I116"/>
    <mergeCell ref="B46:C46"/>
    <mergeCell ref="B3:I3"/>
    <mergeCell ref="D46:E46"/>
    <mergeCell ref="D84:H84"/>
    <mergeCell ref="D22:H22"/>
    <mergeCell ref="D36:H36"/>
    <mergeCell ref="B43:I43"/>
    <mergeCell ref="B39:C39"/>
    <mergeCell ref="B70:C70"/>
    <mergeCell ref="B48:C48"/>
    <mergeCell ref="D86:H86"/>
    <mergeCell ref="B2:I2"/>
    <mergeCell ref="D13:H13"/>
    <mergeCell ref="B23:C23"/>
    <mergeCell ref="B8:C8"/>
    <mergeCell ref="D70:H70"/>
    <mergeCell ref="B73:C73"/>
    <mergeCell ref="B87:C87"/>
    <mergeCell ref="B44:I44"/>
    <mergeCell ref="E99:I99"/>
    <mergeCell ref="D72:H72"/>
    <mergeCell ref="D78:H78"/>
    <mergeCell ref="B10:C10"/>
    <mergeCell ref="G45:H45"/>
    <mergeCell ref="D56:H56"/>
    <mergeCell ref="B65:C65"/>
    <mergeCell ref="E101:I101"/>
    <mergeCell ref="B74:C74"/>
    <mergeCell ref="B68:C68"/>
    <mergeCell ref="D15:H15"/>
    <mergeCell ref="G47:H47"/>
    <mergeCell ref="D24:H24"/>
    <mergeCell ref="D64:H64"/>
    <mergeCell ref="B20:I20"/>
    <mergeCell ref="D33:H33"/>
    <mergeCell ref="D89:H89"/>
    <mergeCell ref="B36:C36"/>
    <mergeCell ref="G46:H46"/>
    <mergeCell ref="B50:C50"/>
    <mergeCell ref="D79:H79"/>
    <mergeCell ref="D88:H88"/>
    <mergeCell ref="D26:H26"/>
  </mergeCells>
  <dataValidations count="2">
    <dataValidation sqref="C105:C106" showDropDown="0" showInputMessage="0" showErrorMessage="0" allowBlank="1" type="list" errorStyle="stop" operator="between">
      <formula1>Listas!$B$2:$B$6</formula1>
      <formula2>0</formula2>
    </dataValidation>
    <dataValidation sqref="C107" showDropDown="0" showInputMessage="0" showErrorMessage="0" allowBlank="1" type="list" errorStyle="stop" operator="between">
      <formula1>Listas!$P$1:$P$6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000072BC"/>
    <outlinePr summaryBelow="1" summaryRight="1"/>
    <pageSetUpPr fitToPage="0"/>
  </sheetPr>
  <dimension ref="A1:I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0" customWidth="1" style="77" min="2" max="2"/>
    <col width="18" customWidth="1" style="77" min="3" max="8"/>
    <col width="22" customWidth="1" style="77" min="9" max="9"/>
  </cols>
  <sheetData>
    <row r="1" ht="4.5" customHeight="1" s="78">
      <c r="A1" s="85" t="n"/>
      <c r="B1" s="85" t="n"/>
      <c r="C1" s="85" t="n"/>
      <c r="D1" s="85" t="n"/>
      <c r="E1" s="85" t="n"/>
      <c r="F1" s="85" t="n"/>
      <c r="G1" s="85" t="n"/>
      <c r="H1" s="85" t="n"/>
      <c r="I1" s="85" t="n"/>
    </row>
    <row r="2" ht="31.5" customHeight="1" s="78">
      <c r="A2" s="85" t="n"/>
      <c r="B2" s="81" t="inlineStr">
        <is>
          <t>Caracterización · BCO Gioti 1</t>
        </is>
      </c>
      <c r="C2" s="85" t="n"/>
      <c r="D2" s="85" t="n"/>
      <c r="E2" s="85" t="n"/>
      <c r="F2" s="85" t="n"/>
      <c r="G2" s="85" t="n"/>
      <c r="H2" s="85" t="n"/>
      <c r="I2" s="85" t="n"/>
    </row>
    <row r="3" ht="18" customHeight="1" s="78">
      <c r="A3" s="85" t="n"/>
      <c r="B3" s="82" t="inlineStr">
        <is>
          <t>PersonalSoft · Mesa de Servicios de Nueva Generación · Julio 2026</t>
        </is>
      </c>
      <c r="C3" s="85" t="n"/>
      <c r="D3" s="85" t="n"/>
      <c r="E3" s="85" t="n"/>
      <c r="F3" s="85" t="n"/>
      <c r="G3" s="85" t="n"/>
      <c r="H3" s="85" t="n"/>
      <c r="I3" s="85" t="n"/>
    </row>
    <row r="4" ht="4.5" customHeight="1" s="78">
      <c r="A4" s="85" t="n"/>
      <c r="B4" s="85" t="n"/>
      <c r="C4" s="85" t="n"/>
      <c r="D4" s="85" t="n"/>
      <c r="E4" s="85" t="n"/>
      <c r="F4" s="85" t="n"/>
      <c r="G4" s="85" t="n"/>
      <c r="H4" s="85" t="n"/>
      <c r="I4" s="85" t="n"/>
    </row>
    <row r="5" ht="15.75" customHeight="1" s="78">
      <c r="A5" s="85" t="n"/>
      <c r="B5" s="86" t="inlineStr">
        <is>
          <t>Blanco = dato requerido (fuente real)</t>
        </is>
      </c>
      <c r="C5" s="85" t="n"/>
      <c r="D5" s="85" t="n"/>
      <c r="E5" s="87" t="inlineStr">
        <is>
          <t>Amarillo = estimación aceptada si no hay dato exacto</t>
        </is>
      </c>
      <c r="F5" s="85" t="n"/>
      <c r="G5" s="85" t="n"/>
      <c r="H5" s="85" t="n"/>
      <c r="I5" s="87" t="inlineStr">
        <is>
          <t>Col. I = Fuente / nota</t>
        </is>
      </c>
    </row>
    <row r="6" ht="4.5" customHeight="1" s="78">
      <c r="A6" s="85" t="n"/>
      <c r="B6" s="85" t="n"/>
      <c r="C6" s="85" t="n"/>
      <c r="D6" s="85" t="n"/>
      <c r="E6" s="85" t="n"/>
      <c r="F6" s="85" t="n"/>
      <c r="G6" s="85" t="n"/>
      <c r="H6" s="85" t="n"/>
      <c r="I6" s="85" t="n"/>
    </row>
    <row r="7" ht="21.75" customHeight="1" s="78">
      <c r="A7" s="85" t="n"/>
      <c r="B7" s="88" t="inlineStr">
        <is>
          <t>①  IDENTIDAD Y ALCANCE  ·  5 min</t>
        </is>
      </c>
      <c r="C7" s="85" t="n"/>
      <c r="D7" s="85" t="n"/>
      <c r="E7" s="85" t="n"/>
      <c r="F7" s="85" t="n"/>
      <c r="G7" s="85" t="n"/>
      <c r="H7" s="85" t="n"/>
      <c r="I7" s="85" t="n"/>
    </row>
    <row r="8" ht="21.75" customHeight="1" s="78">
      <c r="A8" s="85" t="n"/>
      <c r="B8" s="89" t="inlineStr">
        <is>
          <t>Mesa / Cliente:</t>
        </is>
      </c>
      <c r="C8" s="85" t="n"/>
      <c r="D8" s="90" t="n"/>
      <c r="E8" s="85" t="n"/>
      <c r="F8" s="85" t="n"/>
      <c r="G8" s="85" t="n"/>
      <c r="H8" s="85" t="n"/>
      <c r="I8" s="87" t="inlineStr">
        <is>
          <t>Nombre completo de la mesa y del cliente</t>
        </is>
      </c>
    </row>
    <row r="9" ht="21.75" customHeight="1" s="78">
      <c r="A9" s="85" t="n"/>
      <c r="B9" s="89" t="inlineStr">
        <is>
          <t>Tipo de mesa:</t>
        </is>
      </c>
      <c r="C9" s="85" t="n"/>
      <c r="D9" s="89" t="n"/>
      <c r="E9" s="85" t="n"/>
      <c r="F9" s="85" t="n"/>
      <c r="G9" s="85" t="n"/>
      <c r="H9" s="85" t="n"/>
      <c r="I9" s="87" t="inlineStr">
        <is>
          <t>Mesa de Ayuda / Mesa de Soporte / Torre de Control / Mesa Híbrida</t>
        </is>
      </c>
    </row>
    <row r="10" ht="21.75" customHeight="1" s="78">
      <c r="A10" s="85" t="n"/>
      <c r="B10" s="89" t="inlineStr">
        <is>
          <t>Cliente:</t>
        </is>
      </c>
      <c r="C10" s="85" t="n"/>
      <c r="D10" s="90" t="n"/>
      <c r="E10" s="85" t="n"/>
      <c r="F10" s="85" t="n"/>
      <c r="G10" s="85" t="n"/>
      <c r="H10" s="85" t="n"/>
      <c r="I10" s="87" t="inlineStr">
        <is>
          <t>SURA / Bancolombia / XM / AES / Medicarte / Centro América / Otro</t>
        </is>
      </c>
    </row>
    <row r="11" ht="21.75" customHeight="1" s="78">
      <c r="A11" s="85" t="n"/>
      <c r="B11" s="89" t="inlineStr">
        <is>
          <t>Sector:</t>
        </is>
      </c>
      <c r="C11" s="85" t="n"/>
      <c r="D11" s="90" t="n"/>
      <c r="E11" s="85" t="n"/>
      <c r="F11" s="85" t="n"/>
      <c r="G11" s="85" t="n"/>
      <c r="H11" s="85" t="n"/>
      <c r="I11" s="87" t="inlineStr">
        <is>
          <t>Banca y Seguros / Salud / Energía / Retail / Manufactura / Gobierno / Otro</t>
        </is>
      </c>
    </row>
    <row r="12" ht="21.75" customHeight="1" s="78">
      <c r="A12" s="85" t="n"/>
      <c r="B12" s="89" t="inlineStr">
        <is>
          <t>Criticidad para el negocio:</t>
        </is>
      </c>
      <c r="C12" s="85" t="n"/>
      <c r="D12" s="89" t="n"/>
      <c r="E12" s="85" t="n"/>
      <c r="F12" s="85" t="n"/>
      <c r="G12" s="85" t="n"/>
      <c r="H12" s="85" t="n"/>
      <c r="I12" s="87" t="inlineStr">
        <is>
          <t>Alta (PDN directo) / Media (impacto usuarios) / Baja (interna)</t>
        </is>
      </c>
    </row>
    <row r="13" ht="21.75" customHeight="1" s="78">
      <c r="A13" s="85" t="n"/>
      <c r="B13" s="89" t="inlineStr">
        <is>
          <t>Sabor de servicio PS:</t>
        </is>
      </c>
      <c r="C13" s="85" t="n"/>
      <c r="D13" s="89" t="n"/>
      <c r="E13" s="85" t="n"/>
      <c r="F13" s="85" t="n"/>
      <c r="G13" s="85" t="n"/>
      <c r="H13" s="85" t="n"/>
      <c r="I13" s="87" t="inlineStr">
        <is>
          <t>Equipo dedicado / Soporte compartido / Express (Alfa)</t>
        </is>
      </c>
    </row>
    <row r="14" ht="21.75" customHeight="1" s="78">
      <c r="A14" s="85" t="n"/>
      <c r="B14" s="89" t="inlineStr">
        <is>
          <t>Horario contractual:</t>
        </is>
      </c>
      <c r="C14" s="85" t="n"/>
      <c r="D14" s="89" t="n"/>
      <c r="E14" s="85" t="n"/>
      <c r="F14" s="85" t="n"/>
      <c r="G14" s="85" t="n"/>
      <c r="H14" s="85" t="n"/>
      <c r="I14" s="87" t="inlineStr">
        <is>
          <t>Ej: L-V 7am-6pm · 5x8 · 7x24h</t>
        </is>
      </c>
    </row>
    <row r="15" ht="21.75" customHeight="1" s="78">
      <c r="A15" s="85" t="n"/>
      <c r="B15" s="89" t="inlineStr">
        <is>
          <t>Horario real (operación efectiva):</t>
        </is>
      </c>
      <c r="C15" s="85" t="n"/>
      <c r="D15" s="90" t="n"/>
      <c r="E15" s="85" t="n"/>
      <c r="F15" s="85" t="n"/>
      <c r="G15" s="85" t="n"/>
      <c r="H15" s="85" t="n"/>
      <c r="I15" s="87" t="inlineStr">
        <is>
          <t>¿El horario real coincide con el contractual? ¿Hay horas extra?</t>
        </is>
      </c>
    </row>
    <row r="16" ht="21.75" customHeight="1" s="78">
      <c r="A16" s="85" t="n"/>
      <c r="B16" s="89" t="inlineStr">
        <is>
          <t>GAP horario — h/semana adicionales no reconocidas:</t>
        </is>
      </c>
      <c r="C16" s="85" t="n"/>
      <c r="D16" s="90" t="n"/>
      <c r="E16" s="85" t="n"/>
      <c r="F16" s="85" t="n"/>
      <c r="G16" s="85" t="n"/>
      <c r="H16" s="85" t="n"/>
      <c r="I16" s="87" t="inlineStr">
        <is>
          <t>Estimado en horas semanales</t>
        </is>
      </c>
    </row>
    <row r="17" ht="39.75" customHeight="1" s="78">
      <c r="A17" s="85" t="n"/>
      <c r="B17" s="89" t="inlineStr">
        <is>
          <t>Descripción del servicio (2-3 líneas):</t>
        </is>
      </c>
      <c r="C17" s="85" t="n"/>
      <c r="D17" s="90" t="n"/>
      <c r="E17" s="85" t="n"/>
      <c r="F17" s="85" t="n"/>
      <c r="G17" s="85" t="n"/>
      <c r="H17" s="85" t="n"/>
      <c r="I17" s="87" t="inlineStr">
        <is>
          <t>Qué resuelve esta mesa, qué aplicaciones soporta</t>
        </is>
      </c>
    </row>
    <row r="18" ht="6" customHeight="1" s="78">
      <c r="A18" s="85" t="n"/>
      <c r="B18" s="85" t="n"/>
      <c r="C18" s="85" t="n"/>
      <c r="D18" s="85" t="n"/>
      <c r="E18" s="85" t="n"/>
      <c r="F18" s="85" t="n"/>
      <c r="G18" s="85" t="n"/>
      <c r="H18" s="85" t="n"/>
      <c r="I18" s="85" t="n"/>
    </row>
    <row r="19" ht="21.75" customHeight="1" s="78">
      <c r="A19" s="85" t="n"/>
      <c r="B19" s="88" t="inlineStr">
        <is>
          <t>②  VOLUMETRÍA Y ECONOMÍA  ·  10 min</t>
        </is>
      </c>
      <c r="C19" s="85" t="n"/>
      <c r="D19" s="85" t="n"/>
      <c r="E19" s="85" t="n"/>
      <c r="F19" s="85" t="n"/>
      <c r="G19" s="85" t="n"/>
      <c r="H19" s="85" t="n"/>
      <c r="I19" s="85" t="n"/>
    </row>
    <row r="20" ht="18" customHeight="1" s="78">
      <c r="A20" s="85" t="n"/>
      <c r="B20" s="89" t="inlineStr">
        <is>
          <t>Volumetría mensual promedio</t>
        </is>
      </c>
      <c r="C20" s="85" t="n"/>
      <c r="D20" s="85" t="n"/>
      <c r="E20" s="85" t="n"/>
      <c r="F20" s="85" t="n"/>
      <c r="G20" s="85" t="n"/>
      <c r="H20" s="85" t="n"/>
      <c r="I20" s="85" t="n"/>
    </row>
    <row r="21" ht="21.75" customHeight="1" s="78">
      <c r="A21" s="85" t="n"/>
      <c r="B21" s="89" t="inlineStr">
        <is>
          <t>Total tickets / mes:</t>
        </is>
      </c>
      <c r="C21" s="85" t="n"/>
      <c r="D21" s="89" t="n"/>
      <c r="E21" s="85" t="n"/>
      <c r="F21" s="85" t="n"/>
      <c r="G21" s="85" t="n"/>
      <c r="H21" s="85" t="n"/>
      <c r="I21" s="87" t="inlineStr">
        <is>
          <t>Fuente ideal: herramienta de tickets. Estimado OK si no hay datos.</t>
        </is>
      </c>
    </row>
    <row r="22" ht="21.75" customHeight="1" s="78">
      <c r="A22" s="85" t="n"/>
      <c r="B22" s="89" t="inlineStr">
        <is>
          <t xml:space="preserve">  → % Incidentes (del total):</t>
        </is>
      </c>
      <c r="C22" s="85" t="n"/>
      <c r="D22" s="89" t="n"/>
      <c r="E22" s="85" t="n"/>
      <c r="F22" s="85" t="n"/>
      <c r="G22" s="85" t="n"/>
      <c r="H22" s="85" t="n"/>
      <c r="I22" s="87" t="inlineStr">
        <is>
          <t>Ej: 60%</t>
        </is>
      </c>
    </row>
    <row r="23" ht="21.75" customHeight="1" s="78">
      <c r="A23" s="85" t="n"/>
      <c r="B23" s="89" t="inlineStr">
        <is>
          <t xml:space="preserve">  → % Solicitudes (del total):</t>
        </is>
      </c>
      <c r="C23" s="85" t="n"/>
      <c r="D23" s="89" t="n"/>
      <c r="E23" s="85" t="n"/>
      <c r="F23" s="85" t="n"/>
      <c r="G23" s="85" t="n"/>
      <c r="H23" s="85" t="n"/>
      <c r="I23" s="87" t="inlineStr">
        <is>
          <t>Ej: 35%</t>
        </is>
      </c>
    </row>
    <row r="24" ht="21.75" customHeight="1" s="78">
      <c r="A24" s="85" t="n"/>
      <c r="B24" s="89" t="inlineStr">
        <is>
          <t xml:space="preserve">  → % Problemas / RCA (del total):</t>
        </is>
      </c>
      <c r="C24" s="85" t="n"/>
      <c r="D24" s="89" t="n"/>
      <c r="E24" s="85" t="n"/>
      <c r="F24" s="85" t="n"/>
      <c r="G24" s="85" t="n"/>
      <c r="H24" s="85" t="n"/>
      <c r="I24" s="87" t="inlineStr">
        <is>
          <t>Ej: 5%</t>
        </is>
      </c>
    </row>
    <row r="25" ht="21.75" customHeight="1" s="78">
      <c r="A25" s="85" t="n"/>
      <c r="B25" s="89" t="inlineStr">
        <is>
          <t xml:space="preserve">  → % Tickets Críticos / P1:</t>
        </is>
      </c>
      <c r="C25" s="85" t="n"/>
      <c r="D25" s="89" t="n"/>
      <c r="E25" s="85" t="n"/>
      <c r="F25" s="85" t="n"/>
      <c r="G25" s="85" t="n"/>
      <c r="H25" s="85" t="n"/>
      <c r="I25" s="87" t="inlineStr">
        <is>
          <t>Tickets con impacto PDN o multi-usuario</t>
        </is>
      </c>
    </row>
    <row r="26" ht="21.75" customHeight="1" s="78">
      <c r="A26" s="85" t="n"/>
      <c r="B26" s="89" t="inlineStr">
        <is>
          <t>Canales de entrada activos:</t>
        </is>
      </c>
      <c r="C26" s="85" t="n"/>
      <c r="D26" s="89" t="n"/>
      <c r="E26" s="85" t="n"/>
      <c r="F26" s="85" t="n"/>
      <c r="G26" s="85" t="n"/>
      <c r="H26" s="85" t="n"/>
      <c r="I26" s="87" t="inlineStr">
        <is>
          <t>Teléfono / Portal / Correo / Chat / WhatsApp / Presencial</t>
        </is>
      </c>
    </row>
    <row r="27" ht="21.75" customHeight="1" s="78">
      <c r="A27" s="85" t="n"/>
      <c r="B27" s="89" t="inlineStr">
        <is>
          <t>% tickets fuera de horario (sin atender en SLA):</t>
        </is>
      </c>
      <c r="C27" s="85" t="n"/>
      <c r="D27" s="89" t="n"/>
      <c r="E27" s="85" t="n"/>
      <c r="F27" s="85" t="n"/>
      <c r="G27" s="85" t="n"/>
      <c r="H27" s="85" t="n"/>
      <c r="I27" s="87" t="inlineStr">
        <is>
          <t>Tickets que llegan pero no se atienden en horario pactado</t>
        </is>
      </c>
    </row>
    <row r="28" ht="21.75" customHeight="1" s="78">
      <c r="A28" s="85" t="n"/>
      <c r="B28" s="89" t="inlineStr">
        <is>
          <t>Pico de demanda (día / hora):</t>
        </is>
      </c>
      <c r="C28" s="85" t="n"/>
      <c r="D28" s="89" t="n"/>
      <c r="E28" s="85" t="n"/>
      <c r="F28" s="85" t="n"/>
      <c r="G28" s="85" t="n"/>
      <c r="H28" s="85" t="n"/>
      <c r="I28" s="87" t="inlineStr">
        <is>
          <t>Ej: Lunes 9-11am · Cierre de mes · Despliegues viernes</t>
        </is>
      </c>
    </row>
    <row r="29" ht="21.75" customHeight="1" s="78">
      <c r="A29" s="85" t="n"/>
      <c r="B29" s="89" t="inlineStr">
        <is>
          <t>MTTR promedio estimado (horas):</t>
        </is>
      </c>
      <c r="C29" s="85" t="n"/>
      <c r="D29" s="89" t="n"/>
      <c r="E29" s="85" t="n"/>
      <c r="F29" s="85" t="n"/>
      <c r="G29" s="85" t="n"/>
      <c r="H29" s="85" t="n"/>
      <c r="I29" s="87" t="inlineStr">
        <is>
          <t>Tiempo medio de resolución. Por prioridad si es posible.</t>
        </is>
      </c>
    </row>
    <row r="30" ht="21.75" customHeight="1" s="78">
      <c r="A30" s="85" t="n"/>
      <c r="B30" s="89" t="inlineStr">
        <is>
          <t>FCR — First Call Resolution % (estimado):</t>
        </is>
      </c>
      <c r="C30" s="85" t="n"/>
      <c r="D30" s="89" t="n"/>
      <c r="E30" s="85" t="n"/>
      <c r="F30" s="85" t="n"/>
      <c r="G30" s="85" t="n"/>
      <c r="H30" s="85" t="n"/>
      <c r="I30" s="87" t="inlineStr">
        <is>
          <t>% resuelto en primer contacto sin escalar a N2/N3</t>
        </is>
      </c>
    </row>
    <row r="31" ht="3.75" customHeight="1" s="78">
      <c r="A31" s="85" t="n"/>
      <c r="B31" s="85" t="n"/>
      <c r="C31" s="85" t="n"/>
      <c r="D31" s="85" t="n"/>
      <c r="E31" s="85" t="n"/>
      <c r="F31" s="85" t="n"/>
      <c r="G31" s="85" t="n"/>
      <c r="H31" s="85" t="n"/>
      <c r="I31" s="85" t="n"/>
    </row>
    <row r="32" ht="18" customHeight="1" s="78">
      <c r="A32" s="85" t="n"/>
      <c r="B32" s="89" t="inlineStr">
        <is>
          <t>Modelo económico y contrato</t>
        </is>
      </c>
      <c r="C32" s="85" t="n"/>
      <c r="D32" s="85" t="n"/>
      <c r="E32" s="85" t="n"/>
      <c r="F32" s="85" t="n"/>
      <c r="G32" s="85" t="n"/>
      <c r="H32" s="85" t="n"/>
      <c r="I32" s="85" t="n"/>
    </row>
    <row r="33" ht="21.75" customHeight="1" s="78">
      <c r="A33" s="85" t="n"/>
      <c r="B33" s="89" t="inlineStr">
        <is>
          <t>Modelo de cobro:</t>
        </is>
      </c>
      <c r="C33" s="85" t="n"/>
      <c r="D33" s="89" t="n"/>
      <c r="E33" s="85" t="n"/>
      <c r="F33" s="85" t="n"/>
      <c r="G33" s="85" t="n"/>
      <c r="H33" s="85" t="n"/>
      <c r="I33" s="87" t="inlineStr">
        <is>
          <t>Por FTE / Por ticket / Precio fijo mensual / Mixto / Precio fijo + variable</t>
        </is>
      </c>
    </row>
    <row r="34" ht="21.75" customHeight="1" s="78">
      <c r="A34" s="85" t="n"/>
      <c r="B34" s="89" t="inlineStr">
        <is>
          <t># FTEs facturados al cliente:</t>
        </is>
      </c>
      <c r="C34" s="85" t="n"/>
      <c r="D34" s="90" t="n"/>
      <c r="E34" s="85" t="n"/>
      <c r="F34" s="85" t="n"/>
      <c r="G34" s="85" t="n"/>
      <c r="H34" s="85" t="n"/>
      <c r="I34" s="87" t="inlineStr">
        <is>
          <t>Número de personas que PS factura a este cliente</t>
        </is>
      </c>
    </row>
    <row r="35" ht="21.75" customHeight="1" s="78">
      <c r="A35" s="85" t="n"/>
      <c r="B35" s="89" t="inlineStr">
        <is>
          <t>Tarifa mensual total (COP o USD):</t>
        </is>
      </c>
      <c r="C35" s="85" t="n"/>
      <c r="D35" s="90" t="n"/>
      <c r="E35" s="85" t="n"/>
      <c r="F35" s="85" t="n"/>
      <c r="G35" s="85" t="n"/>
      <c r="H35" s="85" t="n"/>
      <c r="I35" s="87" t="inlineStr">
        <is>
          <t>Valor del contrato mensual. Estimado OK si no tienes exacto.</t>
        </is>
      </c>
    </row>
    <row r="36" ht="21.75" customHeight="1" s="78">
      <c r="A36" s="85" t="n"/>
      <c r="B36" s="89" t="inlineStr">
        <is>
          <t>Costo/FTE promedio (costo interno PS):</t>
        </is>
      </c>
      <c r="C36" s="85" t="n"/>
      <c r="D36" s="89" t="n"/>
      <c r="E36" s="85" t="n"/>
      <c r="F36" s="85" t="n"/>
      <c r="G36" s="85" t="n"/>
      <c r="H36" s="85" t="n"/>
      <c r="I36" s="87" t="inlineStr">
        <is>
          <t>Costo interno. Confidencial — solo para análisis de rentabilidad.</t>
        </is>
      </c>
    </row>
    <row r="37" ht="21.75" customHeight="1" s="78">
      <c r="A37" s="85" t="n"/>
      <c r="B37" s="89" t="inlineStr">
        <is>
          <t>Margen estimado (%):</t>
        </is>
      </c>
      <c r="C37" s="85" t="n"/>
      <c r="D37" s="89" t="n"/>
      <c r="E37" s="85" t="n"/>
      <c r="F37" s="85" t="n"/>
      <c r="G37" s="85" t="n"/>
      <c r="H37" s="85" t="n"/>
      <c r="I37" s="87" t="inlineStr">
        <is>
          <t>Rango: Bajo &lt; 15% / Medio 15-25% / Alto &gt; 25%</t>
        </is>
      </c>
    </row>
    <row r="38" ht="21.75" customHeight="1" s="78">
      <c r="A38" s="85" t="n"/>
      <c r="B38" s="89" t="inlineStr">
        <is>
          <t>¿Hay penalidades ANS activas en el contrato?</t>
        </is>
      </c>
      <c r="C38" s="85" t="n"/>
      <c r="D38" s="89" t="n"/>
      <c r="E38" s="85" t="n"/>
      <c r="F38" s="85" t="n"/>
      <c r="G38" s="85" t="n"/>
      <c r="H38" s="85" t="n"/>
      <c r="I38" s="87" t="inlineStr">
        <is>
          <t>Sí / No / Parcial. ¿Se aplican realmente?</t>
        </is>
      </c>
    </row>
    <row r="39" ht="21.75" customHeight="1" s="78">
      <c r="A39" s="85" t="n"/>
      <c r="B39" s="89" t="inlineStr">
        <is>
          <t>¿El modelo permite cobrar expansión de scope?</t>
        </is>
      </c>
      <c r="C39" s="85" t="n"/>
      <c r="D39" s="89" t="n"/>
      <c r="E39" s="85" t="n"/>
      <c r="F39" s="85" t="n"/>
      <c r="G39" s="85" t="n"/>
      <c r="H39" s="85" t="n"/>
      <c r="I39" s="87" t="inlineStr">
        <is>
          <t>Sí / No. ¿Existe mecanismo formal de adición de alcance?</t>
        </is>
      </c>
    </row>
    <row r="40" ht="21.75" customHeight="1" s="78">
      <c r="A40" s="85" t="n"/>
      <c r="B40" s="89" t="inlineStr">
        <is>
          <t>Fecha de renovación del contrato:</t>
        </is>
      </c>
      <c r="C40" s="85" t="n"/>
      <c r="D40" s="90" t="n"/>
      <c r="E40" s="85" t="n"/>
      <c r="F40" s="85" t="n"/>
      <c r="G40" s="85" t="n"/>
      <c r="H40" s="85" t="n"/>
      <c r="I40" s="87" t="inlineStr">
        <is>
          <t>Mes/Año de próxima renovación o vencimiento</t>
        </is>
      </c>
    </row>
    <row r="41" ht="21.75" customHeight="1" s="78">
      <c r="A41" s="85" t="n"/>
      <c r="B41" s="89" t="inlineStr">
        <is>
          <t>¿Hay adiciones de scope sin renegociación de precio?</t>
        </is>
      </c>
      <c r="C41" s="85" t="n"/>
      <c r="D41" s="89" t="n"/>
      <c r="E41" s="85" t="n"/>
      <c r="F41" s="85" t="n"/>
      <c r="G41" s="85" t="n"/>
      <c r="H41" s="85" t="n"/>
      <c r="I41" s="87" t="inlineStr">
        <is>
          <t>Apps o integraciones agregadas sin ajuste de precio</t>
        </is>
      </c>
    </row>
    <row r="42" ht="6" customHeight="1" s="78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</row>
    <row r="43" ht="21.75" customHeight="1" s="78">
      <c r="A43" s="85" t="n"/>
      <c r="B43" s="88" t="inlineStr">
        <is>
          <t>③  PERSONAS Y CULTURA  ·  10 min</t>
        </is>
      </c>
      <c r="C43" s="85" t="n"/>
      <c r="D43" s="85" t="n"/>
      <c r="E43" s="85" t="n"/>
      <c r="F43" s="85" t="n"/>
      <c r="G43" s="85" t="n"/>
      <c r="H43" s="85" t="n"/>
      <c r="I43" s="85" t="n"/>
    </row>
    <row r="44" ht="18" customHeight="1" s="78">
      <c r="A44" s="85" t="n"/>
      <c r="B44" s="89" t="inlineStr">
        <is>
          <t>Composición del equipo por nivel</t>
        </is>
      </c>
      <c r="C44" s="85" t="n"/>
      <c r="D44" s="85" t="n"/>
      <c r="E44" s="85" t="n"/>
      <c r="F44" s="85" t="n"/>
      <c r="G44" s="85" t="n"/>
      <c r="H44" s="85" t="n"/>
      <c r="I44" s="85" t="n"/>
    </row>
    <row r="45" ht="19.5" customHeight="1" s="78">
      <c r="A45" s="85" t="n"/>
      <c r="B45" s="91" t="inlineStr">
        <is>
          <t>Rol / Nivel</t>
        </is>
      </c>
      <c r="C45" s="85" t="n"/>
      <c r="D45" s="91" t="inlineStr">
        <is>
          <t>FTEs actuales</t>
        </is>
      </c>
      <c r="E45" s="85" t="n"/>
      <c r="F45" s="91" t="inlineStr">
        <is>
          <t>FTEs requeridos (ideal)</t>
        </is>
      </c>
      <c r="G45" s="91" t="inlineStr">
        <is>
          <t>% tiempo en soporte</t>
        </is>
      </c>
      <c r="H45" s="85" t="n"/>
      <c r="I45" s="91" t="inlineStr">
        <is>
          <t>Fuente</t>
        </is>
      </c>
    </row>
    <row r="46" ht="19.5" customHeight="1" s="78">
      <c r="A46" s="85" t="n"/>
      <c r="B46" s="89" t="inlineStr">
        <is>
          <t>Gerente de Mesa / Account Manager</t>
        </is>
      </c>
      <c r="C46" s="85" t="n"/>
      <c r="D46" s="92" t="n"/>
      <c r="E46" s="85" t="n"/>
      <c r="F46" s="92" t="n"/>
      <c r="G46" s="92" t="n"/>
      <c r="H46" s="85" t="n"/>
      <c r="I46" s="92" t="n"/>
    </row>
    <row r="47" ht="19.5" customHeight="1" s="78">
      <c r="A47" s="85" t="n"/>
      <c r="B47" s="90" t="inlineStr">
        <is>
          <t>Líder Técnico / Coordinador N2</t>
        </is>
      </c>
      <c r="C47" s="85" t="n"/>
      <c r="D47" s="93" t="n"/>
      <c r="E47" s="85" t="n"/>
      <c r="F47" s="93" t="n"/>
      <c r="G47" s="93" t="n"/>
      <c r="H47" s="85" t="n"/>
      <c r="I47" s="93" t="n"/>
    </row>
    <row r="48" ht="19.5" customHeight="1" s="78">
      <c r="A48" s="85" t="n"/>
      <c r="B48" s="89" t="inlineStr">
        <is>
          <t>Analista N1 (front-end)</t>
        </is>
      </c>
      <c r="C48" s="85" t="n"/>
      <c r="D48" s="92" t="n"/>
      <c r="E48" s="85" t="n"/>
      <c r="F48" s="92" t="n"/>
      <c r="G48" s="92" t="n"/>
      <c r="H48" s="85" t="n"/>
      <c r="I48" s="92" t="n"/>
    </row>
    <row r="49" ht="19.5" customHeight="1" s="78">
      <c r="A49" s="85" t="n"/>
      <c r="B49" s="90" t="inlineStr">
        <is>
          <t>Especialista N2 (soporte avanzado)</t>
        </is>
      </c>
      <c r="C49" s="85" t="n"/>
      <c r="D49" s="93" t="n"/>
      <c r="E49" s="85" t="n"/>
      <c r="F49" s="93" t="n"/>
      <c r="G49" s="93" t="n"/>
      <c r="H49" s="85" t="n"/>
      <c r="I49" s="93" t="n"/>
    </row>
    <row r="50" ht="19.5" customHeight="1" s="78">
      <c r="A50" s="85" t="n"/>
      <c r="B50" s="89" t="inlineStr">
        <is>
          <t>Desarrollador / Especialista N3</t>
        </is>
      </c>
      <c r="C50" s="85" t="n"/>
      <c r="D50" s="92" t="n"/>
      <c r="E50" s="85" t="n"/>
      <c r="F50" s="92" t="n"/>
      <c r="G50" s="92" t="n"/>
      <c r="H50" s="85" t="n"/>
      <c r="I50" s="92" t="n"/>
    </row>
    <row r="51" ht="19.5" customHeight="1" s="78">
      <c r="A51" s="85" t="n"/>
      <c r="B51" s="90" t="inlineStr">
        <is>
          <t>Especialista IA / Datos</t>
        </is>
      </c>
      <c r="C51" s="85" t="n"/>
      <c r="D51" s="93" t="n"/>
      <c r="E51" s="85" t="n"/>
      <c r="F51" s="93" t="n"/>
      <c r="G51" s="93" t="n"/>
      <c r="H51" s="85" t="n"/>
      <c r="I51" s="93" t="n"/>
    </row>
    <row r="52" ht="19.5" customHeight="1" s="78">
      <c r="A52" s="85" t="n"/>
      <c r="B52" s="89" t="inlineStr">
        <is>
          <t>TOTAL</t>
        </is>
      </c>
      <c r="C52" s="85" t="n"/>
      <c r="D52" s="92" t="n"/>
      <c r="E52" s="85" t="n"/>
      <c r="F52" s="92" t="n"/>
      <c r="G52" s="92" t="n"/>
      <c r="H52" s="85" t="n"/>
      <c r="I52" s="92" t="n"/>
    </row>
    <row r="53" ht="3.75" customHeight="1" s="78">
      <c r="A53" s="85" t="n"/>
      <c r="B53" s="85" t="n"/>
      <c r="C53" s="85" t="n"/>
      <c r="D53" s="85" t="n"/>
      <c r="E53" s="85" t="n"/>
      <c r="F53" s="85" t="n"/>
      <c r="G53" s="85" t="n"/>
      <c r="H53" s="85" t="n"/>
      <c r="I53" s="85" t="n"/>
    </row>
    <row r="54" ht="21.75" customHeight="1" s="78">
      <c r="A54" s="85" t="n"/>
      <c r="B54" s="89" t="inlineStr">
        <is>
          <t>Rotación anual del equipo (%):</t>
        </is>
      </c>
      <c r="C54" s="85" t="n"/>
      <c r="D54" s="89" t="n"/>
      <c r="E54" s="85" t="n"/>
      <c r="F54" s="85" t="n"/>
      <c r="G54" s="85" t="n"/>
      <c r="H54" s="85" t="n"/>
      <c r="I54" s="87" t="inlineStr">
        <is>
          <t>Bajo &lt; 10% / Medio 10-25% / Alto &gt; 25% / Muy alto &gt; 50%</t>
        </is>
      </c>
    </row>
    <row r="55" ht="21.75" customHeight="1" s="78">
      <c r="A55" s="85" t="n"/>
      <c r="B55" s="89" t="inlineStr">
        <is>
          <t>Antigüedad promedio en este cliente (meses):</t>
        </is>
      </c>
      <c r="C55" s="85" t="n"/>
      <c r="D55" s="89" t="n"/>
      <c r="E55" s="85" t="n"/>
      <c r="F55" s="85" t="n"/>
      <c r="G55" s="85" t="n"/>
      <c r="H55" s="85" t="n"/>
      <c r="I55" s="87" t="inlineStr">
        <is>
          <t>Tiempo que llevan los FTEs actuales en esta mesa</t>
        </is>
      </c>
    </row>
    <row r="56" ht="21.75" customHeight="1" s="78">
      <c r="A56" s="85" t="n"/>
      <c r="B56" s="89" t="inlineStr">
        <is>
          <t>Bus factor — ¿quién sabe TODO de esta mesa?:</t>
        </is>
      </c>
      <c r="C56" s="85" t="n"/>
      <c r="D56" s="90" t="n"/>
      <c r="E56" s="85" t="n"/>
      <c r="F56" s="85" t="n"/>
      <c r="G56" s="85" t="n"/>
      <c r="H56" s="85" t="n"/>
      <c r="I56" s="87" t="inlineStr">
        <is>
          <t>Nombre(s) de la(s) persona(s) crítica(s). Si se va, hay crisis.</t>
        </is>
      </c>
    </row>
    <row r="57" ht="21.75" customHeight="1" s="78">
      <c r="A57" s="85" t="n"/>
      <c r="B57" s="89" t="inlineStr">
        <is>
          <t>¿El equipo tiene ruta de crecimiento definida?</t>
        </is>
      </c>
      <c r="C57" s="85" t="n"/>
      <c r="D57" s="89" t="n"/>
      <c r="E57" s="85" t="n"/>
      <c r="F57" s="85" t="n"/>
      <c r="G57" s="85" t="n"/>
      <c r="H57" s="85" t="n"/>
      <c r="I57" s="87" t="inlineStr">
        <is>
          <t>Sí / No / Parcial — ¿Plan de carrera documentado?</t>
        </is>
      </c>
    </row>
    <row r="58" ht="21.75" customHeight="1" s="78">
      <c r="A58" s="85" t="n"/>
      <c r="B58" s="89" t="inlineStr">
        <is>
          <t>Satisfacción del equipo (NPS interno estimado 1-10):</t>
        </is>
      </c>
      <c r="C58" s="85" t="n"/>
      <c r="D58" s="89" t="n"/>
      <c r="E58" s="85" t="n"/>
      <c r="F58" s="85" t="n"/>
      <c r="G58" s="85" t="n"/>
      <c r="H58" s="85" t="n"/>
      <c r="I58" s="87" t="inlineStr">
        <is>
          <t>Estimación del líder de mesa</t>
        </is>
      </c>
    </row>
    <row r="59" ht="21.75" customHeight="1" s="78">
      <c r="A59" s="85" t="n"/>
      <c r="B59" s="89" t="inlineStr">
        <is>
          <t>Principal causa de rotación identificada:</t>
        </is>
      </c>
      <c r="C59" s="85" t="n"/>
      <c r="D59" s="90" t="n"/>
      <c r="E59" s="85" t="n"/>
      <c r="F59" s="85" t="n"/>
      <c r="G59" s="85" t="n"/>
      <c r="H59" s="85" t="n"/>
      <c r="I59" s="87" t="inlineStr">
        <is>
          <t>Salario / Falta crecimiento / Carga alta / Conflicto cliente / Otro</t>
        </is>
      </c>
    </row>
    <row r="60" ht="21.75" customHeight="1" s="78">
      <c r="A60" s="85" t="n"/>
      <c r="B60" s="89" t="inlineStr">
        <is>
          <t>¿Horas extra frecuentes no reconocidas?</t>
        </is>
      </c>
      <c r="C60" s="85" t="n"/>
      <c r="D60" s="90" t="n"/>
      <c r="E60" s="85" t="n"/>
      <c r="F60" s="85" t="n"/>
      <c r="G60" s="85" t="n"/>
      <c r="H60" s="85" t="n"/>
      <c r="I60" s="87" t="inlineStr">
        <is>
          <t>Sí / No. ¿Cuántas h/semana? ¿Se compensan?</t>
        </is>
      </c>
    </row>
    <row r="61" ht="6" customHeight="1" s="78">
      <c r="A61" s="85" t="n"/>
      <c r="B61" s="85" t="n"/>
      <c r="C61" s="85" t="n"/>
      <c r="D61" s="85" t="n"/>
      <c r="E61" s="85" t="n"/>
      <c r="F61" s="85" t="n"/>
      <c r="G61" s="85" t="n"/>
      <c r="H61" s="85" t="n"/>
      <c r="I61" s="85" t="n"/>
    </row>
    <row r="62" ht="21.75" customHeight="1" s="78">
      <c r="A62" s="85" t="n"/>
      <c r="B62" s="88" t="inlineStr">
        <is>
          <t>④  STACK TECNOLÓGICO Y APLICACIONES  ·  8 min</t>
        </is>
      </c>
      <c r="C62" s="85" t="n"/>
      <c r="D62" s="85" t="n"/>
      <c r="E62" s="85" t="n"/>
      <c r="F62" s="85" t="n"/>
      <c r="G62" s="85" t="n"/>
      <c r="H62" s="85" t="n"/>
      <c r="I62" s="85" t="n"/>
    </row>
    <row r="63" ht="21.75" customHeight="1" s="78">
      <c r="A63" s="85" t="n"/>
      <c r="B63" s="94" t="inlineStr">
        <is>
          <t>Herramienta de tickets (nombre):</t>
        </is>
      </c>
      <c r="C63" s="85" t="n"/>
      <c r="D63" s="89" t="n"/>
      <c r="E63" s="85" t="n"/>
      <c r="F63" s="85" t="n"/>
      <c r="G63" s="85" t="n"/>
      <c r="H63" s="85" t="n"/>
      <c r="I63" s="87" t="inlineStr">
        <is>
          <t>ServiceNow / Jira / BMC Remedy / Computer Associates / Excel / Otra</t>
        </is>
      </c>
    </row>
    <row r="64" ht="21.75" customHeight="1" s="78">
      <c r="A64" s="85" t="n"/>
      <c r="B64" s="94" t="inlineStr">
        <is>
          <t>¿Herramienta es del cliente o de PS?:</t>
        </is>
      </c>
      <c r="C64" s="85" t="n"/>
      <c r="D64" s="89" t="n"/>
      <c r="E64" s="85" t="n"/>
      <c r="F64" s="85" t="n"/>
      <c r="G64" s="85" t="n"/>
      <c r="H64" s="85" t="n"/>
      <c r="I64" s="87" t="inlineStr">
        <is>
          <t>Cliente (nos adaptamos) / PS provee herramienta</t>
        </is>
      </c>
    </row>
    <row r="65" ht="21.75" customHeight="1" s="78">
      <c r="A65" s="85" t="n"/>
      <c r="B65" s="94" t="inlineStr">
        <is>
          <t># Aplicaciones en scope:</t>
        </is>
      </c>
      <c r="C65" s="85" t="n"/>
      <c r="D65" s="90" t="n"/>
      <c r="E65" s="85" t="n"/>
      <c r="F65" s="85" t="n"/>
      <c r="G65" s="85" t="n"/>
      <c r="H65" s="85" t="n"/>
      <c r="I65" s="87" t="inlineStr">
        <is>
          <t>Número total de apps que esta mesa soporta</t>
        </is>
      </c>
    </row>
    <row r="66" ht="21.75" customHeight="1" s="78">
      <c r="A66" s="85" t="n"/>
      <c r="B66" s="94" t="inlineStr">
        <is>
          <t>Aplicaciones críticas (top 5):</t>
        </is>
      </c>
      <c r="C66" s="85" t="n"/>
      <c r="D66" s="90" t="n"/>
      <c r="E66" s="85" t="n"/>
      <c r="F66" s="85" t="n"/>
      <c r="G66" s="85" t="n"/>
      <c r="H66" s="85" t="n"/>
      <c r="I66" s="87" t="inlineStr">
        <is>
          <t>Listar por nombre. Ej: SAP FI · Portal web · API pagos</t>
        </is>
      </c>
    </row>
    <row r="67" ht="21.75" customHeight="1" s="78">
      <c r="A67" s="85" t="n"/>
      <c r="B67" s="94" t="inlineStr">
        <is>
          <t>Lenguajes / plataformas soportadas:</t>
        </is>
      </c>
      <c r="C67" s="85" t="n"/>
      <c r="D67" s="90" t="n"/>
      <c r="E67" s="85" t="n"/>
      <c r="F67" s="85" t="n"/>
      <c r="G67" s="85" t="n"/>
      <c r="H67" s="85" t="n"/>
      <c r="I67" s="87" t="inlineStr">
        <is>
          <t>Java / .Net / Python / SAP / AWS / Azure / Power Platform / OT/IT</t>
        </is>
      </c>
    </row>
    <row r="68" ht="21.75" customHeight="1" s="78">
      <c r="A68" s="85" t="n"/>
      <c r="B68" s="94" t="inlineStr">
        <is>
          <t># Ambientes soportados (DEV/QA/PRD):</t>
        </is>
      </c>
      <c r="C68" s="85" t="n"/>
      <c r="D68" s="90" t="n"/>
      <c r="E68" s="85" t="n"/>
      <c r="F68" s="85" t="n"/>
      <c r="G68" s="85" t="n"/>
      <c r="H68" s="85" t="n"/>
      <c r="I68" s="87" t="inlineStr">
        <is>
          <t>¿Todos los ambientes generan tickets?</t>
        </is>
      </c>
    </row>
    <row r="69" ht="21.75" customHeight="1" s="78">
      <c r="A69" s="85" t="n"/>
      <c r="B69" s="94" t="inlineStr">
        <is>
          <t>Integraciones críticas documentadas:</t>
        </is>
      </c>
      <c r="C69" s="85" t="n"/>
      <c r="D69" s="89" t="n"/>
      <c r="E69" s="85" t="n"/>
      <c r="F69" s="85" t="n"/>
      <c r="G69" s="85" t="n"/>
      <c r="H69" s="85" t="n"/>
      <c r="I69" s="87" t="inlineStr">
        <is>
          <t>Sí / No / Parcial. ¿Existe mapa de dependencias?</t>
        </is>
      </c>
    </row>
    <row r="70" ht="21.75" customHeight="1" s="78">
      <c r="A70" s="85" t="n"/>
      <c r="B70" s="94" t="inlineStr">
        <is>
          <t>¿Monitoreo activo configurado?:</t>
        </is>
      </c>
      <c r="C70" s="85" t="n"/>
      <c r="D70" s="89" t="n"/>
      <c r="E70" s="85" t="n"/>
      <c r="F70" s="85" t="n"/>
      <c r="G70" s="85" t="n"/>
      <c r="H70" s="85" t="n"/>
      <c r="I70" s="87" t="inlineStr">
        <is>
          <t>Sí / No / Parcial. ¿Qué herramienta? ¿Umbrales definidos?</t>
        </is>
      </c>
    </row>
    <row r="71" ht="21.75" customHeight="1" s="78">
      <c r="A71" s="85" t="n"/>
      <c r="B71" s="94" t="inlineStr">
        <is>
          <t>¿KEDB (base de conocimiento) existe?:</t>
        </is>
      </c>
      <c r="C71" s="85" t="n"/>
      <c r="D71" s="89" t="n"/>
      <c r="E71" s="85" t="n"/>
      <c r="F71" s="85" t="n"/>
      <c r="G71" s="85" t="n"/>
      <c r="H71" s="85" t="n"/>
      <c r="I71" s="87" t="inlineStr">
        <is>
          <t>Sí / No / Parcial. ¿Actualizada? ¿Quién la mantiene?</t>
        </is>
      </c>
    </row>
    <row r="72" ht="21.75" customHeight="1" s="78">
      <c r="A72" s="85" t="n"/>
      <c r="B72" s="94" t="inlineStr">
        <is>
          <t>¿Automatización en producción?:</t>
        </is>
      </c>
      <c r="C72" s="85" t="n"/>
      <c r="D72" s="89" t="n"/>
      <c r="E72" s="85" t="n"/>
      <c r="F72" s="85" t="n"/>
      <c r="G72" s="85" t="n"/>
      <c r="H72" s="85" t="n"/>
      <c r="I72" s="87" t="inlineStr">
        <is>
          <t>Sí / No. Si Sí: ¿qué automatiza? ¿% tickets automatizados?</t>
        </is>
      </c>
    </row>
    <row r="73" ht="21.75" customHeight="1" s="78">
      <c r="A73" s="85" t="n"/>
      <c r="B73" s="94" t="inlineStr">
        <is>
          <t>¿Hay N0 activo (autoservicio / portal)?:</t>
        </is>
      </c>
      <c r="C73" s="85" t="n"/>
      <c r="D73" s="89" t="n"/>
      <c r="E73" s="85" t="n"/>
      <c r="F73" s="85" t="n"/>
      <c r="G73" s="85" t="n"/>
      <c r="H73" s="85" t="n"/>
      <c r="I73" s="87" t="inlineStr">
        <is>
          <t>Sí / No / En construcción. ¿% de deflexión?</t>
        </is>
      </c>
    </row>
    <row r="74" ht="21.75" customHeight="1" s="78">
      <c r="A74" s="85" t="n"/>
      <c r="B74" s="94" t="inlineStr">
        <is>
          <t>Regulación sectorial aplicable:</t>
        </is>
      </c>
      <c r="C74" s="85" t="n"/>
      <c r="D74" s="90" t="n"/>
      <c r="E74" s="85" t="n"/>
      <c r="F74" s="85" t="n"/>
      <c r="G74" s="85" t="n"/>
      <c r="H74" s="85" t="n"/>
      <c r="I74" s="87" t="inlineStr">
        <is>
          <t>SFC / SOX / BCP/DRP / Habeas Data / Supersalud / RIPS / Ninguna</t>
        </is>
      </c>
    </row>
    <row r="75" ht="6" customHeight="1" s="78">
      <c r="A75" s="85" t="n"/>
      <c r="B75" s="85" t="n"/>
      <c r="C75" s="85" t="n"/>
      <c r="D75" s="85" t="n"/>
      <c r="E75" s="85" t="n"/>
      <c r="F75" s="85" t="n"/>
      <c r="G75" s="85" t="n"/>
      <c r="H75" s="85" t="n"/>
      <c r="I75" s="85" t="n"/>
    </row>
    <row r="76" ht="21.75" customHeight="1" s="78">
      <c r="A76" s="85" t="n"/>
      <c r="B76" s="88" t="inlineStr">
        <is>
          <t>⑤  RIESGOS Y OPORTUNIDADES  ·  7 min</t>
        </is>
      </c>
      <c r="C76" s="85" t="n"/>
      <c r="D76" s="85" t="n"/>
      <c r="E76" s="85" t="n"/>
      <c r="F76" s="85" t="n"/>
      <c r="G76" s="85" t="n"/>
      <c r="H76" s="85" t="n"/>
      <c r="I76" s="85" t="n"/>
    </row>
    <row r="77" ht="18" customHeight="1" s="78">
      <c r="A77" s="85" t="n"/>
      <c r="B77" s="95" t="inlineStr">
        <is>
          <t>Top 3 riesgos actuales</t>
        </is>
      </c>
      <c r="C77" s="85" t="n"/>
      <c r="D77" s="85" t="n"/>
      <c r="E77" s="85" t="n"/>
      <c r="F77" s="85" t="n"/>
      <c r="G77" s="85" t="n"/>
      <c r="H77" s="85" t="n"/>
      <c r="I77" s="85" t="n"/>
    </row>
    <row r="78" ht="25.5" customHeight="1" s="78">
      <c r="A78" s="85" t="n"/>
      <c r="B78" s="89" t="inlineStr">
        <is>
          <t>Riesgo #1:</t>
        </is>
      </c>
      <c r="C78" s="85" t="n"/>
      <c r="D78" s="90" t="n"/>
      <c r="E78" s="85" t="n"/>
      <c r="F78" s="85" t="n"/>
      <c r="G78" s="85" t="n"/>
      <c r="H78" s="85" t="n"/>
      <c r="I78" s="87" t="inlineStr">
        <is>
          <t>Ej: Bus factor / Scope creep / ANS sin medir / Churn latente</t>
        </is>
      </c>
    </row>
    <row r="79" ht="25.5" customHeight="1" s="78">
      <c r="A79" s="85" t="n"/>
      <c r="B79" s="89" t="inlineStr">
        <is>
          <t>Riesgo #2:</t>
        </is>
      </c>
      <c r="C79" s="85" t="n"/>
      <c r="D79" s="90" t="n"/>
      <c r="E79" s="85" t="n"/>
      <c r="F79" s="85" t="n"/>
      <c r="G79" s="85" t="n"/>
      <c r="H79" s="85" t="n"/>
      <c r="I79" s="87" t="inlineStr">
        <is>
          <t>Ej: Bus factor / Scope creep / ANS sin medir / Churn latente</t>
        </is>
      </c>
    </row>
    <row r="80" ht="25.5" customHeight="1" s="78">
      <c r="A80" s="85" t="n"/>
      <c r="B80" s="89" t="inlineStr">
        <is>
          <t>Riesgo #3:</t>
        </is>
      </c>
      <c r="C80" s="85" t="n"/>
      <c r="D80" s="90" t="n"/>
      <c r="E80" s="85" t="n"/>
      <c r="F80" s="85" t="n"/>
      <c r="G80" s="85" t="n"/>
      <c r="H80" s="85" t="n"/>
      <c r="I80" s="87" t="inlineStr">
        <is>
          <t>Ej: Bus factor / Scope creep / ANS sin medir / Churn latente</t>
        </is>
      </c>
    </row>
    <row r="81" ht="3.75" customHeight="1" s="78">
      <c r="A81" s="85" t="n"/>
      <c r="B81" s="85" t="n"/>
      <c r="C81" s="85" t="n"/>
      <c r="D81" s="85" t="n"/>
      <c r="E81" s="85" t="n"/>
      <c r="F81" s="85" t="n"/>
      <c r="G81" s="85" t="n"/>
      <c r="H81" s="85" t="n"/>
      <c r="I81" s="85" t="n"/>
    </row>
    <row r="82" ht="18" customHeight="1" s="78">
      <c r="A82" s="85" t="n"/>
      <c r="B82" s="96" t="inlineStr">
        <is>
          <t>Oportunidades para el servicio Gen Next</t>
        </is>
      </c>
      <c r="C82" s="85" t="n"/>
      <c r="D82" s="85" t="n"/>
      <c r="E82" s="85" t="n"/>
      <c r="F82" s="85" t="n"/>
      <c r="G82" s="85" t="n"/>
      <c r="H82" s="85" t="n"/>
      <c r="I82" s="85" t="n"/>
    </row>
    <row r="83" ht="21.75" customHeight="1" s="78">
      <c r="A83" s="85" t="n"/>
      <c r="B83" s="89" t="inlineStr">
        <is>
          <t>Potencial de automatización:</t>
        </is>
      </c>
      <c r="C83" s="85" t="n"/>
      <c r="D83" s="89" t="n"/>
      <c r="E83" s="85" t="n"/>
      <c r="F83" s="85" t="n"/>
      <c r="G83" s="85" t="n"/>
      <c r="H83" s="85" t="n"/>
      <c r="I83" s="87" t="inlineStr">
        <is>
          <t>Alto / Medio / Bajo. ¿Qué tareas repetitivas hay?</t>
        </is>
      </c>
    </row>
    <row r="84" ht="21.75" customHeight="1" s="78">
      <c r="A84" s="85" t="n"/>
      <c r="B84" s="89" t="inlineStr">
        <is>
          <t>Potencial de incorporar IA:</t>
        </is>
      </c>
      <c r="C84" s="85" t="n"/>
      <c r="D84" s="89" t="n"/>
      <c r="E84" s="85" t="n"/>
      <c r="F84" s="85" t="n"/>
      <c r="G84" s="85" t="n"/>
      <c r="H84" s="85" t="n"/>
      <c r="I84" s="87" t="inlineStr">
        <is>
          <t>Alto / Medio / Bajo. ¿Clasificación / KEDB / AIOps?</t>
        </is>
      </c>
    </row>
    <row r="85" ht="21.75" customHeight="1" s="78">
      <c r="A85" s="85" t="n"/>
      <c r="B85" s="89" t="inlineStr">
        <is>
          <t>Apetito del cliente por el cambio:</t>
        </is>
      </c>
      <c r="C85" s="85" t="n"/>
      <c r="D85" s="89" t="n"/>
      <c r="E85" s="85" t="n"/>
      <c r="F85" s="85" t="n"/>
      <c r="G85" s="85" t="n"/>
      <c r="H85" s="85" t="n"/>
      <c r="I85" s="87" t="inlineStr">
        <is>
          <t>Alto (promotor activo) / Medio (receptivo) / Bajo (conservador)</t>
        </is>
      </c>
    </row>
    <row r="86" ht="21.75" customHeight="1" s="78">
      <c r="A86" s="85" t="n"/>
      <c r="B86" s="89" t="inlineStr">
        <is>
          <t>Señal de churn (semáforo):</t>
        </is>
      </c>
      <c r="C86" s="85" t="n"/>
      <c r="D86" s="89" t="n"/>
      <c r="E86" s="85" t="n"/>
      <c r="F86" s="85" t="n"/>
      <c r="G86" s="85" t="n"/>
      <c r="H86" s="85" t="n"/>
      <c r="I86" s="87" t="inlineStr">
        <is>
          <t>Verde / Amarillo / Naranja / Rojo</t>
        </is>
      </c>
    </row>
    <row r="87" ht="21.75" customHeight="1" s="78">
      <c r="A87" s="85" t="n"/>
      <c r="B87" s="89" t="inlineStr">
        <is>
          <t>¿Hay oportunidad de upselling?:</t>
        </is>
      </c>
      <c r="C87" s="85" t="n"/>
      <c r="D87" s="89" t="n"/>
      <c r="E87" s="85" t="n"/>
      <c r="F87" s="85" t="n"/>
      <c r="G87" s="85" t="n"/>
      <c r="H87" s="85" t="n"/>
      <c r="I87" s="87" t="inlineStr">
        <is>
          <t>Sí / No. Si Sí: ¿qué servicio adicional? ¿quién decide?</t>
        </is>
      </c>
    </row>
    <row r="88" ht="21.75" customHeight="1" s="78">
      <c r="A88" s="85" t="n"/>
      <c r="B88" s="89" t="inlineStr">
        <is>
          <t>¿Esta mesa es replicable como template?:</t>
        </is>
      </c>
      <c r="C88" s="85" t="n"/>
      <c r="D88" s="89" t="n"/>
      <c r="E88" s="85" t="n"/>
      <c r="F88" s="85" t="n"/>
      <c r="G88" s="85" t="n"/>
      <c r="H88" s="85" t="n"/>
      <c r="I88" s="87" t="inlineStr">
        <is>
          <t>Sí / No / Parcial. ¿Qué haría falta?</t>
        </is>
      </c>
    </row>
    <row r="89" ht="36" customHeight="1" s="78">
      <c r="A89" s="85" t="n"/>
      <c r="B89" s="89" t="inlineStr">
        <is>
          <t>¿Qué haría esta mesa excelente? (voz del líder):</t>
        </is>
      </c>
      <c r="C89" s="85" t="n"/>
      <c r="D89" s="90" t="n"/>
      <c r="E89" s="85" t="n"/>
      <c r="F89" s="85" t="n"/>
      <c r="G89" s="85" t="n"/>
      <c r="H89" s="85" t="n"/>
      <c r="I89" s="87" t="inlineStr">
        <is>
          <t>Respuesta literal del líder de mesa</t>
        </is>
      </c>
    </row>
    <row r="90" ht="36" customHeight="1" s="78">
      <c r="A90" s="85" t="n"/>
      <c r="B90" s="89" t="inlineStr">
        <is>
          <t>¿Qué automatizaría primero si tuviera IA?:</t>
        </is>
      </c>
      <c r="C90" s="85" t="n"/>
      <c r="D90" s="90" t="n"/>
      <c r="E90" s="85" t="n"/>
      <c r="F90" s="85" t="n"/>
      <c r="G90" s="85" t="n"/>
      <c r="H90" s="85" t="n"/>
      <c r="I90" s="87" t="inlineStr">
        <is>
          <t>Respuesta literal del líder de mesa</t>
        </is>
      </c>
    </row>
    <row r="91" ht="36" customHeight="1" s="78">
      <c r="A91" s="85" t="n"/>
      <c r="B91" s="89" t="inlineStr">
        <is>
          <t>Comentarios / contexto adicional:</t>
        </is>
      </c>
      <c r="C91" s="85" t="n"/>
      <c r="D91" s="90" t="n"/>
      <c r="E91" s="85" t="n"/>
      <c r="F91" s="85" t="n"/>
      <c r="G91" s="85" t="n"/>
      <c r="H91" s="85" t="n"/>
      <c r="I91" s="87" t="inlineStr">
        <is>
          <t>Cualquier dato relevante que no entró en los bloques anteriores</t>
        </is>
      </c>
    </row>
    <row r="92" ht="4.5" customHeight="1" s="78">
      <c r="A92" s="85" t="n"/>
      <c r="B92" s="85" t="n"/>
      <c r="C92" s="85" t="n"/>
      <c r="D92" s="85" t="n"/>
      <c r="E92" s="85" t="n"/>
      <c r="F92" s="85" t="n"/>
      <c r="G92" s="85" t="n"/>
      <c r="H92" s="85" t="n"/>
      <c r="I92" s="85" t="n"/>
    </row>
    <row r="93" ht="18" customHeight="1" s="78">
      <c r="A93" s="85" t="n"/>
      <c r="B93" s="97" t="inlineStr">
        <is>
          <t>PersonalSoft · CTO / SICTO · Mesa de Servicios de Nueva Generación · Julio 2026</t>
        </is>
      </c>
      <c r="C93" s="85" t="n"/>
      <c r="D93" s="85" t="n"/>
      <c r="E93" s="85" t="n"/>
      <c r="F93" s="85" t="n"/>
      <c r="G93" s="85" t="n"/>
      <c r="H93" s="85" t="n"/>
      <c r="I93" s="85" t="n"/>
    </row>
    <row r="94">
      <c r="A94" s="85" t="n"/>
      <c r="B94" s="85" t="n"/>
      <c r="C94" s="85" t="n"/>
      <c r="D94" s="85" t="n"/>
      <c r="E94" s="85" t="n"/>
      <c r="F94" s="85" t="n"/>
      <c r="G94" s="85" t="n"/>
      <c r="H94" s="85" t="n"/>
      <c r="I94" s="85" t="n"/>
    </row>
    <row r="95">
      <c r="A95" s="85" t="n"/>
      <c r="B95" s="85" t="n"/>
      <c r="C95" s="85" t="n"/>
      <c r="D95" s="85" t="n"/>
      <c r="E95" s="85" t="n"/>
      <c r="F95" s="85" t="n"/>
      <c r="G95" s="85" t="n"/>
      <c r="H95" s="85" t="n"/>
      <c r="I95" s="85" t="n"/>
    </row>
    <row r="96" ht="30" customHeight="1" s="78">
      <c r="A96" s="85" t="n"/>
      <c r="B96" s="98" t="inlineStr">
        <is>
          <t>MODO DE OPERACIÓN · BCO Gioti 1</t>
        </is>
      </c>
      <c r="C96" s="85" t="n"/>
      <c r="D96" s="85" t="n"/>
      <c r="E96" s="85" t="n"/>
      <c r="F96" s="85" t="n"/>
      <c r="G96" s="85" t="n"/>
      <c r="H96" s="85" t="n"/>
      <c r="I96" s="85" t="n"/>
    </row>
    <row r="97" ht="24" customHeight="1" s="78">
      <c r="A97" s="85" t="n"/>
      <c r="B97" s="99" t="inlineStr">
        <is>
          <t>¿Cómo opera hoy esta mesa? — Reactiva, Proactiva o Automatizada · Esta sección define qué tipo de mesa es y hacia dónde debe evolucionar</t>
        </is>
      </c>
      <c r="C97" s="85" t="n"/>
      <c r="D97" s="85" t="n"/>
      <c r="E97" s="85" t="n"/>
      <c r="F97" s="85" t="n"/>
      <c r="G97" s="85" t="n"/>
      <c r="H97" s="85" t="n"/>
      <c r="I97" s="85" t="n"/>
    </row>
    <row r="98" ht="19.5" customHeight="1" s="78">
      <c r="A98" s="85" t="n"/>
      <c r="B98" s="100" t="inlineStr">
        <is>
          <t>Tipo / Modo</t>
        </is>
      </c>
      <c r="C98" s="85" t="n"/>
      <c r="D98" s="85" t="n"/>
      <c r="E98" s="101" t="inlineStr">
        <is>
          <t>Características — cómo se ve en la práctica</t>
        </is>
      </c>
      <c r="F98" s="85" t="n"/>
      <c r="G98" s="85" t="n"/>
      <c r="H98" s="85" t="n"/>
      <c r="I98" s="85" t="n"/>
    </row>
    <row r="99" ht="27.75" customHeight="1" s="78">
      <c r="A99" s="85" t="n"/>
      <c r="B99" s="102" t="inlineStr">
        <is>
          <t>Mesa de Ayuda
(Help Desk)</t>
        </is>
      </c>
      <c r="C99" s="85" t="n"/>
      <c r="D99" s="103" t="inlineStr">
        <is>
          <t>Reactiva</t>
        </is>
      </c>
      <c r="E99" s="104" t="inlineStr">
        <is>
          <t>Solo responde cuando el usuario reporta · N1 sin escalamiento · Bus factor alto</t>
        </is>
      </c>
      <c r="F99" s="85" t="n"/>
      <c r="G99" s="85" t="n"/>
      <c r="H99" s="85" t="n"/>
      <c r="I99" s="85" t="n"/>
    </row>
    <row r="100" ht="27.75" customHeight="1" s="78">
      <c r="A100" s="85" t="n"/>
      <c r="B100" s="105" t="inlineStr">
        <is>
          <t>Mesa de Soporte</t>
        </is>
      </c>
      <c r="C100" s="85" t="n"/>
      <c r="D100" s="106" t="inlineStr">
        <is>
          <t>Reactiva + Proactiva</t>
        </is>
      </c>
      <c r="E100" s="107" t="inlineStr">
        <is>
          <t>N1+N2+N3 · Gestión de problemas · Algo de monitoreo · Documentación básica</t>
        </is>
      </c>
      <c r="F100" s="85" t="n"/>
      <c r="G100" s="85" t="n"/>
      <c r="H100" s="85" t="n"/>
      <c r="I100" s="85" t="n"/>
    </row>
    <row r="101" ht="27.75" customHeight="1" s="78">
      <c r="A101" s="85" t="n"/>
      <c r="B101" s="108" t="inlineStr">
        <is>
          <t>Mesa de Servicios
(Service Desk)</t>
        </is>
      </c>
      <c r="C101" s="85" t="n"/>
      <c r="D101" s="109" t="inlineStr">
        <is>
          <t>Proactiva e Integral</t>
        </is>
      </c>
      <c r="E101" s="110" t="inlineStr">
        <is>
          <t>SPOC · Catálogo · ANS medidos · Change Enablement · ITSM completo</t>
        </is>
      </c>
      <c r="F101" s="85" t="n"/>
      <c r="G101" s="85" t="n"/>
      <c r="H101" s="85" t="n"/>
      <c r="I101" s="85" t="n"/>
    </row>
    <row r="102" ht="27.75" customHeight="1" s="78">
      <c r="A102" s="85" t="n"/>
      <c r="B102" s="111" t="inlineStr">
        <is>
          <t>Torre de Control</t>
        </is>
      </c>
      <c r="C102" s="85" t="n"/>
      <c r="D102" s="112" t="inlineStr">
        <is>
          <t>Monitoreo y Observabilidad</t>
        </is>
      </c>
      <c r="E102" s="113" t="inlineStr">
        <is>
          <t>24x7 · AIOps · Detección antes del impacto · Alertas automáticas</t>
        </is>
      </c>
      <c r="F102" s="85" t="n"/>
      <c r="G102" s="85" t="n"/>
      <c r="H102" s="85" t="n"/>
      <c r="I102" s="85" t="n"/>
    </row>
    <row r="103" ht="27.75" customHeight="1" s="78">
      <c r="A103" s="85" t="n"/>
      <c r="B103" s="114" t="inlineStr">
        <is>
          <t>Mesa Gen Next</t>
        </is>
      </c>
      <c r="C103" s="85" t="n"/>
      <c r="D103" s="115" t="inlineStr">
        <is>
          <t>Autónoma e Inteligente</t>
        </is>
      </c>
      <c r="E103" s="116" t="inlineStr">
        <is>
          <t>IA activa · N0 real · Mejora continua · AIOps · Predicción de fallas</t>
        </is>
      </c>
      <c r="F103" s="85" t="n"/>
      <c r="G103" s="85" t="n"/>
      <c r="H103" s="85" t="n"/>
      <c r="I103" s="85" t="n"/>
    </row>
    <row r="104">
      <c r="A104" s="85" t="n"/>
      <c r="B104" s="85" t="n"/>
      <c r="C104" s="85" t="n"/>
      <c r="D104" s="85" t="n"/>
      <c r="E104" s="85" t="n"/>
      <c r="F104" s="85" t="n"/>
      <c r="G104" s="85" t="n"/>
      <c r="H104" s="85" t="n"/>
      <c r="I104" s="85" t="n"/>
    </row>
    <row r="105" ht="27.75" customHeight="1" s="78">
      <c r="A105" s="85" t="n"/>
      <c r="B105" s="117" t="inlineStr">
        <is>
          <t>¿Qué tipo de mesa es esta HOY?</t>
        </is>
      </c>
      <c r="C105" s="118" t="n"/>
      <c r="D105" s="119" t="inlineStr">
        <is>
          <t>↳ Mesa de Ayuda / Soporte / Service Desk / Torre de Control</t>
        </is>
      </c>
      <c r="E105" s="85" t="n"/>
      <c r="F105" s="85" t="n"/>
      <c r="G105" s="85" t="n"/>
      <c r="H105" s="85" t="n"/>
      <c r="I105" s="85" t="n"/>
    </row>
    <row r="106" ht="27.75" customHeight="1" s="78">
      <c r="A106" s="85" t="n"/>
      <c r="B106" s="117" t="inlineStr">
        <is>
          <t>¿Qué tipo debería ser en 12 meses?</t>
        </is>
      </c>
      <c r="C106" s="118" t="n"/>
      <c r="D106" s="119" t="inlineStr">
        <is>
          <t>↳ hacia dónde debe evolucionar con el modelo nuevo</t>
        </is>
      </c>
      <c r="E106" s="85" t="n"/>
      <c r="F106" s="85" t="n"/>
      <c r="G106" s="85" t="n"/>
      <c r="H106" s="85" t="n"/>
      <c r="I106" s="85" t="n"/>
    </row>
    <row r="107" ht="27.75" customHeight="1" s="78">
      <c r="A107" s="85" t="n"/>
      <c r="B107" s="117" t="inlineStr">
        <is>
          <t>Modo de operación actual:</t>
        </is>
      </c>
      <c r="C107" s="118" t="n"/>
      <c r="D107" s="119" t="inlineStr">
        <is>
          <t>↳ Reactivo / Proactivo / Autónomo</t>
        </is>
      </c>
      <c r="E107" s="85" t="n"/>
      <c r="F107" s="85" t="n"/>
      <c r="G107" s="85" t="n"/>
      <c r="H107" s="85" t="n"/>
      <c r="I107" s="85" t="n"/>
    </row>
    <row r="108">
      <c r="A108" s="85" t="n"/>
      <c r="B108" s="85" t="n"/>
      <c r="C108" s="85" t="n"/>
      <c r="D108" s="85" t="n"/>
      <c r="E108" s="85" t="n"/>
      <c r="F108" s="85" t="n"/>
      <c r="G108" s="85" t="n"/>
      <c r="H108" s="85" t="n"/>
      <c r="I108" s="85" t="n"/>
    </row>
    <row r="109" ht="21.75" customHeight="1" s="78">
      <c r="A109" s="85" t="n"/>
      <c r="B109" s="120" t="inlineStr">
        <is>
          <t>Preguntas clave — modo de operación real</t>
        </is>
      </c>
      <c r="C109" s="85" t="n"/>
      <c r="D109" s="85" t="n"/>
      <c r="E109" s="85" t="n"/>
      <c r="F109" s="85" t="n"/>
      <c r="G109" s="85" t="n"/>
      <c r="H109" s="85" t="n"/>
      <c r="I109" s="85" t="n"/>
    </row>
    <row r="110" ht="27.75" customHeight="1" s="78">
      <c r="A110" s="85" t="n"/>
      <c r="B110" s="121" t="inlineStr">
        <is>
          <t>¿Cómo se entera el equipo de que hay un problema?</t>
        </is>
      </c>
      <c r="C110" s="122" t="n"/>
      <c r="D110" s="119" t="inlineStr">
        <is>
          <t>↳ Solo cuando el usuario llama (reactivo) / Alertas / Antes del impacto (proactivo)</t>
        </is>
      </c>
      <c r="E110" s="85" t="n"/>
      <c r="F110" s="85" t="n"/>
      <c r="G110" s="85" t="n"/>
      <c r="H110" s="85" t="n"/>
      <c r="I110" s="85" t="n"/>
    </row>
    <row r="111" ht="27.75" customHeight="1" s="78">
      <c r="A111" s="85" t="n"/>
      <c r="B111" s="121" t="inlineStr">
        <is>
          <t>¿Hay monitoreo automatizado de los sistemas del cliente?</t>
        </is>
      </c>
      <c r="C111" s="122" t="n"/>
      <c r="D111" s="119" t="inlineStr">
        <is>
          <t>↳ Sí / No / Parcial · ¿qué herramienta? ¿qué sistemas monitorea?</t>
        </is>
      </c>
      <c r="E111" s="85" t="n"/>
      <c r="F111" s="85" t="n"/>
      <c r="G111" s="85" t="n"/>
      <c r="H111" s="85" t="n"/>
      <c r="I111" s="85" t="n"/>
    </row>
    <row r="112" ht="27.75" customHeight="1" s="78">
      <c r="A112" s="85" t="n"/>
      <c r="B112" s="121" t="inlineStr">
        <is>
          <t>¿Se detectan incidentes ANTES de que el usuario los reporte?</t>
        </is>
      </c>
      <c r="C112" s="122" t="n"/>
      <c r="D112" s="119" t="inlineStr">
        <is>
          <t>↳ Sí (proactiva) / A veces / No (reactiva) — dar un ejemplo concreto</t>
        </is>
      </c>
      <c r="E112" s="85" t="n"/>
      <c r="F112" s="85" t="n"/>
      <c r="G112" s="85" t="n"/>
      <c r="H112" s="85" t="n"/>
      <c r="I112" s="85" t="n"/>
    </row>
    <row r="113" ht="27.75" customHeight="1" s="78">
      <c r="A113" s="85" t="n"/>
      <c r="B113" s="121" t="inlineStr">
        <is>
          <t>¿Cuántos tickets se resuelven sin intervención humana (% automatizados)?</t>
        </is>
      </c>
      <c r="C113" s="122" t="n"/>
      <c r="D113" s="119" t="inlineStr">
        <is>
          <t>↳ ej: 0% todo manual · 10% · 30% — cifra estimada</t>
        </is>
      </c>
      <c r="E113" s="85" t="n"/>
      <c r="F113" s="85" t="n"/>
      <c r="G113" s="85" t="n"/>
      <c r="H113" s="85" t="n"/>
      <c r="I113" s="85" t="n"/>
    </row>
    <row r="114" ht="27.75" customHeight="1" s="78">
      <c r="A114" s="85" t="n"/>
      <c r="B114" s="121" t="inlineStr">
        <is>
          <t>¿El usuario puede resolver algo solo sin contactar la mesa?</t>
        </is>
      </c>
      <c r="C114" s="122" t="n"/>
      <c r="D114" s="119" t="inlineStr">
        <is>
          <t>↳ Sí (portal activo) / No / En construcción · ¿qué puede resolver solo?</t>
        </is>
      </c>
      <c r="E114" s="85" t="n"/>
      <c r="F114" s="85" t="n"/>
      <c r="G114" s="85" t="n"/>
      <c r="H114" s="85" t="n"/>
      <c r="I114" s="85" t="n"/>
    </row>
    <row r="115" ht="27.75" customHeight="1" s="78">
      <c r="A115" s="85" t="n"/>
      <c r="B115" s="121" t="inlineStr">
        <is>
          <t>¿Cuánto tiempo tarda hacer el informe mensual del cliente?</t>
        </is>
      </c>
      <c r="C115" s="122" t="n"/>
      <c r="D115" s="119" t="inlineStr">
        <is>
          <t>↳ ej: 2 horas / medio día / un día completo — ¿es manual o automático?</t>
        </is>
      </c>
      <c r="E115" s="85" t="n"/>
      <c r="F115" s="85" t="n"/>
      <c r="G115" s="85" t="n"/>
      <c r="H115" s="85" t="n"/>
      <c r="I115" s="85" t="n"/>
    </row>
    <row r="116" ht="27.75" customHeight="1" s="78">
      <c r="A116" s="85" t="n"/>
      <c r="B116" s="121" t="inlineStr">
        <is>
          <t>¿Se mide la satisfacción del usuario (CSAT/XLA) sistemáticamente?</t>
        </is>
      </c>
      <c r="C116" s="122" t="n"/>
      <c r="D116" s="119" t="inlineStr">
        <is>
          <t>↳ Sí / No / Parcial · ¿cuándo fue la última medición?</t>
        </is>
      </c>
      <c r="E116" s="85" t="n"/>
      <c r="F116" s="85" t="n"/>
      <c r="G116" s="85" t="n"/>
      <c r="H116" s="85" t="n"/>
      <c r="I116" s="85" t="n"/>
    </row>
    <row r="117" ht="27.75" customHeight="1" s="78">
      <c r="A117" s="85" t="n"/>
      <c r="B117" s="121" t="inlineStr">
        <is>
          <t>Si tuvieras presupuesto para 1 mejora, ¿qué harías primero?</t>
        </is>
      </c>
      <c r="C117" s="122" t="n"/>
      <c r="D117" s="119" t="inlineStr">
        <is>
          <t>↳ La respuesta más valiosa para el diseño del servicio nuevo</t>
        </is>
      </c>
      <c r="E117" s="85" t="n"/>
      <c r="F117" s="85" t="n"/>
      <c r="G117" s="85" t="n"/>
      <c r="H117" s="85" t="n"/>
      <c r="I117" s="85" t="n"/>
    </row>
  </sheetData>
  <mergeCells count="185">
    <mergeCell ref="B91:C91"/>
    <mergeCell ref="D35:H35"/>
    <mergeCell ref="B100:C100"/>
    <mergeCell ref="B62:I62"/>
    <mergeCell ref="D10:H10"/>
    <mergeCell ref="D90:H90"/>
    <mergeCell ref="B22:C22"/>
    <mergeCell ref="B102:C102"/>
    <mergeCell ref="D50:E50"/>
    <mergeCell ref="D45:E45"/>
    <mergeCell ref="B12:C12"/>
    <mergeCell ref="B96:I96"/>
    <mergeCell ref="B21:C21"/>
    <mergeCell ref="B86:C86"/>
    <mergeCell ref="E103:I103"/>
    <mergeCell ref="D106:I106"/>
    <mergeCell ref="B67:C67"/>
    <mergeCell ref="D11:H11"/>
    <mergeCell ref="B101:C101"/>
    <mergeCell ref="B14:C14"/>
    <mergeCell ref="D48:E48"/>
    <mergeCell ref="D66:H66"/>
    <mergeCell ref="B13:C13"/>
    <mergeCell ref="B69:C69"/>
    <mergeCell ref="D117:I117"/>
    <mergeCell ref="B38:C38"/>
    <mergeCell ref="B82:I82"/>
    <mergeCell ref="B78:C78"/>
    <mergeCell ref="D28:H28"/>
    <mergeCell ref="D110:I110"/>
    <mergeCell ref="B19:I19"/>
    <mergeCell ref="D37:H37"/>
    <mergeCell ref="B40:C40"/>
    <mergeCell ref="B49:C49"/>
    <mergeCell ref="D9:H9"/>
    <mergeCell ref="B55:C55"/>
    <mergeCell ref="B24:C24"/>
    <mergeCell ref="D30:H30"/>
    <mergeCell ref="D39:H39"/>
    <mergeCell ref="B64:C64"/>
    <mergeCell ref="B33:C33"/>
    <mergeCell ref="B51:C51"/>
    <mergeCell ref="D51:E51"/>
    <mergeCell ref="D29:H29"/>
    <mergeCell ref="D23:H23"/>
    <mergeCell ref="D38:H38"/>
    <mergeCell ref="B76:I76"/>
    <mergeCell ref="B63:C63"/>
    <mergeCell ref="B26:C26"/>
    <mergeCell ref="B41:C41"/>
    <mergeCell ref="D111:I111"/>
    <mergeCell ref="B35:C35"/>
    <mergeCell ref="B16:C16"/>
    <mergeCell ref="B98:D98"/>
    <mergeCell ref="B25:C25"/>
    <mergeCell ref="B90:C90"/>
    <mergeCell ref="B109:I109"/>
    <mergeCell ref="D63:H63"/>
    <mergeCell ref="B66:C66"/>
    <mergeCell ref="D80:H80"/>
    <mergeCell ref="B27:C27"/>
    <mergeCell ref="G48:H48"/>
    <mergeCell ref="D65:H65"/>
    <mergeCell ref="B11:C11"/>
    <mergeCell ref="D57:H57"/>
    <mergeCell ref="D27:H27"/>
    <mergeCell ref="D41:H41"/>
    <mergeCell ref="D114:I114"/>
    <mergeCell ref="E5:H5"/>
    <mergeCell ref="D17:H17"/>
    <mergeCell ref="G49:H49"/>
    <mergeCell ref="D47:E47"/>
    <mergeCell ref="D91:H91"/>
    <mergeCell ref="B5:D5"/>
    <mergeCell ref="B29:C29"/>
    <mergeCell ref="D113:I113"/>
    <mergeCell ref="B103:C103"/>
    <mergeCell ref="B37:C37"/>
    <mergeCell ref="B84:C84"/>
    <mergeCell ref="D115:I115"/>
    <mergeCell ref="D74:H74"/>
    <mergeCell ref="D12:H12"/>
    <mergeCell ref="D68:H68"/>
    <mergeCell ref="D25:H25"/>
    <mergeCell ref="D83:H83"/>
    <mergeCell ref="B15:C15"/>
    <mergeCell ref="D55:H55"/>
    <mergeCell ref="B80:C80"/>
    <mergeCell ref="B89:C89"/>
    <mergeCell ref="D67:H67"/>
    <mergeCell ref="D14:H14"/>
    <mergeCell ref="B79:C79"/>
    <mergeCell ref="D85:H85"/>
    <mergeCell ref="D54:H54"/>
    <mergeCell ref="D60:H60"/>
    <mergeCell ref="B54:C54"/>
    <mergeCell ref="D69:H69"/>
    <mergeCell ref="B72:C72"/>
    <mergeCell ref="E98:I98"/>
    <mergeCell ref="B56:C56"/>
    <mergeCell ref="B71:C71"/>
    <mergeCell ref="D40:H40"/>
    <mergeCell ref="B93:I93"/>
    <mergeCell ref="B58:C58"/>
    <mergeCell ref="B52:C52"/>
    <mergeCell ref="D21:H21"/>
    <mergeCell ref="D52:E52"/>
    <mergeCell ref="B77:I77"/>
    <mergeCell ref="D112:I112"/>
    <mergeCell ref="D49:E49"/>
    <mergeCell ref="B60:C60"/>
    <mergeCell ref="B17:C17"/>
    <mergeCell ref="B57:C57"/>
    <mergeCell ref="B88:C88"/>
    <mergeCell ref="D16:H16"/>
    <mergeCell ref="D87:H87"/>
    <mergeCell ref="B34:C34"/>
    <mergeCell ref="B28:C28"/>
    <mergeCell ref="B99:C99"/>
    <mergeCell ref="D71:H71"/>
    <mergeCell ref="B9:C9"/>
    <mergeCell ref="D58:H58"/>
    <mergeCell ref="B83:C83"/>
    <mergeCell ref="G51:H51"/>
    <mergeCell ref="B30:C30"/>
    <mergeCell ref="D8:H8"/>
    <mergeCell ref="E100:I100"/>
    <mergeCell ref="D73:H73"/>
    <mergeCell ref="B45:C45"/>
    <mergeCell ref="B85:C85"/>
    <mergeCell ref="G50:H50"/>
    <mergeCell ref="D105:I105"/>
    <mergeCell ref="E102:I102"/>
    <mergeCell ref="B32:I32"/>
    <mergeCell ref="D59:H59"/>
    <mergeCell ref="B97:I97"/>
    <mergeCell ref="B47:C47"/>
    <mergeCell ref="G52:H52"/>
    <mergeCell ref="B7:I7"/>
    <mergeCell ref="D34:H34"/>
    <mergeCell ref="B59:C59"/>
    <mergeCell ref="D107:I107"/>
    <mergeCell ref="D116:I116"/>
    <mergeCell ref="B46:C46"/>
    <mergeCell ref="B3:I3"/>
    <mergeCell ref="D46:E46"/>
    <mergeCell ref="D84:H84"/>
    <mergeCell ref="D22:H22"/>
    <mergeCell ref="D36:H36"/>
    <mergeCell ref="B43:I43"/>
    <mergeCell ref="B39:C39"/>
    <mergeCell ref="B70:C70"/>
    <mergeCell ref="B48:C48"/>
    <mergeCell ref="D86:H86"/>
    <mergeCell ref="B2:I2"/>
    <mergeCell ref="D13:H13"/>
    <mergeCell ref="B23:C23"/>
    <mergeCell ref="B8:C8"/>
    <mergeCell ref="D70:H70"/>
    <mergeCell ref="B73:C73"/>
    <mergeCell ref="B87:C87"/>
    <mergeCell ref="B44:I44"/>
    <mergeCell ref="E99:I99"/>
    <mergeCell ref="D72:H72"/>
    <mergeCell ref="D78:H78"/>
    <mergeCell ref="B10:C10"/>
    <mergeCell ref="G45:H45"/>
    <mergeCell ref="D56:H56"/>
    <mergeCell ref="B65:C65"/>
    <mergeCell ref="E101:I101"/>
    <mergeCell ref="B74:C74"/>
    <mergeCell ref="B68:C68"/>
    <mergeCell ref="D15:H15"/>
    <mergeCell ref="G47:H47"/>
    <mergeCell ref="D24:H24"/>
    <mergeCell ref="D64:H64"/>
    <mergeCell ref="B20:I20"/>
    <mergeCell ref="D33:H33"/>
    <mergeCell ref="D89:H89"/>
    <mergeCell ref="B36:C36"/>
    <mergeCell ref="G46:H46"/>
    <mergeCell ref="B50:C50"/>
    <mergeCell ref="D79:H79"/>
    <mergeCell ref="D88:H88"/>
    <mergeCell ref="D26:H26"/>
  </mergeCells>
  <dataValidations count="2">
    <dataValidation sqref="C105:C106" showDropDown="0" showInputMessage="0" showErrorMessage="0" allowBlank="1" type="list" errorStyle="stop" operator="between">
      <formula1>Listas!$B$2:$B$6</formula1>
      <formula2>0</formula2>
    </dataValidation>
    <dataValidation sqref="C107" showDropDown="0" showInputMessage="0" showErrorMessage="0" allowBlank="1" type="list" errorStyle="stop" operator="between">
      <formula1>Listas!$P$1:$P$6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000072BC"/>
    <outlinePr summaryBelow="1" summaryRight="1"/>
    <pageSetUpPr fitToPage="0"/>
  </sheetPr>
  <dimension ref="A1:I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0" customWidth="1" style="77" min="2" max="2"/>
    <col width="18" customWidth="1" style="77" min="3" max="8"/>
    <col width="22" customWidth="1" style="77" min="9" max="9"/>
  </cols>
  <sheetData>
    <row r="1" ht="4.5" customHeight="1" s="78">
      <c r="A1" s="85" t="n"/>
      <c r="B1" s="85" t="n"/>
      <c r="C1" s="85" t="n"/>
      <c r="D1" s="85" t="n"/>
      <c r="E1" s="85" t="n"/>
      <c r="F1" s="85" t="n"/>
      <c r="G1" s="85" t="n"/>
      <c r="H1" s="85" t="n"/>
      <c r="I1" s="85" t="n"/>
    </row>
    <row r="2" ht="31.5" customHeight="1" s="78">
      <c r="A2" s="85" t="n"/>
      <c r="B2" s="81" t="inlineStr">
        <is>
          <t>Caracterización · BCO Gioti 2</t>
        </is>
      </c>
      <c r="C2" s="85" t="n"/>
      <c r="D2" s="85" t="n"/>
      <c r="E2" s="85" t="n"/>
      <c r="F2" s="85" t="n"/>
      <c r="G2" s="85" t="n"/>
      <c r="H2" s="85" t="n"/>
      <c r="I2" s="85" t="n"/>
    </row>
    <row r="3" ht="18" customHeight="1" s="78">
      <c r="A3" s="85" t="n"/>
      <c r="B3" s="82" t="inlineStr">
        <is>
          <t>PersonalSoft · Mesa de Servicios de Nueva Generación · Julio 2026</t>
        </is>
      </c>
      <c r="C3" s="85" t="n"/>
      <c r="D3" s="85" t="n"/>
      <c r="E3" s="85" t="n"/>
      <c r="F3" s="85" t="n"/>
      <c r="G3" s="85" t="n"/>
      <c r="H3" s="85" t="n"/>
      <c r="I3" s="85" t="n"/>
    </row>
    <row r="4" ht="4.5" customHeight="1" s="78">
      <c r="A4" s="85" t="n"/>
      <c r="B4" s="85" t="n"/>
      <c r="C4" s="85" t="n"/>
      <c r="D4" s="85" t="n"/>
      <c r="E4" s="85" t="n"/>
      <c r="F4" s="85" t="n"/>
      <c r="G4" s="85" t="n"/>
      <c r="H4" s="85" t="n"/>
      <c r="I4" s="85" t="n"/>
    </row>
    <row r="5" ht="15.75" customHeight="1" s="78">
      <c r="A5" s="85" t="n"/>
      <c r="B5" s="86" t="inlineStr">
        <is>
          <t>Blanco = dato requerido (fuente real)</t>
        </is>
      </c>
      <c r="C5" s="85" t="n"/>
      <c r="D5" s="85" t="n"/>
      <c r="E5" s="87" t="inlineStr">
        <is>
          <t>Amarillo = estimación aceptada si no hay dato exacto</t>
        </is>
      </c>
      <c r="F5" s="85" t="n"/>
      <c r="G5" s="85" t="n"/>
      <c r="H5" s="85" t="n"/>
      <c r="I5" s="87" t="inlineStr">
        <is>
          <t>Col. I = Fuente / nota</t>
        </is>
      </c>
    </row>
    <row r="6" ht="4.5" customHeight="1" s="78">
      <c r="A6" s="85" t="n"/>
      <c r="B6" s="85" t="n"/>
      <c r="C6" s="85" t="n"/>
      <c r="D6" s="85" t="n"/>
      <c r="E6" s="85" t="n"/>
      <c r="F6" s="85" t="n"/>
      <c r="G6" s="85" t="n"/>
      <c r="H6" s="85" t="n"/>
      <c r="I6" s="85" t="n"/>
    </row>
    <row r="7" ht="21.75" customHeight="1" s="78">
      <c r="A7" s="85" t="n"/>
      <c r="B7" s="88" t="inlineStr">
        <is>
          <t>①  IDENTIDAD Y ALCANCE  ·  5 min</t>
        </is>
      </c>
      <c r="C7" s="85" t="n"/>
      <c r="D7" s="85" t="n"/>
      <c r="E7" s="85" t="n"/>
      <c r="F7" s="85" t="n"/>
      <c r="G7" s="85" t="n"/>
      <c r="H7" s="85" t="n"/>
      <c r="I7" s="85" t="n"/>
    </row>
    <row r="8" ht="21.75" customHeight="1" s="78">
      <c r="A8" s="85" t="n"/>
      <c r="B8" s="89" t="inlineStr">
        <is>
          <t>Mesa / Cliente:</t>
        </is>
      </c>
      <c r="C8" s="85" t="n"/>
      <c r="D8" s="90" t="n"/>
      <c r="E8" s="85" t="n"/>
      <c r="F8" s="85" t="n"/>
      <c r="G8" s="85" t="n"/>
      <c r="H8" s="85" t="n"/>
      <c r="I8" s="87" t="inlineStr">
        <is>
          <t>Nombre completo de la mesa y del cliente</t>
        </is>
      </c>
    </row>
    <row r="9" ht="21.75" customHeight="1" s="78">
      <c r="A9" s="85" t="n"/>
      <c r="B9" s="89" t="inlineStr">
        <is>
          <t>Tipo de mesa:</t>
        </is>
      </c>
      <c r="C9" s="85" t="n"/>
      <c r="D9" s="89" t="n"/>
      <c r="E9" s="85" t="n"/>
      <c r="F9" s="85" t="n"/>
      <c r="G9" s="85" t="n"/>
      <c r="H9" s="85" t="n"/>
      <c r="I9" s="87" t="inlineStr">
        <is>
          <t>Mesa de Ayuda / Mesa de Soporte / Torre de Control / Mesa Híbrida</t>
        </is>
      </c>
    </row>
    <row r="10" ht="21.75" customHeight="1" s="78">
      <c r="A10" s="85" t="n"/>
      <c r="B10" s="89" t="inlineStr">
        <is>
          <t>Cliente:</t>
        </is>
      </c>
      <c r="C10" s="85" t="n"/>
      <c r="D10" s="90" t="n"/>
      <c r="E10" s="85" t="n"/>
      <c r="F10" s="85" t="n"/>
      <c r="G10" s="85" t="n"/>
      <c r="H10" s="85" t="n"/>
      <c r="I10" s="87" t="inlineStr">
        <is>
          <t>SURA / Bancolombia / XM / AES / Medicarte / Centro América / Otro</t>
        </is>
      </c>
    </row>
    <row r="11" ht="21.75" customHeight="1" s="78">
      <c r="A11" s="85" t="n"/>
      <c r="B11" s="89" t="inlineStr">
        <is>
          <t>Sector:</t>
        </is>
      </c>
      <c r="C11" s="85" t="n"/>
      <c r="D11" s="90" t="n"/>
      <c r="E11" s="85" t="n"/>
      <c r="F11" s="85" t="n"/>
      <c r="G11" s="85" t="n"/>
      <c r="H11" s="85" t="n"/>
      <c r="I11" s="87" t="inlineStr">
        <is>
          <t>Banca y Seguros / Salud / Energía / Retail / Manufactura / Gobierno / Otro</t>
        </is>
      </c>
    </row>
    <row r="12" ht="21.75" customHeight="1" s="78">
      <c r="A12" s="85" t="n"/>
      <c r="B12" s="89" t="inlineStr">
        <is>
          <t>Criticidad para el negocio:</t>
        </is>
      </c>
      <c r="C12" s="85" t="n"/>
      <c r="D12" s="89" t="n"/>
      <c r="E12" s="85" t="n"/>
      <c r="F12" s="85" t="n"/>
      <c r="G12" s="85" t="n"/>
      <c r="H12" s="85" t="n"/>
      <c r="I12" s="87" t="inlineStr">
        <is>
          <t>Alta (PDN directo) / Media (impacto usuarios) / Baja (interna)</t>
        </is>
      </c>
    </row>
    <row r="13" ht="21.75" customHeight="1" s="78">
      <c r="A13" s="85" t="n"/>
      <c r="B13" s="89" t="inlineStr">
        <is>
          <t>Sabor de servicio PS:</t>
        </is>
      </c>
      <c r="C13" s="85" t="n"/>
      <c r="D13" s="89" t="n"/>
      <c r="E13" s="85" t="n"/>
      <c r="F13" s="85" t="n"/>
      <c r="G13" s="85" t="n"/>
      <c r="H13" s="85" t="n"/>
      <c r="I13" s="87" t="inlineStr">
        <is>
          <t>Equipo dedicado / Soporte compartido / Express (Alfa)</t>
        </is>
      </c>
    </row>
    <row r="14" ht="21.75" customHeight="1" s="78">
      <c r="A14" s="85" t="n"/>
      <c r="B14" s="89" t="inlineStr">
        <is>
          <t>Horario contractual:</t>
        </is>
      </c>
      <c r="C14" s="85" t="n"/>
      <c r="D14" s="89" t="n"/>
      <c r="E14" s="85" t="n"/>
      <c r="F14" s="85" t="n"/>
      <c r="G14" s="85" t="n"/>
      <c r="H14" s="85" t="n"/>
      <c r="I14" s="87" t="inlineStr">
        <is>
          <t>Ej: L-V 7am-6pm · 5x8 · 7x24h</t>
        </is>
      </c>
    </row>
    <row r="15" ht="21.75" customHeight="1" s="78">
      <c r="A15" s="85" t="n"/>
      <c r="B15" s="89" t="inlineStr">
        <is>
          <t>Horario real (operación efectiva):</t>
        </is>
      </c>
      <c r="C15" s="85" t="n"/>
      <c r="D15" s="90" t="n"/>
      <c r="E15" s="85" t="n"/>
      <c r="F15" s="85" t="n"/>
      <c r="G15" s="85" t="n"/>
      <c r="H15" s="85" t="n"/>
      <c r="I15" s="87" t="inlineStr">
        <is>
          <t>¿El horario real coincide con el contractual? ¿Hay horas extra?</t>
        </is>
      </c>
    </row>
    <row r="16" ht="21.75" customHeight="1" s="78">
      <c r="A16" s="85" t="n"/>
      <c r="B16" s="89" t="inlineStr">
        <is>
          <t>GAP horario — h/semana adicionales no reconocidas:</t>
        </is>
      </c>
      <c r="C16" s="85" t="n"/>
      <c r="D16" s="90" t="n"/>
      <c r="E16" s="85" t="n"/>
      <c r="F16" s="85" t="n"/>
      <c r="G16" s="85" t="n"/>
      <c r="H16" s="85" t="n"/>
      <c r="I16" s="87" t="inlineStr">
        <is>
          <t>Estimado en horas semanales</t>
        </is>
      </c>
    </row>
    <row r="17" ht="39.75" customHeight="1" s="78">
      <c r="A17" s="85" t="n"/>
      <c r="B17" s="89" t="inlineStr">
        <is>
          <t>Descripción del servicio (2-3 líneas):</t>
        </is>
      </c>
      <c r="C17" s="85" t="n"/>
      <c r="D17" s="90" t="n"/>
      <c r="E17" s="85" t="n"/>
      <c r="F17" s="85" t="n"/>
      <c r="G17" s="85" t="n"/>
      <c r="H17" s="85" t="n"/>
      <c r="I17" s="87" t="inlineStr">
        <is>
          <t>Qué resuelve esta mesa, qué aplicaciones soporta</t>
        </is>
      </c>
    </row>
    <row r="18" ht="6" customHeight="1" s="78">
      <c r="A18" s="85" t="n"/>
      <c r="B18" s="85" t="n"/>
      <c r="C18" s="85" t="n"/>
      <c r="D18" s="85" t="n"/>
      <c r="E18" s="85" t="n"/>
      <c r="F18" s="85" t="n"/>
      <c r="G18" s="85" t="n"/>
      <c r="H18" s="85" t="n"/>
      <c r="I18" s="85" t="n"/>
    </row>
    <row r="19" ht="21.75" customHeight="1" s="78">
      <c r="A19" s="85" t="n"/>
      <c r="B19" s="88" t="inlineStr">
        <is>
          <t>②  VOLUMETRÍA Y ECONOMÍA  ·  10 min</t>
        </is>
      </c>
      <c r="C19" s="85" t="n"/>
      <c r="D19" s="85" t="n"/>
      <c r="E19" s="85" t="n"/>
      <c r="F19" s="85" t="n"/>
      <c r="G19" s="85" t="n"/>
      <c r="H19" s="85" t="n"/>
      <c r="I19" s="85" t="n"/>
    </row>
    <row r="20" ht="18" customHeight="1" s="78">
      <c r="A20" s="85" t="n"/>
      <c r="B20" s="89" t="inlineStr">
        <is>
          <t>Volumetría mensual promedio</t>
        </is>
      </c>
      <c r="C20" s="85" t="n"/>
      <c r="D20" s="85" t="n"/>
      <c r="E20" s="85" t="n"/>
      <c r="F20" s="85" t="n"/>
      <c r="G20" s="85" t="n"/>
      <c r="H20" s="85" t="n"/>
      <c r="I20" s="85" t="n"/>
    </row>
    <row r="21" ht="21.75" customHeight="1" s="78">
      <c r="A21" s="85" t="n"/>
      <c r="B21" s="89" t="inlineStr">
        <is>
          <t>Total tickets / mes:</t>
        </is>
      </c>
      <c r="C21" s="85" t="n"/>
      <c r="D21" s="89" t="n"/>
      <c r="E21" s="85" t="n"/>
      <c r="F21" s="85" t="n"/>
      <c r="G21" s="85" t="n"/>
      <c r="H21" s="85" t="n"/>
      <c r="I21" s="87" t="inlineStr">
        <is>
          <t>Fuente ideal: herramienta de tickets. Estimado OK si no hay datos.</t>
        </is>
      </c>
    </row>
    <row r="22" ht="21.75" customHeight="1" s="78">
      <c r="A22" s="85" t="n"/>
      <c r="B22" s="89" t="inlineStr">
        <is>
          <t xml:space="preserve">  → % Incidentes (del total):</t>
        </is>
      </c>
      <c r="C22" s="85" t="n"/>
      <c r="D22" s="89" t="n"/>
      <c r="E22" s="85" t="n"/>
      <c r="F22" s="85" t="n"/>
      <c r="G22" s="85" t="n"/>
      <c r="H22" s="85" t="n"/>
      <c r="I22" s="87" t="inlineStr">
        <is>
          <t>Ej: 60%</t>
        </is>
      </c>
    </row>
    <row r="23" ht="21.75" customHeight="1" s="78">
      <c r="A23" s="85" t="n"/>
      <c r="B23" s="89" t="inlineStr">
        <is>
          <t xml:space="preserve">  → % Solicitudes (del total):</t>
        </is>
      </c>
      <c r="C23" s="85" t="n"/>
      <c r="D23" s="89" t="n"/>
      <c r="E23" s="85" t="n"/>
      <c r="F23" s="85" t="n"/>
      <c r="G23" s="85" t="n"/>
      <c r="H23" s="85" t="n"/>
      <c r="I23" s="87" t="inlineStr">
        <is>
          <t>Ej: 35%</t>
        </is>
      </c>
    </row>
    <row r="24" ht="21.75" customHeight="1" s="78">
      <c r="A24" s="85" t="n"/>
      <c r="B24" s="89" t="inlineStr">
        <is>
          <t xml:space="preserve">  → % Problemas / RCA (del total):</t>
        </is>
      </c>
      <c r="C24" s="85" t="n"/>
      <c r="D24" s="89" t="n"/>
      <c r="E24" s="85" t="n"/>
      <c r="F24" s="85" t="n"/>
      <c r="G24" s="85" t="n"/>
      <c r="H24" s="85" t="n"/>
      <c r="I24" s="87" t="inlineStr">
        <is>
          <t>Ej: 5%</t>
        </is>
      </c>
    </row>
    <row r="25" ht="21.75" customHeight="1" s="78">
      <c r="A25" s="85" t="n"/>
      <c r="B25" s="89" t="inlineStr">
        <is>
          <t xml:space="preserve">  → % Tickets Críticos / P1:</t>
        </is>
      </c>
      <c r="C25" s="85" t="n"/>
      <c r="D25" s="89" t="n"/>
      <c r="E25" s="85" t="n"/>
      <c r="F25" s="85" t="n"/>
      <c r="G25" s="85" t="n"/>
      <c r="H25" s="85" t="n"/>
      <c r="I25" s="87" t="inlineStr">
        <is>
          <t>Tickets con impacto PDN o multi-usuario</t>
        </is>
      </c>
    </row>
    <row r="26" ht="21.75" customHeight="1" s="78">
      <c r="A26" s="85" t="n"/>
      <c r="B26" s="89" t="inlineStr">
        <is>
          <t>Canales de entrada activos:</t>
        </is>
      </c>
      <c r="C26" s="85" t="n"/>
      <c r="D26" s="89" t="n"/>
      <c r="E26" s="85" t="n"/>
      <c r="F26" s="85" t="n"/>
      <c r="G26" s="85" t="n"/>
      <c r="H26" s="85" t="n"/>
      <c r="I26" s="87" t="inlineStr">
        <is>
          <t>Teléfono / Portal / Correo / Chat / WhatsApp / Presencial</t>
        </is>
      </c>
    </row>
    <row r="27" ht="21.75" customHeight="1" s="78">
      <c r="A27" s="85" t="n"/>
      <c r="B27" s="89" t="inlineStr">
        <is>
          <t>% tickets fuera de horario (sin atender en SLA):</t>
        </is>
      </c>
      <c r="C27" s="85" t="n"/>
      <c r="D27" s="89" t="n"/>
      <c r="E27" s="85" t="n"/>
      <c r="F27" s="85" t="n"/>
      <c r="G27" s="85" t="n"/>
      <c r="H27" s="85" t="n"/>
      <c r="I27" s="87" t="inlineStr">
        <is>
          <t>Tickets que llegan pero no se atienden en horario pactado</t>
        </is>
      </c>
    </row>
    <row r="28" ht="21.75" customHeight="1" s="78">
      <c r="A28" s="85" t="n"/>
      <c r="B28" s="89" t="inlineStr">
        <is>
          <t>Pico de demanda (día / hora):</t>
        </is>
      </c>
      <c r="C28" s="85" t="n"/>
      <c r="D28" s="89" t="n"/>
      <c r="E28" s="85" t="n"/>
      <c r="F28" s="85" t="n"/>
      <c r="G28" s="85" t="n"/>
      <c r="H28" s="85" t="n"/>
      <c r="I28" s="87" t="inlineStr">
        <is>
          <t>Ej: Lunes 9-11am · Cierre de mes · Despliegues viernes</t>
        </is>
      </c>
    </row>
    <row r="29" ht="21.75" customHeight="1" s="78">
      <c r="A29" s="85" t="n"/>
      <c r="B29" s="89" t="inlineStr">
        <is>
          <t>MTTR promedio estimado (horas):</t>
        </is>
      </c>
      <c r="C29" s="85" t="n"/>
      <c r="D29" s="89" t="n"/>
      <c r="E29" s="85" t="n"/>
      <c r="F29" s="85" t="n"/>
      <c r="G29" s="85" t="n"/>
      <c r="H29" s="85" t="n"/>
      <c r="I29" s="87" t="inlineStr">
        <is>
          <t>Tiempo medio de resolución. Por prioridad si es posible.</t>
        </is>
      </c>
    </row>
    <row r="30" ht="21.75" customHeight="1" s="78">
      <c r="A30" s="85" t="n"/>
      <c r="B30" s="89" t="inlineStr">
        <is>
          <t>FCR — First Call Resolution % (estimado):</t>
        </is>
      </c>
      <c r="C30" s="85" t="n"/>
      <c r="D30" s="89" t="n"/>
      <c r="E30" s="85" t="n"/>
      <c r="F30" s="85" t="n"/>
      <c r="G30" s="85" t="n"/>
      <c r="H30" s="85" t="n"/>
      <c r="I30" s="87" t="inlineStr">
        <is>
          <t>% resuelto en primer contacto sin escalar a N2/N3</t>
        </is>
      </c>
    </row>
    <row r="31" ht="3.75" customHeight="1" s="78">
      <c r="A31" s="85" t="n"/>
      <c r="B31" s="85" t="n"/>
      <c r="C31" s="85" t="n"/>
      <c r="D31" s="85" t="n"/>
      <c r="E31" s="85" t="n"/>
      <c r="F31" s="85" t="n"/>
      <c r="G31" s="85" t="n"/>
      <c r="H31" s="85" t="n"/>
      <c r="I31" s="85" t="n"/>
    </row>
    <row r="32" ht="18" customHeight="1" s="78">
      <c r="A32" s="85" t="n"/>
      <c r="B32" s="89" t="inlineStr">
        <is>
          <t>Modelo económico y contrato</t>
        </is>
      </c>
      <c r="C32" s="85" t="n"/>
      <c r="D32" s="85" t="n"/>
      <c r="E32" s="85" t="n"/>
      <c r="F32" s="85" t="n"/>
      <c r="G32" s="85" t="n"/>
      <c r="H32" s="85" t="n"/>
      <c r="I32" s="85" t="n"/>
    </row>
    <row r="33" ht="21.75" customHeight="1" s="78">
      <c r="A33" s="85" t="n"/>
      <c r="B33" s="89" t="inlineStr">
        <is>
          <t>Modelo de cobro:</t>
        </is>
      </c>
      <c r="C33" s="85" t="n"/>
      <c r="D33" s="89" t="n"/>
      <c r="E33" s="85" t="n"/>
      <c r="F33" s="85" t="n"/>
      <c r="G33" s="85" t="n"/>
      <c r="H33" s="85" t="n"/>
      <c r="I33" s="87" t="inlineStr">
        <is>
          <t>Por FTE / Por ticket / Precio fijo mensual / Mixto / Precio fijo + variable</t>
        </is>
      </c>
    </row>
    <row r="34" ht="21.75" customHeight="1" s="78">
      <c r="A34" s="85" t="n"/>
      <c r="B34" s="89" t="inlineStr">
        <is>
          <t># FTEs facturados al cliente:</t>
        </is>
      </c>
      <c r="C34" s="85" t="n"/>
      <c r="D34" s="90" t="n"/>
      <c r="E34" s="85" t="n"/>
      <c r="F34" s="85" t="n"/>
      <c r="G34" s="85" t="n"/>
      <c r="H34" s="85" t="n"/>
      <c r="I34" s="87" t="inlineStr">
        <is>
          <t>Número de personas que PS factura a este cliente</t>
        </is>
      </c>
    </row>
    <row r="35" ht="21.75" customHeight="1" s="78">
      <c r="A35" s="85" t="n"/>
      <c r="B35" s="89" t="inlineStr">
        <is>
          <t>Tarifa mensual total (COP o USD):</t>
        </is>
      </c>
      <c r="C35" s="85" t="n"/>
      <c r="D35" s="90" t="n"/>
      <c r="E35" s="85" t="n"/>
      <c r="F35" s="85" t="n"/>
      <c r="G35" s="85" t="n"/>
      <c r="H35" s="85" t="n"/>
      <c r="I35" s="87" t="inlineStr">
        <is>
          <t>Valor del contrato mensual. Estimado OK si no tienes exacto.</t>
        </is>
      </c>
    </row>
    <row r="36" ht="21.75" customHeight="1" s="78">
      <c r="A36" s="85" t="n"/>
      <c r="B36" s="89" t="inlineStr">
        <is>
          <t>Costo/FTE promedio (costo interno PS):</t>
        </is>
      </c>
      <c r="C36" s="85" t="n"/>
      <c r="D36" s="89" t="n"/>
      <c r="E36" s="85" t="n"/>
      <c r="F36" s="85" t="n"/>
      <c r="G36" s="85" t="n"/>
      <c r="H36" s="85" t="n"/>
      <c r="I36" s="87" t="inlineStr">
        <is>
          <t>Costo interno. Confidencial — solo para análisis de rentabilidad.</t>
        </is>
      </c>
    </row>
    <row r="37" ht="21.75" customHeight="1" s="78">
      <c r="A37" s="85" t="n"/>
      <c r="B37" s="89" t="inlineStr">
        <is>
          <t>Margen estimado (%):</t>
        </is>
      </c>
      <c r="C37" s="85" t="n"/>
      <c r="D37" s="89" t="n"/>
      <c r="E37" s="85" t="n"/>
      <c r="F37" s="85" t="n"/>
      <c r="G37" s="85" t="n"/>
      <c r="H37" s="85" t="n"/>
      <c r="I37" s="87" t="inlineStr">
        <is>
          <t>Rango: Bajo &lt; 15% / Medio 15-25% / Alto &gt; 25%</t>
        </is>
      </c>
    </row>
    <row r="38" ht="21.75" customHeight="1" s="78">
      <c r="A38" s="85" t="n"/>
      <c r="B38" s="89" t="inlineStr">
        <is>
          <t>¿Hay penalidades ANS activas en el contrato?</t>
        </is>
      </c>
      <c r="C38" s="85" t="n"/>
      <c r="D38" s="89" t="n"/>
      <c r="E38" s="85" t="n"/>
      <c r="F38" s="85" t="n"/>
      <c r="G38" s="85" t="n"/>
      <c r="H38" s="85" t="n"/>
      <c r="I38" s="87" t="inlineStr">
        <is>
          <t>Sí / No / Parcial. ¿Se aplican realmente?</t>
        </is>
      </c>
    </row>
    <row r="39" ht="21.75" customHeight="1" s="78">
      <c r="A39" s="85" t="n"/>
      <c r="B39" s="89" t="inlineStr">
        <is>
          <t>¿El modelo permite cobrar expansión de scope?</t>
        </is>
      </c>
      <c r="C39" s="85" t="n"/>
      <c r="D39" s="89" t="n"/>
      <c r="E39" s="85" t="n"/>
      <c r="F39" s="85" t="n"/>
      <c r="G39" s="85" t="n"/>
      <c r="H39" s="85" t="n"/>
      <c r="I39" s="87" t="inlineStr">
        <is>
          <t>Sí / No. ¿Existe mecanismo formal de adición de alcance?</t>
        </is>
      </c>
    </row>
    <row r="40" ht="21.75" customHeight="1" s="78">
      <c r="A40" s="85" t="n"/>
      <c r="B40" s="89" t="inlineStr">
        <is>
          <t>Fecha de renovación del contrato:</t>
        </is>
      </c>
      <c r="C40" s="85" t="n"/>
      <c r="D40" s="90" t="n"/>
      <c r="E40" s="85" t="n"/>
      <c r="F40" s="85" t="n"/>
      <c r="G40" s="85" t="n"/>
      <c r="H40" s="85" t="n"/>
      <c r="I40" s="87" t="inlineStr">
        <is>
          <t>Mes/Año de próxima renovación o vencimiento</t>
        </is>
      </c>
    </row>
    <row r="41" ht="21.75" customHeight="1" s="78">
      <c r="A41" s="85" t="n"/>
      <c r="B41" s="89" t="inlineStr">
        <is>
          <t>¿Hay adiciones de scope sin renegociación de precio?</t>
        </is>
      </c>
      <c r="C41" s="85" t="n"/>
      <c r="D41" s="89" t="n"/>
      <c r="E41" s="85" t="n"/>
      <c r="F41" s="85" t="n"/>
      <c r="G41" s="85" t="n"/>
      <c r="H41" s="85" t="n"/>
      <c r="I41" s="87" t="inlineStr">
        <is>
          <t>Apps o integraciones agregadas sin ajuste de precio</t>
        </is>
      </c>
    </row>
    <row r="42" ht="6" customHeight="1" s="78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</row>
    <row r="43" ht="21.75" customHeight="1" s="78">
      <c r="A43" s="85" t="n"/>
      <c r="B43" s="88" t="inlineStr">
        <is>
          <t>③  PERSONAS Y CULTURA  ·  10 min</t>
        </is>
      </c>
      <c r="C43" s="85" t="n"/>
      <c r="D43" s="85" t="n"/>
      <c r="E43" s="85" t="n"/>
      <c r="F43" s="85" t="n"/>
      <c r="G43" s="85" t="n"/>
      <c r="H43" s="85" t="n"/>
      <c r="I43" s="85" t="n"/>
    </row>
    <row r="44" ht="18" customHeight="1" s="78">
      <c r="A44" s="85" t="n"/>
      <c r="B44" s="89" t="inlineStr">
        <is>
          <t>Composición del equipo por nivel</t>
        </is>
      </c>
      <c r="C44" s="85" t="n"/>
      <c r="D44" s="85" t="n"/>
      <c r="E44" s="85" t="n"/>
      <c r="F44" s="85" t="n"/>
      <c r="G44" s="85" t="n"/>
      <c r="H44" s="85" t="n"/>
      <c r="I44" s="85" t="n"/>
    </row>
    <row r="45" ht="19.5" customHeight="1" s="78">
      <c r="A45" s="85" t="n"/>
      <c r="B45" s="91" t="inlineStr">
        <is>
          <t>Rol / Nivel</t>
        </is>
      </c>
      <c r="C45" s="85" t="n"/>
      <c r="D45" s="91" t="inlineStr">
        <is>
          <t>FTEs actuales</t>
        </is>
      </c>
      <c r="E45" s="85" t="n"/>
      <c r="F45" s="91" t="inlineStr">
        <is>
          <t>FTEs requeridos (ideal)</t>
        </is>
      </c>
      <c r="G45" s="91" t="inlineStr">
        <is>
          <t>% tiempo en soporte</t>
        </is>
      </c>
      <c r="H45" s="85" t="n"/>
      <c r="I45" s="91" t="inlineStr">
        <is>
          <t>Fuente</t>
        </is>
      </c>
    </row>
    <row r="46" ht="19.5" customHeight="1" s="78">
      <c r="A46" s="85" t="n"/>
      <c r="B46" s="89" t="inlineStr">
        <is>
          <t>Gerente de Mesa / Account Manager</t>
        </is>
      </c>
      <c r="C46" s="85" t="n"/>
      <c r="D46" s="92" t="n"/>
      <c r="E46" s="85" t="n"/>
      <c r="F46" s="92" t="n"/>
      <c r="G46" s="92" t="n"/>
      <c r="H46" s="85" t="n"/>
      <c r="I46" s="92" t="n"/>
    </row>
    <row r="47" ht="19.5" customHeight="1" s="78">
      <c r="A47" s="85" t="n"/>
      <c r="B47" s="90" t="inlineStr">
        <is>
          <t>Líder Técnico / Coordinador N2</t>
        </is>
      </c>
      <c r="C47" s="85" t="n"/>
      <c r="D47" s="93" t="n"/>
      <c r="E47" s="85" t="n"/>
      <c r="F47" s="93" t="n"/>
      <c r="G47" s="93" t="n"/>
      <c r="H47" s="85" t="n"/>
      <c r="I47" s="93" t="n"/>
    </row>
    <row r="48" ht="19.5" customHeight="1" s="78">
      <c r="A48" s="85" t="n"/>
      <c r="B48" s="89" t="inlineStr">
        <is>
          <t>Analista N1 (front-end)</t>
        </is>
      </c>
      <c r="C48" s="85" t="n"/>
      <c r="D48" s="92" t="n"/>
      <c r="E48" s="85" t="n"/>
      <c r="F48" s="92" t="n"/>
      <c r="G48" s="92" t="n"/>
      <c r="H48" s="85" t="n"/>
      <c r="I48" s="92" t="n"/>
    </row>
    <row r="49" ht="19.5" customHeight="1" s="78">
      <c r="A49" s="85" t="n"/>
      <c r="B49" s="90" t="inlineStr">
        <is>
          <t>Especialista N2 (soporte avanzado)</t>
        </is>
      </c>
      <c r="C49" s="85" t="n"/>
      <c r="D49" s="93" t="n"/>
      <c r="E49" s="85" t="n"/>
      <c r="F49" s="93" t="n"/>
      <c r="G49" s="93" t="n"/>
      <c r="H49" s="85" t="n"/>
      <c r="I49" s="93" t="n"/>
    </row>
    <row r="50" ht="19.5" customHeight="1" s="78">
      <c r="A50" s="85" t="n"/>
      <c r="B50" s="89" t="inlineStr">
        <is>
          <t>Desarrollador / Especialista N3</t>
        </is>
      </c>
      <c r="C50" s="85" t="n"/>
      <c r="D50" s="92" t="n"/>
      <c r="E50" s="85" t="n"/>
      <c r="F50" s="92" t="n"/>
      <c r="G50" s="92" t="n"/>
      <c r="H50" s="85" t="n"/>
      <c r="I50" s="92" t="n"/>
    </row>
    <row r="51" ht="19.5" customHeight="1" s="78">
      <c r="A51" s="85" t="n"/>
      <c r="B51" s="90" t="inlineStr">
        <is>
          <t>Especialista IA / Datos</t>
        </is>
      </c>
      <c r="C51" s="85" t="n"/>
      <c r="D51" s="93" t="n"/>
      <c r="E51" s="85" t="n"/>
      <c r="F51" s="93" t="n"/>
      <c r="G51" s="93" t="n"/>
      <c r="H51" s="85" t="n"/>
      <c r="I51" s="93" t="n"/>
    </row>
    <row r="52" ht="19.5" customHeight="1" s="78">
      <c r="A52" s="85" t="n"/>
      <c r="B52" s="89" t="inlineStr">
        <is>
          <t>TOTAL</t>
        </is>
      </c>
      <c r="C52" s="85" t="n"/>
      <c r="D52" s="92" t="n"/>
      <c r="E52" s="85" t="n"/>
      <c r="F52" s="92" t="n"/>
      <c r="G52" s="92" t="n"/>
      <c r="H52" s="85" t="n"/>
      <c r="I52" s="92" t="n"/>
    </row>
    <row r="53" ht="3.75" customHeight="1" s="78">
      <c r="A53" s="85" t="n"/>
      <c r="B53" s="85" t="n"/>
      <c r="C53" s="85" t="n"/>
      <c r="D53" s="85" t="n"/>
      <c r="E53" s="85" t="n"/>
      <c r="F53" s="85" t="n"/>
      <c r="G53" s="85" t="n"/>
      <c r="H53" s="85" t="n"/>
      <c r="I53" s="85" t="n"/>
    </row>
    <row r="54" ht="21.75" customHeight="1" s="78">
      <c r="A54" s="85" t="n"/>
      <c r="B54" s="89" t="inlineStr">
        <is>
          <t>Rotación anual del equipo (%):</t>
        </is>
      </c>
      <c r="C54" s="85" t="n"/>
      <c r="D54" s="89" t="n"/>
      <c r="E54" s="85" t="n"/>
      <c r="F54" s="85" t="n"/>
      <c r="G54" s="85" t="n"/>
      <c r="H54" s="85" t="n"/>
      <c r="I54" s="87" t="inlineStr">
        <is>
          <t>Bajo &lt; 10% / Medio 10-25% / Alto &gt; 25% / Muy alto &gt; 50%</t>
        </is>
      </c>
    </row>
    <row r="55" ht="21.75" customHeight="1" s="78">
      <c r="A55" s="85" t="n"/>
      <c r="B55" s="89" t="inlineStr">
        <is>
          <t>Antigüedad promedio en este cliente (meses):</t>
        </is>
      </c>
      <c r="C55" s="85" t="n"/>
      <c r="D55" s="89" t="n"/>
      <c r="E55" s="85" t="n"/>
      <c r="F55" s="85" t="n"/>
      <c r="G55" s="85" t="n"/>
      <c r="H55" s="85" t="n"/>
      <c r="I55" s="87" t="inlineStr">
        <is>
          <t>Tiempo que llevan los FTEs actuales en esta mesa</t>
        </is>
      </c>
    </row>
    <row r="56" ht="21.75" customHeight="1" s="78">
      <c r="A56" s="85" t="n"/>
      <c r="B56" s="89" t="inlineStr">
        <is>
          <t>Bus factor — ¿quién sabe TODO de esta mesa?:</t>
        </is>
      </c>
      <c r="C56" s="85" t="n"/>
      <c r="D56" s="90" t="n"/>
      <c r="E56" s="85" t="n"/>
      <c r="F56" s="85" t="n"/>
      <c r="G56" s="85" t="n"/>
      <c r="H56" s="85" t="n"/>
      <c r="I56" s="87" t="inlineStr">
        <is>
          <t>Nombre(s) de la(s) persona(s) crítica(s). Si se va, hay crisis.</t>
        </is>
      </c>
    </row>
    <row r="57" ht="21.75" customHeight="1" s="78">
      <c r="A57" s="85" t="n"/>
      <c r="B57" s="89" t="inlineStr">
        <is>
          <t>¿El equipo tiene ruta de crecimiento definida?</t>
        </is>
      </c>
      <c r="C57" s="85" t="n"/>
      <c r="D57" s="89" t="n"/>
      <c r="E57" s="85" t="n"/>
      <c r="F57" s="85" t="n"/>
      <c r="G57" s="85" t="n"/>
      <c r="H57" s="85" t="n"/>
      <c r="I57" s="87" t="inlineStr">
        <is>
          <t>Sí / No / Parcial — ¿Plan de carrera documentado?</t>
        </is>
      </c>
    </row>
    <row r="58" ht="21.75" customHeight="1" s="78">
      <c r="A58" s="85" t="n"/>
      <c r="B58" s="89" t="inlineStr">
        <is>
          <t>Satisfacción del equipo (NPS interno estimado 1-10):</t>
        </is>
      </c>
      <c r="C58" s="85" t="n"/>
      <c r="D58" s="89" t="n"/>
      <c r="E58" s="85" t="n"/>
      <c r="F58" s="85" t="n"/>
      <c r="G58" s="85" t="n"/>
      <c r="H58" s="85" t="n"/>
      <c r="I58" s="87" t="inlineStr">
        <is>
          <t>Estimación del líder de mesa</t>
        </is>
      </c>
    </row>
    <row r="59" ht="21.75" customHeight="1" s="78">
      <c r="A59" s="85" t="n"/>
      <c r="B59" s="89" t="inlineStr">
        <is>
          <t>Principal causa de rotación identificada:</t>
        </is>
      </c>
      <c r="C59" s="85" t="n"/>
      <c r="D59" s="90" t="n"/>
      <c r="E59" s="85" t="n"/>
      <c r="F59" s="85" t="n"/>
      <c r="G59" s="85" t="n"/>
      <c r="H59" s="85" t="n"/>
      <c r="I59" s="87" t="inlineStr">
        <is>
          <t>Salario / Falta crecimiento / Carga alta / Conflicto cliente / Otro</t>
        </is>
      </c>
    </row>
    <row r="60" ht="21.75" customHeight="1" s="78">
      <c r="A60" s="85" t="n"/>
      <c r="B60" s="89" t="inlineStr">
        <is>
          <t>¿Horas extra frecuentes no reconocidas?</t>
        </is>
      </c>
      <c r="C60" s="85" t="n"/>
      <c r="D60" s="90" t="n"/>
      <c r="E60" s="85" t="n"/>
      <c r="F60" s="85" t="n"/>
      <c r="G60" s="85" t="n"/>
      <c r="H60" s="85" t="n"/>
      <c r="I60" s="87" t="inlineStr">
        <is>
          <t>Sí / No. ¿Cuántas h/semana? ¿Se compensan?</t>
        </is>
      </c>
    </row>
    <row r="61" ht="6" customHeight="1" s="78">
      <c r="A61" s="85" t="n"/>
      <c r="B61" s="85" t="n"/>
      <c r="C61" s="85" t="n"/>
      <c r="D61" s="85" t="n"/>
      <c r="E61" s="85" t="n"/>
      <c r="F61" s="85" t="n"/>
      <c r="G61" s="85" t="n"/>
      <c r="H61" s="85" t="n"/>
      <c r="I61" s="85" t="n"/>
    </row>
    <row r="62" ht="21.75" customHeight="1" s="78">
      <c r="A62" s="85" t="n"/>
      <c r="B62" s="88" t="inlineStr">
        <is>
          <t>④  STACK TECNOLÓGICO Y APLICACIONES  ·  8 min</t>
        </is>
      </c>
      <c r="C62" s="85" t="n"/>
      <c r="D62" s="85" t="n"/>
      <c r="E62" s="85" t="n"/>
      <c r="F62" s="85" t="n"/>
      <c r="G62" s="85" t="n"/>
      <c r="H62" s="85" t="n"/>
      <c r="I62" s="85" t="n"/>
    </row>
    <row r="63" ht="21.75" customHeight="1" s="78">
      <c r="A63" s="85" t="n"/>
      <c r="B63" s="94" t="inlineStr">
        <is>
          <t>Herramienta de tickets (nombre):</t>
        </is>
      </c>
      <c r="C63" s="85" t="n"/>
      <c r="D63" s="89" t="n"/>
      <c r="E63" s="85" t="n"/>
      <c r="F63" s="85" t="n"/>
      <c r="G63" s="85" t="n"/>
      <c r="H63" s="85" t="n"/>
      <c r="I63" s="87" t="inlineStr">
        <is>
          <t>ServiceNow / Jira / BMC Remedy / Computer Associates / Excel / Otra</t>
        </is>
      </c>
    </row>
    <row r="64" ht="21.75" customHeight="1" s="78">
      <c r="A64" s="85" t="n"/>
      <c r="B64" s="94" t="inlineStr">
        <is>
          <t>¿Herramienta es del cliente o de PS?:</t>
        </is>
      </c>
      <c r="C64" s="85" t="n"/>
      <c r="D64" s="89" t="n"/>
      <c r="E64" s="85" t="n"/>
      <c r="F64" s="85" t="n"/>
      <c r="G64" s="85" t="n"/>
      <c r="H64" s="85" t="n"/>
      <c r="I64" s="87" t="inlineStr">
        <is>
          <t>Cliente (nos adaptamos) / PS provee herramienta</t>
        </is>
      </c>
    </row>
    <row r="65" ht="21.75" customHeight="1" s="78">
      <c r="A65" s="85" t="n"/>
      <c r="B65" s="94" t="inlineStr">
        <is>
          <t># Aplicaciones en scope:</t>
        </is>
      </c>
      <c r="C65" s="85" t="n"/>
      <c r="D65" s="90" t="n"/>
      <c r="E65" s="85" t="n"/>
      <c r="F65" s="85" t="n"/>
      <c r="G65" s="85" t="n"/>
      <c r="H65" s="85" t="n"/>
      <c r="I65" s="87" t="inlineStr">
        <is>
          <t>Número total de apps que esta mesa soporta</t>
        </is>
      </c>
    </row>
    <row r="66" ht="21.75" customHeight="1" s="78">
      <c r="A66" s="85" t="n"/>
      <c r="B66" s="94" t="inlineStr">
        <is>
          <t>Aplicaciones críticas (top 5):</t>
        </is>
      </c>
      <c r="C66" s="85" t="n"/>
      <c r="D66" s="90" t="n"/>
      <c r="E66" s="85" t="n"/>
      <c r="F66" s="85" t="n"/>
      <c r="G66" s="85" t="n"/>
      <c r="H66" s="85" t="n"/>
      <c r="I66" s="87" t="inlineStr">
        <is>
          <t>Listar por nombre. Ej: SAP FI · Portal web · API pagos</t>
        </is>
      </c>
    </row>
    <row r="67" ht="21.75" customHeight="1" s="78">
      <c r="A67" s="85" t="n"/>
      <c r="B67" s="94" t="inlineStr">
        <is>
          <t>Lenguajes / plataformas soportadas:</t>
        </is>
      </c>
      <c r="C67" s="85" t="n"/>
      <c r="D67" s="90" t="n"/>
      <c r="E67" s="85" t="n"/>
      <c r="F67" s="85" t="n"/>
      <c r="G67" s="85" t="n"/>
      <c r="H67" s="85" t="n"/>
      <c r="I67" s="87" t="inlineStr">
        <is>
          <t>Java / .Net / Python / SAP / AWS / Azure / Power Platform / OT/IT</t>
        </is>
      </c>
    </row>
    <row r="68" ht="21.75" customHeight="1" s="78">
      <c r="A68" s="85" t="n"/>
      <c r="B68" s="94" t="inlineStr">
        <is>
          <t># Ambientes soportados (DEV/QA/PRD):</t>
        </is>
      </c>
      <c r="C68" s="85" t="n"/>
      <c r="D68" s="90" t="n"/>
      <c r="E68" s="85" t="n"/>
      <c r="F68" s="85" t="n"/>
      <c r="G68" s="85" t="n"/>
      <c r="H68" s="85" t="n"/>
      <c r="I68" s="87" t="inlineStr">
        <is>
          <t>¿Todos los ambientes generan tickets?</t>
        </is>
      </c>
    </row>
    <row r="69" ht="21.75" customHeight="1" s="78">
      <c r="A69" s="85" t="n"/>
      <c r="B69" s="94" t="inlineStr">
        <is>
          <t>Integraciones críticas documentadas:</t>
        </is>
      </c>
      <c r="C69" s="85" t="n"/>
      <c r="D69" s="89" t="n"/>
      <c r="E69" s="85" t="n"/>
      <c r="F69" s="85" t="n"/>
      <c r="G69" s="85" t="n"/>
      <c r="H69" s="85" t="n"/>
      <c r="I69" s="87" t="inlineStr">
        <is>
          <t>Sí / No / Parcial. ¿Existe mapa de dependencias?</t>
        </is>
      </c>
    </row>
    <row r="70" ht="21.75" customHeight="1" s="78">
      <c r="A70" s="85" t="n"/>
      <c r="B70" s="94" t="inlineStr">
        <is>
          <t>¿Monitoreo activo configurado?:</t>
        </is>
      </c>
      <c r="C70" s="85" t="n"/>
      <c r="D70" s="89" t="n"/>
      <c r="E70" s="85" t="n"/>
      <c r="F70" s="85" t="n"/>
      <c r="G70" s="85" t="n"/>
      <c r="H70" s="85" t="n"/>
      <c r="I70" s="87" t="inlineStr">
        <is>
          <t>Sí / No / Parcial. ¿Qué herramienta? ¿Umbrales definidos?</t>
        </is>
      </c>
    </row>
    <row r="71" ht="21.75" customHeight="1" s="78">
      <c r="A71" s="85" t="n"/>
      <c r="B71" s="94" t="inlineStr">
        <is>
          <t>¿KEDB (base de conocimiento) existe?:</t>
        </is>
      </c>
      <c r="C71" s="85" t="n"/>
      <c r="D71" s="89" t="n"/>
      <c r="E71" s="85" t="n"/>
      <c r="F71" s="85" t="n"/>
      <c r="G71" s="85" t="n"/>
      <c r="H71" s="85" t="n"/>
      <c r="I71" s="87" t="inlineStr">
        <is>
          <t>Sí / No / Parcial. ¿Actualizada? ¿Quién la mantiene?</t>
        </is>
      </c>
    </row>
    <row r="72" ht="21.75" customHeight="1" s="78">
      <c r="A72" s="85" t="n"/>
      <c r="B72" s="94" t="inlineStr">
        <is>
          <t>¿Automatización en producción?:</t>
        </is>
      </c>
      <c r="C72" s="85" t="n"/>
      <c r="D72" s="89" t="n"/>
      <c r="E72" s="85" t="n"/>
      <c r="F72" s="85" t="n"/>
      <c r="G72" s="85" t="n"/>
      <c r="H72" s="85" t="n"/>
      <c r="I72" s="87" t="inlineStr">
        <is>
          <t>Sí / No. Si Sí: ¿qué automatiza? ¿% tickets automatizados?</t>
        </is>
      </c>
    </row>
    <row r="73" ht="21.75" customHeight="1" s="78">
      <c r="A73" s="85" t="n"/>
      <c r="B73" s="94" t="inlineStr">
        <is>
          <t>¿Hay N0 activo (autoservicio / portal)?:</t>
        </is>
      </c>
      <c r="C73" s="85" t="n"/>
      <c r="D73" s="89" t="n"/>
      <c r="E73" s="85" t="n"/>
      <c r="F73" s="85" t="n"/>
      <c r="G73" s="85" t="n"/>
      <c r="H73" s="85" t="n"/>
      <c r="I73" s="87" t="inlineStr">
        <is>
          <t>Sí / No / En construcción. ¿% de deflexión?</t>
        </is>
      </c>
    </row>
    <row r="74" ht="21.75" customHeight="1" s="78">
      <c r="A74" s="85" t="n"/>
      <c r="B74" s="94" t="inlineStr">
        <is>
          <t>Regulación sectorial aplicable:</t>
        </is>
      </c>
      <c r="C74" s="85" t="n"/>
      <c r="D74" s="90" t="n"/>
      <c r="E74" s="85" t="n"/>
      <c r="F74" s="85" t="n"/>
      <c r="G74" s="85" t="n"/>
      <c r="H74" s="85" t="n"/>
      <c r="I74" s="87" t="inlineStr">
        <is>
          <t>SFC / SOX / BCP/DRP / Habeas Data / Supersalud / RIPS / Ninguna</t>
        </is>
      </c>
    </row>
    <row r="75" ht="6" customHeight="1" s="78">
      <c r="A75" s="85" t="n"/>
      <c r="B75" s="85" t="n"/>
      <c r="C75" s="85" t="n"/>
      <c r="D75" s="85" t="n"/>
      <c r="E75" s="85" t="n"/>
      <c r="F75" s="85" t="n"/>
      <c r="G75" s="85" t="n"/>
      <c r="H75" s="85" t="n"/>
      <c r="I75" s="85" t="n"/>
    </row>
    <row r="76" ht="21.75" customHeight="1" s="78">
      <c r="A76" s="85" t="n"/>
      <c r="B76" s="88" t="inlineStr">
        <is>
          <t>⑤  RIESGOS Y OPORTUNIDADES  ·  7 min</t>
        </is>
      </c>
      <c r="C76" s="85" t="n"/>
      <c r="D76" s="85" t="n"/>
      <c r="E76" s="85" t="n"/>
      <c r="F76" s="85" t="n"/>
      <c r="G76" s="85" t="n"/>
      <c r="H76" s="85" t="n"/>
      <c r="I76" s="85" t="n"/>
    </row>
    <row r="77" ht="18" customHeight="1" s="78">
      <c r="A77" s="85" t="n"/>
      <c r="B77" s="95" t="inlineStr">
        <is>
          <t>Top 3 riesgos actuales</t>
        </is>
      </c>
      <c r="C77" s="85" t="n"/>
      <c r="D77" s="85" t="n"/>
      <c r="E77" s="85" t="n"/>
      <c r="F77" s="85" t="n"/>
      <c r="G77" s="85" t="n"/>
      <c r="H77" s="85" t="n"/>
      <c r="I77" s="85" t="n"/>
    </row>
    <row r="78" ht="25.5" customHeight="1" s="78">
      <c r="A78" s="85" t="n"/>
      <c r="B78" s="89" t="inlineStr">
        <is>
          <t>Riesgo #1:</t>
        </is>
      </c>
      <c r="C78" s="85" t="n"/>
      <c r="D78" s="90" t="n"/>
      <c r="E78" s="85" t="n"/>
      <c r="F78" s="85" t="n"/>
      <c r="G78" s="85" t="n"/>
      <c r="H78" s="85" t="n"/>
      <c r="I78" s="87" t="inlineStr">
        <is>
          <t>Ej: Bus factor / Scope creep / ANS sin medir / Churn latente</t>
        </is>
      </c>
    </row>
    <row r="79" ht="25.5" customHeight="1" s="78">
      <c r="A79" s="85" t="n"/>
      <c r="B79" s="89" t="inlineStr">
        <is>
          <t>Riesgo #2:</t>
        </is>
      </c>
      <c r="C79" s="85" t="n"/>
      <c r="D79" s="90" t="n"/>
      <c r="E79" s="85" t="n"/>
      <c r="F79" s="85" t="n"/>
      <c r="G79" s="85" t="n"/>
      <c r="H79" s="85" t="n"/>
      <c r="I79" s="87" t="inlineStr">
        <is>
          <t>Ej: Bus factor / Scope creep / ANS sin medir / Churn latente</t>
        </is>
      </c>
    </row>
    <row r="80" ht="25.5" customHeight="1" s="78">
      <c r="A80" s="85" t="n"/>
      <c r="B80" s="89" t="inlineStr">
        <is>
          <t>Riesgo #3:</t>
        </is>
      </c>
      <c r="C80" s="85" t="n"/>
      <c r="D80" s="90" t="n"/>
      <c r="E80" s="85" t="n"/>
      <c r="F80" s="85" t="n"/>
      <c r="G80" s="85" t="n"/>
      <c r="H80" s="85" t="n"/>
      <c r="I80" s="87" t="inlineStr">
        <is>
          <t>Ej: Bus factor / Scope creep / ANS sin medir / Churn latente</t>
        </is>
      </c>
    </row>
    <row r="81" ht="3.75" customHeight="1" s="78">
      <c r="A81" s="85" t="n"/>
      <c r="B81" s="85" t="n"/>
      <c r="C81" s="85" t="n"/>
      <c r="D81" s="85" t="n"/>
      <c r="E81" s="85" t="n"/>
      <c r="F81" s="85" t="n"/>
      <c r="G81" s="85" t="n"/>
      <c r="H81" s="85" t="n"/>
      <c r="I81" s="85" t="n"/>
    </row>
    <row r="82" ht="18" customHeight="1" s="78">
      <c r="A82" s="85" t="n"/>
      <c r="B82" s="96" t="inlineStr">
        <is>
          <t>Oportunidades para el servicio Gen Next</t>
        </is>
      </c>
      <c r="C82" s="85" t="n"/>
      <c r="D82" s="85" t="n"/>
      <c r="E82" s="85" t="n"/>
      <c r="F82" s="85" t="n"/>
      <c r="G82" s="85" t="n"/>
      <c r="H82" s="85" t="n"/>
      <c r="I82" s="85" t="n"/>
    </row>
    <row r="83" ht="21.75" customHeight="1" s="78">
      <c r="A83" s="85" t="n"/>
      <c r="B83" s="89" t="inlineStr">
        <is>
          <t>Potencial de automatización:</t>
        </is>
      </c>
      <c r="C83" s="85" t="n"/>
      <c r="D83" s="89" t="n"/>
      <c r="E83" s="85" t="n"/>
      <c r="F83" s="85" t="n"/>
      <c r="G83" s="85" t="n"/>
      <c r="H83" s="85" t="n"/>
      <c r="I83" s="87" t="inlineStr">
        <is>
          <t>Alto / Medio / Bajo. ¿Qué tareas repetitivas hay?</t>
        </is>
      </c>
    </row>
    <row r="84" ht="21.75" customHeight="1" s="78">
      <c r="A84" s="85" t="n"/>
      <c r="B84" s="89" t="inlineStr">
        <is>
          <t>Potencial de incorporar IA:</t>
        </is>
      </c>
      <c r="C84" s="85" t="n"/>
      <c r="D84" s="89" t="n"/>
      <c r="E84" s="85" t="n"/>
      <c r="F84" s="85" t="n"/>
      <c r="G84" s="85" t="n"/>
      <c r="H84" s="85" t="n"/>
      <c r="I84" s="87" t="inlineStr">
        <is>
          <t>Alto / Medio / Bajo. ¿Clasificación / KEDB / AIOps?</t>
        </is>
      </c>
    </row>
    <row r="85" ht="21.75" customHeight="1" s="78">
      <c r="A85" s="85" t="n"/>
      <c r="B85" s="89" t="inlineStr">
        <is>
          <t>Apetito del cliente por el cambio:</t>
        </is>
      </c>
      <c r="C85" s="85" t="n"/>
      <c r="D85" s="89" t="n"/>
      <c r="E85" s="85" t="n"/>
      <c r="F85" s="85" t="n"/>
      <c r="G85" s="85" t="n"/>
      <c r="H85" s="85" t="n"/>
      <c r="I85" s="87" t="inlineStr">
        <is>
          <t>Alto (promotor activo) / Medio (receptivo) / Bajo (conservador)</t>
        </is>
      </c>
    </row>
    <row r="86" ht="21.75" customHeight="1" s="78">
      <c r="A86" s="85" t="n"/>
      <c r="B86" s="89" t="inlineStr">
        <is>
          <t>Señal de churn (semáforo):</t>
        </is>
      </c>
      <c r="C86" s="85" t="n"/>
      <c r="D86" s="89" t="n"/>
      <c r="E86" s="85" t="n"/>
      <c r="F86" s="85" t="n"/>
      <c r="G86" s="85" t="n"/>
      <c r="H86" s="85" t="n"/>
      <c r="I86" s="87" t="inlineStr">
        <is>
          <t>Verde / Amarillo / Naranja / Rojo</t>
        </is>
      </c>
    </row>
    <row r="87" ht="21.75" customHeight="1" s="78">
      <c r="A87" s="85" t="n"/>
      <c r="B87" s="89" t="inlineStr">
        <is>
          <t>¿Hay oportunidad de upselling?:</t>
        </is>
      </c>
      <c r="C87" s="85" t="n"/>
      <c r="D87" s="89" t="n"/>
      <c r="E87" s="85" t="n"/>
      <c r="F87" s="85" t="n"/>
      <c r="G87" s="85" t="n"/>
      <c r="H87" s="85" t="n"/>
      <c r="I87" s="87" t="inlineStr">
        <is>
          <t>Sí / No. Si Sí: ¿qué servicio adicional? ¿quién decide?</t>
        </is>
      </c>
    </row>
    <row r="88" ht="21.75" customHeight="1" s="78">
      <c r="A88" s="85" t="n"/>
      <c r="B88" s="89" t="inlineStr">
        <is>
          <t>¿Esta mesa es replicable como template?:</t>
        </is>
      </c>
      <c r="C88" s="85" t="n"/>
      <c r="D88" s="89" t="n"/>
      <c r="E88" s="85" t="n"/>
      <c r="F88" s="85" t="n"/>
      <c r="G88" s="85" t="n"/>
      <c r="H88" s="85" t="n"/>
      <c r="I88" s="87" t="inlineStr">
        <is>
          <t>Sí / No / Parcial. ¿Qué haría falta?</t>
        </is>
      </c>
    </row>
    <row r="89" ht="36" customHeight="1" s="78">
      <c r="A89" s="85" t="n"/>
      <c r="B89" s="89" t="inlineStr">
        <is>
          <t>¿Qué haría esta mesa excelente? (voz del líder):</t>
        </is>
      </c>
      <c r="C89" s="85" t="n"/>
      <c r="D89" s="90" t="n"/>
      <c r="E89" s="85" t="n"/>
      <c r="F89" s="85" t="n"/>
      <c r="G89" s="85" t="n"/>
      <c r="H89" s="85" t="n"/>
      <c r="I89" s="87" t="inlineStr">
        <is>
          <t>Respuesta literal del líder de mesa</t>
        </is>
      </c>
    </row>
    <row r="90" ht="36" customHeight="1" s="78">
      <c r="A90" s="85" t="n"/>
      <c r="B90" s="89" t="inlineStr">
        <is>
          <t>¿Qué automatizaría primero si tuviera IA?:</t>
        </is>
      </c>
      <c r="C90" s="85" t="n"/>
      <c r="D90" s="90" t="n"/>
      <c r="E90" s="85" t="n"/>
      <c r="F90" s="85" t="n"/>
      <c r="G90" s="85" t="n"/>
      <c r="H90" s="85" t="n"/>
      <c r="I90" s="87" t="inlineStr">
        <is>
          <t>Respuesta literal del líder de mesa</t>
        </is>
      </c>
    </row>
    <row r="91" ht="36" customHeight="1" s="78">
      <c r="A91" s="85" t="n"/>
      <c r="B91" s="89" t="inlineStr">
        <is>
          <t>Comentarios / contexto adicional:</t>
        </is>
      </c>
      <c r="C91" s="85" t="n"/>
      <c r="D91" s="90" t="n"/>
      <c r="E91" s="85" t="n"/>
      <c r="F91" s="85" t="n"/>
      <c r="G91" s="85" t="n"/>
      <c r="H91" s="85" t="n"/>
      <c r="I91" s="87" t="inlineStr">
        <is>
          <t>Cualquier dato relevante que no entró en los bloques anteriores</t>
        </is>
      </c>
    </row>
    <row r="92" ht="4.5" customHeight="1" s="78">
      <c r="A92" s="85" t="n"/>
      <c r="B92" s="85" t="n"/>
      <c r="C92" s="85" t="n"/>
      <c r="D92" s="85" t="n"/>
      <c r="E92" s="85" t="n"/>
      <c r="F92" s="85" t="n"/>
      <c r="G92" s="85" t="n"/>
      <c r="H92" s="85" t="n"/>
      <c r="I92" s="85" t="n"/>
    </row>
    <row r="93" ht="18" customHeight="1" s="78">
      <c r="A93" s="85" t="n"/>
      <c r="B93" s="97" t="inlineStr">
        <is>
          <t>PersonalSoft · CTO / SICTO · Mesa de Servicios de Nueva Generación · Julio 2026</t>
        </is>
      </c>
      <c r="C93" s="85" t="n"/>
      <c r="D93" s="85" t="n"/>
      <c r="E93" s="85" t="n"/>
      <c r="F93" s="85" t="n"/>
      <c r="G93" s="85" t="n"/>
      <c r="H93" s="85" t="n"/>
      <c r="I93" s="85" t="n"/>
    </row>
    <row r="94">
      <c r="A94" s="85" t="n"/>
      <c r="B94" s="85" t="n"/>
      <c r="C94" s="85" t="n"/>
      <c r="D94" s="85" t="n"/>
      <c r="E94" s="85" t="n"/>
      <c r="F94" s="85" t="n"/>
      <c r="G94" s="85" t="n"/>
      <c r="H94" s="85" t="n"/>
      <c r="I94" s="85" t="n"/>
    </row>
    <row r="95">
      <c r="A95" s="85" t="n"/>
      <c r="B95" s="85" t="n"/>
      <c r="C95" s="85" t="n"/>
      <c r="D95" s="85" t="n"/>
      <c r="E95" s="85" t="n"/>
      <c r="F95" s="85" t="n"/>
      <c r="G95" s="85" t="n"/>
      <c r="H95" s="85" t="n"/>
      <c r="I95" s="85" t="n"/>
    </row>
    <row r="96" ht="30" customHeight="1" s="78">
      <c r="A96" s="85" t="n"/>
      <c r="B96" s="98" t="inlineStr">
        <is>
          <t>MODO DE OPERACIÓN · BCO Gioti 2</t>
        </is>
      </c>
      <c r="C96" s="85" t="n"/>
      <c r="D96" s="85" t="n"/>
      <c r="E96" s="85" t="n"/>
      <c r="F96" s="85" t="n"/>
      <c r="G96" s="85" t="n"/>
      <c r="H96" s="85" t="n"/>
      <c r="I96" s="85" t="n"/>
    </row>
    <row r="97" ht="24" customHeight="1" s="78">
      <c r="A97" s="85" t="n"/>
      <c r="B97" s="99" t="inlineStr">
        <is>
          <t>¿Cómo opera hoy esta mesa? — Reactiva, Proactiva o Automatizada · Esta sección define qué tipo de mesa es y hacia dónde debe evolucionar</t>
        </is>
      </c>
      <c r="C97" s="85" t="n"/>
      <c r="D97" s="85" t="n"/>
      <c r="E97" s="85" t="n"/>
      <c r="F97" s="85" t="n"/>
      <c r="G97" s="85" t="n"/>
      <c r="H97" s="85" t="n"/>
      <c r="I97" s="85" t="n"/>
    </row>
    <row r="98" ht="19.5" customHeight="1" s="78">
      <c r="A98" s="85" t="n"/>
      <c r="B98" s="100" t="inlineStr">
        <is>
          <t>Tipo / Modo</t>
        </is>
      </c>
      <c r="C98" s="85" t="n"/>
      <c r="D98" s="85" t="n"/>
      <c r="E98" s="101" t="inlineStr">
        <is>
          <t>Características — cómo se ve en la práctica</t>
        </is>
      </c>
      <c r="F98" s="85" t="n"/>
      <c r="G98" s="85" t="n"/>
      <c r="H98" s="85" t="n"/>
      <c r="I98" s="85" t="n"/>
    </row>
    <row r="99" ht="27.75" customHeight="1" s="78">
      <c r="A99" s="85" t="n"/>
      <c r="B99" s="102" t="inlineStr">
        <is>
          <t>Mesa de Ayuda
(Help Desk)</t>
        </is>
      </c>
      <c r="C99" s="85" t="n"/>
      <c r="D99" s="103" t="inlineStr">
        <is>
          <t>Reactiva</t>
        </is>
      </c>
      <c r="E99" s="104" t="inlineStr">
        <is>
          <t>Solo responde cuando el usuario reporta · N1 sin escalamiento · Bus factor alto</t>
        </is>
      </c>
      <c r="F99" s="85" t="n"/>
      <c r="G99" s="85" t="n"/>
      <c r="H99" s="85" t="n"/>
      <c r="I99" s="85" t="n"/>
    </row>
    <row r="100" ht="27.75" customHeight="1" s="78">
      <c r="A100" s="85" t="n"/>
      <c r="B100" s="105" t="inlineStr">
        <is>
          <t>Mesa de Soporte</t>
        </is>
      </c>
      <c r="C100" s="85" t="n"/>
      <c r="D100" s="106" t="inlineStr">
        <is>
          <t>Reactiva + Proactiva</t>
        </is>
      </c>
      <c r="E100" s="107" t="inlineStr">
        <is>
          <t>N1+N2+N3 · Gestión de problemas · Algo de monitoreo · Documentación básica</t>
        </is>
      </c>
      <c r="F100" s="85" t="n"/>
      <c r="G100" s="85" t="n"/>
      <c r="H100" s="85" t="n"/>
      <c r="I100" s="85" t="n"/>
    </row>
    <row r="101" ht="27.75" customHeight="1" s="78">
      <c r="A101" s="85" t="n"/>
      <c r="B101" s="108" t="inlineStr">
        <is>
          <t>Mesa de Servicios
(Service Desk)</t>
        </is>
      </c>
      <c r="C101" s="85" t="n"/>
      <c r="D101" s="109" t="inlineStr">
        <is>
          <t>Proactiva e Integral</t>
        </is>
      </c>
      <c r="E101" s="110" t="inlineStr">
        <is>
          <t>SPOC · Catálogo · ANS medidos · Change Enablement · ITSM completo</t>
        </is>
      </c>
      <c r="F101" s="85" t="n"/>
      <c r="G101" s="85" t="n"/>
      <c r="H101" s="85" t="n"/>
      <c r="I101" s="85" t="n"/>
    </row>
    <row r="102" ht="27.75" customHeight="1" s="78">
      <c r="A102" s="85" t="n"/>
      <c r="B102" s="111" t="inlineStr">
        <is>
          <t>Torre de Control</t>
        </is>
      </c>
      <c r="C102" s="85" t="n"/>
      <c r="D102" s="112" t="inlineStr">
        <is>
          <t>Monitoreo y Observabilidad</t>
        </is>
      </c>
      <c r="E102" s="113" t="inlineStr">
        <is>
          <t>24x7 · AIOps · Detección antes del impacto · Alertas automáticas</t>
        </is>
      </c>
      <c r="F102" s="85" t="n"/>
      <c r="G102" s="85" t="n"/>
      <c r="H102" s="85" t="n"/>
      <c r="I102" s="85" t="n"/>
    </row>
    <row r="103" ht="27.75" customHeight="1" s="78">
      <c r="A103" s="85" t="n"/>
      <c r="B103" s="114" t="inlineStr">
        <is>
          <t>Mesa Gen Next</t>
        </is>
      </c>
      <c r="C103" s="85" t="n"/>
      <c r="D103" s="115" t="inlineStr">
        <is>
          <t>Autónoma e Inteligente</t>
        </is>
      </c>
      <c r="E103" s="116" t="inlineStr">
        <is>
          <t>IA activa · N0 real · Mejora continua · AIOps · Predicción de fallas</t>
        </is>
      </c>
      <c r="F103" s="85" t="n"/>
      <c r="G103" s="85" t="n"/>
      <c r="H103" s="85" t="n"/>
      <c r="I103" s="85" t="n"/>
    </row>
    <row r="104">
      <c r="A104" s="85" t="n"/>
      <c r="B104" s="85" t="n"/>
      <c r="C104" s="85" t="n"/>
      <c r="D104" s="85" t="n"/>
      <c r="E104" s="85" t="n"/>
      <c r="F104" s="85" t="n"/>
      <c r="G104" s="85" t="n"/>
      <c r="H104" s="85" t="n"/>
      <c r="I104" s="85" t="n"/>
    </row>
    <row r="105" ht="27.75" customHeight="1" s="78">
      <c r="A105" s="85" t="n"/>
      <c r="B105" s="117" t="inlineStr">
        <is>
          <t>¿Qué tipo de mesa es esta HOY?</t>
        </is>
      </c>
      <c r="C105" s="118" t="n"/>
      <c r="D105" s="119" t="inlineStr">
        <is>
          <t>↳ Mesa de Ayuda / Soporte / Service Desk / Torre de Control</t>
        </is>
      </c>
      <c r="E105" s="85" t="n"/>
      <c r="F105" s="85" t="n"/>
      <c r="G105" s="85" t="n"/>
      <c r="H105" s="85" t="n"/>
      <c r="I105" s="85" t="n"/>
    </row>
    <row r="106" ht="27.75" customHeight="1" s="78">
      <c r="A106" s="85" t="n"/>
      <c r="B106" s="117" t="inlineStr">
        <is>
          <t>¿Qué tipo debería ser en 12 meses?</t>
        </is>
      </c>
      <c r="C106" s="118" t="n"/>
      <c r="D106" s="119" t="inlineStr">
        <is>
          <t>↳ hacia dónde debe evolucionar con el modelo nuevo</t>
        </is>
      </c>
      <c r="E106" s="85" t="n"/>
      <c r="F106" s="85" t="n"/>
      <c r="G106" s="85" t="n"/>
      <c r="H106" s="85" t="n"/>
      <c r="I106" s="85" t="n"/>
    </row>
    <row r="107" ht="27.75" customHeight="1" s="78">
      <c r="A107" s="85" t="n"/>
      <c r="B107" s="117" t="inlineStr">
        <is>
          <t>Modo de operación actual:</t>
        </is>
      </c>
      <c r="C107" s="118" t="n"/>
      <c r="D107" s="119" t="inlineStr">
        <is>
          <t>↳ Reactivo / Proactivo / Autónomo</t>
        </is>
      </c>
      <c r="E107" s="85" t="n"/>
      <c r="F107" s="85" t="n"/>
      <c r="G107" s="85" t="n"/>
      <c r="H107" s="85" t="n"/>
      <c r="I107" s="85" t="n"/>
    </row>
    <row r="108">
      <c r="A108" s="85" t="n"/>
      <c r="B108" s="85" t="n"/>
      <c r="C108" s="85" t="n"/>
      <c r="D108" s="85" t="n"/>
      <c r="E108" s="85" t="n"/>
      <c r="F108" s="85" t="n"/>
      <c r="G108" s="85" t="n"/>
      <c r="H108" s="85" t="n"/>
      <c r="I108" s="85" t="n"/>
    </row>
    <row r="109" ht="21.75" customHeight="1" s="78">
      <c r="A109" s="85" t="n"/>
      <c r="B109" s="120" t="inlineStr">
        <is>
          <t>Preguntas clave — modo de operación real</t>
        </is>
      </c>
      <c r="C109" s="85" t="n"/>
      <c r="D109" s="85" t="n"/>
      <c r="E109" s="85" t="n"/>
      <c r="F109" s="85" t="n"/>
      <c r="G109" s="85" t="n"/>
      <c r="H109" s="85" t="n"/>
      <c r="I109" s="85" t="n"/>
    </row>
    <row r="110" ht="27.75" customHeight="1" s="78">
      <c r="A110" s="85" t="n"/>
      <c r="B110" s="121" t="inlineStr">
        <is>
          <t>¿Cómo se entera el equipo de que hay un problema?</t>
        </is>
      </c>
      <c r="C110" s="122" t="n"/>
      <c r="D110" s="119" t="inlineStr">
        <is>
          <t>↳ Solo cuando el usuario llama (reactivo) / Alertas / Antes del impacto (proactivo)</t>
        </is>
      </c>
      <c r="E110" s="85" t="n"/>
      <c r="F110" s="85" t="n"/>
      <c r="G110" s="85" t="n"/>
      <c r="H110" s="85" t="n"/>
      <c r="I110" s="85" t="n"/>
    </row>
    <row r="111" ht="27.75" customHeight="1" s="78">
      <c r="A111" s="85" t="n"/>
      <c r="B111" s="121" t="inlineStr">
        <is>
          <t>¿Hay monitoreo automatizado de los sistemas del cliente?</t>
        </is>
      </c>
      <c r="C111" s="122" t="n"/>
      <c r="D111" s="119" t="inlineStr">
        <is>
          <t>↳ Sí / No / Parcial · ¿qué herramienta? ¿qué sistemas monitorea?</t>
        </is>
      </c>
      <c r="E111" s="85" t="n"/>
      <c r="F111" s="85" t="n"/>
      <c r="G111" s="85" t="n"/>
      <c r="H111" s="85" t="n"/>
      <c r="I111" s="85" t="n"/>
    </row>
    <row r="112" ht="27.75" customHeight="1" s="78">
      <c r="A112" s="85" t="n"/>
      <c r="B112" s="121" t="inlineStr">
        <is>
          <t>¿Se detectan incidentes ANTES de que el usuario los reporte?</t>
        </is>
      </c>
      <c r="C112" s="122" t="n"/>
      <c r="D112" s="119" t="inlineStr">
        <is>
          <t>↳ Sí (proactiva) / A veces / No (reactiva) — dar un ejemplo concreto</t>
        </is>
      </c>
      <c r="E112" s="85" t="n"/>
      <c r="F112" s="85" t="n"/>
      <c r="G112" s="85" t="n"/>
      <c r="H112" s="85" t="n"/>
      <c r="I112" s="85" t="n"/>
    </row>
    <row r="113" ht="27.75" customHeight="1" s="78">
      <c r="A113" s="85" t="n"/>
      <c r="B113" s="121" t="inlineStr">
        <is>
          <t>¿Cuántos tickets se resuelven sin intervención humana (% automatizados)?</t>
        </is>
      </c>
      <c r="C113" s="122" t="n"/>
      <c r="D113" s="119" t="inlineStr">
        <is>
          <t>↳ ej: 0% todo manual · 10% · 30% — cifra estimada</t>
        </is>
      </c>
      <c r="E113" s="85" t="n"/>
      <c r="F113" s="85" t="n"/>
      <c r="G113" s="85" t="n"/>
      <c r="H113" s="85" t="n"/>
      <c r="I113" s="85" t="n"/>
    </row>
    <row r="114" ht="27.75" customHeight="1" s="78">
      <c r="A114" s="85" t="n"/>
      <c r="B114" s="121" t="inlineStr">
        <is>
          <t>¿El usuario puede resolver algo solo sin contactar la mesa?</t>
        </is>
      </c>
      <c r="C114" s="122" t="n"/>
      <c r="D114" s="119" t="inlineStr">
        <is>
          <t>↳ Sí (portal activo) / No / En construcción · ¿qué puede resolver solo?</t>
        </is>
      </c>
      <c r="E114" s="85" t="n"/>
      <c r="F114" s="85" t="n"/>
      <c r="G114" s="85" t="n"/>
      <c r="H114" s="85" t="n"/>
      <c r="I114" s="85" t="n"/>
    </row>
    <row r="115" ht="27.75" customHeight="1" s="78">
      <c r="A115" s="85" t="n"/>
      <c r="B115" s="121" t="inlineStr">
        <is>
          <t>¿Cuánto tiempo tarda hacer el informe mensual del cliente?</t>
        </is>
      </c>
      <c r="C115" s="122" t="n"/>
      <c r="D115" s="119" t="inlineStr">
        <is>
          <t>↳ ej: 2 horas / medio día / un día completo — ¿es manual o automático?</t>
        </is>
      </c>
      <c r="E115" s="85" t="n"/>
      <c r="F115" s="85" t="n"/>
      <c r="G115" s="85" t="n"/>
      <c r="H115" s="85" t="n"/>
      <c r="I115" s="85" t="n"/>
    </row>
    <row r="116" ht="27.75" customHeight="1" s="78">
      <c r="A116" s="85" t="n"/>
      <c r="B116" s="121" t="inlineStr">
        <is>
          <t>¿Se mide la satisfacción del usuario (CSAT/XLA) sistemáticamente?</t>
        </is>
      </c>
      <c r="C116" s="122" t="n"/>
      <c r="D116" s="119" t="inlineStr">
        <is>
          <t>↳ Sí / No / Parcial · ¿cuándo fue la última medición?</t>
        </is>
      </c>
      <c r="E116" s="85" t="n"/>
      <c r="F116" s="85" t="n"/>
      <c r="G116" s="85" t="n"/>
      <c r="H116" s="85" t="n"/>
      <c r="I116" s="85" t="n"/>
    </row>
    <row r="117" ht="27.75" customHeight="1" s="78">
      <c r="A117" s="85" t="n"/>
      <c r="B117" s="121" t="inlineStr">
        <is>
          <t>Si tuvieras presupuesto para 1 mejora, ¿qué harías primero?</t>
        </is>
      </c>
      <c r="C117" s="122" t="n"/>
      <c r="D117" s="119" t="inlineStr">
        <is>
          <t>↳ La respuesta más valiosa para el diseño del servicio nuevo</t>
        </is>
      </c>
      <c r="E117" s="85" t="n"/>
      <c r="F117" s="85" t="n"/>
      <c r="G117" s="85" t="n"/>
      <c r="H117" s="85" t="n"/>
      <c r="I117" s="85" t="n"/>
    </row>
  </sheetData>
  <mergeCells count="185">
    <mergeCell ref="B91:C91"/>
    <mergeCell ref="D35:H35"/>
    <mergeCell ref="B100:C100"/>
    <mergeCell ref="B62:I62"/>
    <mergeCell ref="D10:H10"/>
    <mergeCell ref="D90:H90"/>
    <mergeCell ref="B22:C22"/>
    <mergeCell ref="B102:C102"/>
    <mergeCell ref="D50:E50"/>
    <mergeCell ref="D45:E45"/>
    <mergeCell ref="B12:C12"/>
    <mergeCell ref="B96:I96"/>
    <mergeCell ref="B21:C21"/>
    <mergeCell ref="B86:C86"/>
    <mergeCell ref="E103:I103"/>
    <mergeCell ref="D106:I106"/>
    <mergeCell ref="B67:C67"/>
    <mergeCell ref="D11:H11"/>
    <mergeCell ref="B101:C101"/>
    <mergeCell ref="B14:C14"/>
    <mergeCell ref="D48:E48"/>
    <mergeCell ref="D66:H66"/>
    <mergeCell ref="B13:C13"/>
    <mergeCell ref="B69:C69"/>
    <mergeCell ref="D117:I117"/>
    <mergeCell ref="B38:C38"/>
    <mergeCell ref="B82:I82"/>
    <mergeCell ref="B78:C78"/>
    <mergeCell ref="D28:H28"/>
    <mergeCell ref="D110:I110"/>
    <mergeCell ref="B19:I19"/>
    <mergeCell ref="D37:H37"/>
    <mergeCell ref="B40:C40"/>
    <mergeCell ref="B49:C49"/>
    <mergeCell ref="D9:H9"/>
    <mergeCell ref="B55:C55"/>
    <mergeCell ref="B24:C24"/>
    <mergeCell ref="D30:H30"/>
    <mergeCell ref="D39:H39"/>
    <mergeCell ref="B64:C64"/>
    <mergeCell ref="B33:C33"/>
    <mergeCell ref="B51:C51"/>
    <mergeCell ref="D51:E51"/>
    <mergeCell ref="D29:H29"/>
    <mergeCell ref="D23:H23"/>
    <mergeCell ref="D38:H38"/>
    <mergeCell ref="B76:I76"/>
    <mergeCell ref="B63:C63"/>
    <mergeCell ref="B26:C26"/>
    <mergeCell ref="B41:C41"/>
    <mergeCell ref="D111:I111"/>
    <mergeCell ref="B35:C35"/>
    <mergeCell ref="B16:C16"/>
    <mergeCell ref="B98:D98"/>
    <mergeCell ref="B25:C25"/>
    <mergeCell ref="B90:C90"/>
    <mergeCell ref="B109:I109"/>
    <mergeCell ref="D63:H63"/>
    <mergeCell ref="B66:C66"/>
    <mergeCell ref="D80:H80"/>
    <mergeCell ref="B27:C27"/>
    <mergeCell ref="G48:H48"/>
    <mergeCell ref="D65:H65"/>
    <mergeCell ref="B11:C11"/>
    <mergeCell ref="D57:H57"/>
    <mergeCell ref="D27:H27"/>
    <mergeCell ref="D41:H41"/>
    <mergeCell ref="D114:I114"/>
    <mergeCell ref="E5:H5"/>
    <mergeCell ref="D17:H17"/>
    <mergeCell ref="G49:H49"/>
    <mergeCell ref="D47:E47"/>
    <mergeCell ref="D91:H91"/>
    <mergeCell ref="B5:D5"/>
    <mergeCell ref="B29:C29"/>
    <mergeCell ref="D113:I113"/>
    <mergeCell ref="B103:C103"/>
    <mergeCell ref="B37:C37"/>
    <mergeCell ref="B84:C84"/>
    <mergeCell ref="D115:I115"/>
    <mergeCell ref="D74:H74"/>
    <mergeCell ref="D12:H12"/>
    <mergeCell ref="D68:H68"/>
    <mergeCell ref="D25:H25"/>
    <mergeCell ref="D83:H83"/>
    <mergeCell ref="B15:C15"/>
    <mergeCell ref="D55:H55"/>
    <mergeCell ref="B80:C80"/>
    <mergeCell ref="B89:C89"/>
    <mergeCell ref="D67:H67"/>
    <mergeCell ref="D14:H14"/>
    <mergeCell ref="B79:C79"/>
    <mergeCell ref="D85:H85"/>
    <mergeCell ref="D54:H54"/>
    <mergeCell ref="D60:H60"/>
    <mergeCell ref="B54:C54"/>
    <mergeCell ref="D69:H69"/>
    <mergeCell ref="B72:C72"/>
    <mergeCell ref="E98:I98"/>
    <mergeCell ref="B56:C56"/>
    <mergeCell ref="B71:C71"/>
    <mergeCell ref="D40:H40"/>
    <mergeCell ref="B93:I93"/>
    <mergeCell ref="B58:C58"/>
    <mergeCell ref="B52:C52"/>
    <mergeCell ref="D21:H21"/>
    <mergeCell ref="D52:E52"/>
    <mergeCell ref="B77:I77"/>
    <mergeCell ref="D112:I112"/>
    <mergeCell ref="D49:E49"/>
    <mergeCell ref="B60:C60"/>
    <mergeCell ref="B17:C17"/>
    <mergeCell ref="B57:C57"/>
    <mergeCell ref="B88:C88"/>
    <mergeCell ref="D16:H16"/>
    <mergeCell ref="D87:H87"/>
    <mergeCell ref="B34:C34"/>
    <mergeCell ref="B28:C28"/>
    <mergeCell ref="B99:C99"/>
    <mergeCell ref="D71:H71"/>
    <mergeCell ref="B9:C9"/>
    <mergeCell ref="D58:H58"/>
    <mergeCell ref="B83:C83"/>
    <mergeCell ref="G51:H51"/>
    <mergeCell ref="B30:C30"/>
    <mergeCell ref="D8:H8"/>
    <mergeCell ref="E100:I100"/>
    <mergeCell ref="D73:H73"/>
    <mergeCell ref="B45:C45"/>
    <mergeCell ref="B85:C85"/>
    <mergeCell ref="G50:H50"/>
    <mergeCell ref="D105:I105"/>
    <mergeCell ref="E102:I102"/>
    <mergeCell ref="B32:I32"/>
    <mergeCell ref="D59:H59"/>
    <mergeCell ref="B97:I97"/>
    <mergeCell ref="B47:C47"/>
    <mergeCell ref="G52:H52"/>
    <mergeCell ref="B7:I7"/>
    <mergeCell ref="D34:H34"/>
    <mergeCell ref="B59:C59"/>
    <mergeCell ref="D107:I107"/>
    <mergeCell ref="D116:I116"/>
    <mergeCell ref="B46:C46"/>
    <mergeCell ref="B3:I3"/>
    <mergeCell ref="D46:E46"/>
    <mergeCell ref="D84:H84"/>
    <mergeCell ref="D22:H22"/>
    <mergeCell ref="D36:H36"/>
    <mergeCell ref="B43:I43"/>
    <mergeCell ref="B39:C39"/>
    <mergeCell ref="B70:C70"/>
    <mergeCell ref="B48:C48"/>
    <mergeCell ref="D86:H86"/>
    <mergeCell ref="B2:I2"/>
    <mergeCell ref="D13:H13"/>
    <mergeCell ref="B23:C23"/>
    <mergeCell ref="B8:C8"/>
    <mergeCell ref="D70:H70"/>
    <mergeCell ref="B73:C73"/>
    <mergeCell ref="B87:C87"/>
    <mergeCell ref="B44:I44"/>
    <mergeCell ref="E99:I99"/>
    <mergeCell ref="D72:H72"/>
    <mergeCell ref="D78:H78"/>
    <mergeCell ref="B10:C10"/>
    <mergeCell ref="G45:H45"/>
    <mergeCell ref="D56:H56"/>
    <mergeCell ref="B65:C65"/>
    <mergeCell ref="E101:I101"/>
    <mergeCell ref="B74:C74"/>
    <mergeCell ref="B68:C68"/>
    <mergeCell ref="D15:H15"/>
    <mergeCell ref="G47:H47"/>
    <mergeCell ref="D24:H24"/>
    <mergeCell ref="D64:H64"/>
    <mergeCell ref="B20:I20"/>
    <mergeCell ref="D33:H33"/>
    <mergeCell ref="D89:H89"/>
    <mergeCell ref="B36:C36"/>
    <mergeCell ref="G46:H46"/>
    <mergeCell ref="B50:C50"/>
    <mergeCell ref="D79:H79"/>
    <mergeCell ref="D88:H88"/>
    <mergeCell ref="D26:H26"/>
  </mergeCells>
  <dataValidations count="2">
    <dataValidation sqref="C105:C106" showDropDown="0" showInputMessage="0" showErrorMessage="0" allowBlank="1" type="list" errorStyle="stop" operator="between">
      <formula1>Listas!$B$2:$B$6</formula1>
      <formula2>0</formula2>
    </dataValidation>
    <dataValidation sqref="C107" showDropDown="0" showInputMessage="0" showErrorMessage="0" allowBlank="1" type="list" errorStyle="stop" operator="between">
      <formula1>Listas!$P$1:$P$6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000072BC"/>
    <outlinePr summaryBelow="1" summaryRight="1"/>
    <pageSetUpPr fitToPage="0"/>
  </sheetPr>
  <dimension ref="A1:I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0" customWidth="1" style="77" min="2" max="2"/>
    <col width="18" customWidth="1" style="77" min="3" max="8"/>
    <col width="22" customWidth="1" style="77" min="9" max="9"/>
  </cols>
  <sheetData>
    <row r="1" ht="4.5" customHeight="1" s="78">
      <c r="A1" s="85" t="n"/>
      <c r="B1" s="85" t="n"/>
      <c r="C1" s="85" t="n"/>
      <c r="D1" s="85" t="n"/>
      <c r="E1" s="85" t="n"/>
      <c r="F1" s="85" t="n"/>
      <c r="G1" s="85" t="n"/>
      <c r="H1" s="85" t="n"/>
      <c r="I1" s="85" t="n"/>
    </row>
    <row r="2" ht="31.5" customHeight="1" s="78">
      <c r="A2" s="85" t="n"/>
      <c r="B2" s="81" t="inlineStr">
        <is>
          <t>Caracterización · BCO Gioti 3</t>
        </is>
      </c>
      <c r="C2" s="85" t="n"/>
      <c r="D2" s="85" t="n"/>
      <c r="E2" s="85" t="n"/>
      <c r="F2" s="85" t="n"/>
      <c r="G2" s="85" t="n"/>
      <c r="H2" s="85" t="n"/>
      <c r="I2" s="85" t="n"/>
    </row>
    <row r="3" ht="18" customHeight="1" s="78">
      <c r="A3" s="85" t="n"/>
      <c r="B3" s="82" t="inlineStr">
        <is>
          <t>PersonalSoft · Mesa de Servicios de Nueva Generación · Julio 2026</t>
        </is>
      </c>
      <c r="C3" s="85" t="n"/>
      <c r="D3" s="85" t="n"/>
      <c r="E3" s="85" t="n"/>
      <c r="F3" s="85" t="n"/>
      <c r="G3" s="85" t="n"/>
      <c r="H3" s="85" t="n"/>
      <c r="I3" s="85" t="n"/>
    </row>
    <row r="4" ht="4.5" customHeight="1" s="78">
      <c r="A4" s="85" t="n"/>
      <c r="B4" s="85" t="n"/>
      <c r="C4" s="85" t="n"/>
      <c r="D4" s="85" t="n"/>
      <c r="E4" s="85" t="n"/>
      <c r="F4" s="85" t="n"/>
      <c r="G4" s="85" t="n"/>
      <c r="H4" s="85" t="n"/>
      <c r="I4" s="85" t="n"/>
    </row>
    <row r="5" ht="15.75" customHeight="1" s="78">
      <c r="A5" s="85" t="n"/>
      <c r="B5" s="86" t="inlineStr">
        <is>
          <t>Blanco = dato requerido (fuente real)</t>
        </is>
      </c>
      <c r="C5" s="85" t="n"/>
      <c r="D5" s="85" t="n"/>
      <c r="E5" s="87" t="inlineStr">
        <is>
          <t>Amarillo = estimación aceptada si no hay dato exacto</t>
        </is>
      </c>
      <c r="F5" s="85" t="n"/>
      <c r="G5" s="85" t="n"/>
      <c r="H5" s="85" t="n"/>
      <c r="I5" s="87" t="inlineStr">
        <is>
          <t>Col. I = Fuente / nota</t>
        </is>
      </c>
    </row>
    <row r="6" ht="4.5" customHeight="1" s="78">
      <c r="A6" s="85" t="n"/>
      <c r="B6" s="85" t="n"/>
      <c r="C6" s="85" t="n"/>
      <c r="D6" s="85" t="n"/>
      <c r="E6" s="85" t="n"/>
      <c r="F6" s="85" t="n"/>
      <c r="G6" s="85" t="n"/>
      <c r="H6" s="85" t="n"/>
      <c r="I6" s="85" t="n"/>
    </row>
    <row r="7" ht="21.75" customHeight="1" s="78">
      <c r="A7" s="85" t="n"/>
      <c r="B7" s="88" t="inlineStr">
        <is>
          <t>①  IDENTIDAD Y ALCANCE  ·  5 min</t>
        </is>
      </c>
      <c r="C7" s="85" t="n"/>
      <c r="D7" s="85" t="n"/>
      <c r="E7" s="85" t="n"/>
      <c r="F7" s="85" t="n"/>
      <c r="G7" s="85" t="n"/>
      <c r="H7" s="85" t="n"/>
      <c r="I7" s="85" t="n"/>
    </row>
    <row r="8" ht="21.75" customHeight="1" s="78">
      <c r="A8" s="85" t="n"/>
      <c r="B8" s="89" t="inlineStr">
        <is>
          <t>Mesa / Cliente:</t>
        </is>
      </c>
      <c r="C8" s="85" t="n"/>
      <c r="D8" s="90" t="n"/>
      <c r="E8" s="85" t="n"/>
      <c r="F8" s="85" t="n"/>
      <c r="G8" s="85" t="n"/>
      <c r="H8" s="85" t="n"/>
      <c r="I8" s="87" t="inlineStr">
        <is>
          <t>Nombre completo de la mesa y del cliente</t>
        </is>
      </c>
    </row>
    <row r="9" ht="21.75" customHeight="1" s="78">
      <c r="A9" s="85" t="n"/>
      <c r="B9" s="89" t="inlineStr">
        <is>
          <t>Tipo de mesa:</t>
        </is>
      </c>
      <c r="C9" s="85" t="n"/>
      <c r="D9" s="89" t="n"/>
      <c r="E9" s="85" t="n"/>
      <c r="F9" s="85" t="n"/>
      <c r="G9" s="85" t="n"/>
      <c r="H9" s="85" t="n"/>
      <c r="I9" s="87" t="inlineStr">
        <is>
          <t>Mesa de Ayuda / Mesa de Soporte / Torre de Control / Mesa Híbrida</t>
        </is>
      </c>
    </row>
    <row r="10" ht="21.75" customHeight="1" s="78">
      <c r="A10" s="85" t="n"/>
      <c r="B10" s="89" t="inlineStr">
        <is>
          <t>Cliente:</t>
        </is>
      </c>
      <c r="C10" s="85" t="n"/>
      <c r="D10" s="90" t="n"/>
      <c r="E10" s="85" t="n"/>
      <c r="F10" s="85" t="n"/>
      <c r="G10" s="85" t="n"/>
      <c r="H10" s="85" t="n"/>
      <c r="I10" s="87" t="inlineStr">
        <is>
          <t>SURA / Bancolombia / XM / AES / Medicarte / Centro América / Otro</t>
        </is>
      </c>
    </row>
    <row r="11" ht="21.75" customHeight="1" s="78">
      <c r="A11" s="85" t="n"/>
      <c r="B11" s="89" t="inlineStr">
        <is>
          <t>Sector:</t>
        </is>
      </c>
      <c r="C11" s="85" t="n"/>
      <c r="D11" s="90" t="n"/>
      <c r="E11" s="85" t="n"/>
      <c r="F11" s="85" t="n"/>
      <c r="G11" s="85" t="n"/>
      <c r="H11" s="85" t="n"/>
      <c r="I11" s="87" t="inlineStr">
        <is>
          <t>Banca y Seguros / Salud / Energía / Retail / Manufactura / Gobierno / Otro</t>
        </is>
      </c>
    </row>
    <row r="12" ht="21.75" customHeight="1" s="78">
      <c r="A12" s="85" t="n"/>
      <c r="B12" s="89" t="inlineStr">
        <is>
          <t>Criticidad para el negocio:</t>
        </is>
      </c>
      <c r="C12" s="85" t="n"/>
      <c r="D12" s="89" t="n"/>
      <c r="E12" s="85" t="n"/>
      <c r="F12" s="85" t="n"/>
      <c r="G12" s="85" t="n"/>
      <c r="H12" s="85" t="n"/>
      <c r="I12" s="87" t="inlineStr">
        <is>
          <t>Alta (PDN directo) / Media (impacto usuarios) / Baja (interna)</t>
        </is>
      </c>
    </row>
    <row r="13" ht="21.75" customHeight="1" s="78">
      <c r="A13" s="85" t="n"/>
      <c r="B13" s="89" t="inlineStr">
        <is>
          <t>Sabor de servicio PS:</t>
        </is>
      </c>
      <c r="C13" s="85" t="n"/>
      <c r="D13" s="89" t="n"/>
      <c r="E13" s="85" t="n"/>
      <c r="F13" s="85" t="n"/>
      <c r="G13" s="85" t="n"/>
      <c r="H13" s="85" t="n"/>
      <c r="I13" s="87" t="inlineStr">
        <is>
          <t>Equipo dedicado / Soporte compartido / Express (Alfa)</t>
        </is>
      </c>
    </row>
    <row r="14" ht="21.75" customHeight="1" s="78">
      <c r="A14" s="85" t="n"/>
      <c r="B14" s="89" t="inlineStr">
        <is>
          <t>Horario contractual:</t>
        </is>
      </c>
      <c r="C14" s="85" t="n"/>
      <c r="D14" s="89" t="n"/>
      <c r="E14" s="85" t="n"/>
      <c r="F14" s="85" t="n"/>
      <c r="G14" s="85" t="n"/>
      <c r="H14" s="85" t="n"/>
      <c r="I14" s="87" t="inlineStr">
        <is>
          <t>Ej: L-V 7am-6pm · 5x8 · 7x24h</t>
        </is>
      </c>
    </row>
    <row r="15" ht="21.75" customHeight="1" s="78">
      <c r="A15" s="85" t="n"/>
      <c r="B15" s="89" t="inlineStr">
        <is>
          <t>Horario real (operación efectiva):</t>
        </is>
      </c>
      <c r="C15" s="85" t="n"/>
      <c r="D15" s="90" t="n"/>
      <c r="E15" s="85" t="n"/>
      <c r="F15" s="85" t="n"/>
      <c r="G15" s="85" t="n"/>
      <c r="H15" s="85" t="n"/>
      <c r="I15" s="87" t="inlineStr">
        <is>
          <t>¿El horario real coincide con el contractual? ¿Hay horas extra?</t>
        </is>
      </c>
    </row>
    <row r="16" ht="21.75" customHeight="1" s="78">
      <c r="A16" s="85" t="n"/>
      <c r="B16" s="89" t="inlineStr">
        <is>
          <t>GAP horario — h/semana adicionales no reconocidas:</t>
        </is>
      </c>
      <c r="C16" s="85" t="n"/>
      <c r="D16" s="90" t="n"/>
      <c r="E16" s="85" t="n"/>
      <c r="F16" s="85" t="n"/>
      <c r="G16" s="85" t="n"/>
      <c r="H16" s="85" t="n"/>
      <c r="I16" s="87" t="inlineStr">
        <is>
          <t>Estimado en horas semanales</t>
        </is>
      </c>
    </row>
    <row r="17" ht="39.75" customHeight="1" s="78">
      <c r="A17" s="85" t="n"/>
      <c r="B17" s="89" t="inlineStr">
        <is>
          <t>Descripción del servicio (2-3 líneas):</t>
        </is>
      </c>
      <c r="C17" s="85" t="n"/>
      <c r="D17" s="90" t="n"/>
      <c r="E17" s="85" t="n"/>
      <c r="F17" s="85" t="n"/>
      <c r="G17" s="85" t="n"/>
      <c r="H17" s="85" t="n"/>
      <c r="I17" s="87" t="inlineStr">
        <is>
          <t>Qué resuelve esta mesa, qué aplicaciones soporta</t>
        </is>
      </c>
    </row>
    <row r="18" ht="6" customHeight="1" s="78">
      <c r="A18" s="85" t="n"/>
      <c r="B18" s="85" t="n"/>
      <c r="C18" s="85" t="n"/>
      <c r="D18" s="85" t="n"/>
      <c r="E18" s="85" t="n"/>
      <c r="F18" s="85" t="n"/>
      <c r="G18" s="85" t="n"/>
      <c r="H18" s="85" t="n"/>
      <c r="I18" s="85" t="n"/>
    </row>
    <row r="19" ht="21.75" customHeight="1" s="78">
      <c r="A19" s="85" t="n"/>
      <c r="B19" s="88" t="inlineStr">
        <is>
          <t>②  VOLUMETRÍA Y ECONOMÍA  ·  10 min</t>
        </is>
      </c>
      <c r="C19" s="85" t="n"/>
      <c r="D19" s="85" t="n"/>
      <c r="E19" s="85" t="n"/>
      <c r="F19" s="85" t="n"/>
      <c r="G19" s="85" t="n"/>
      <c r="H19" s="85" t="n"/>
      <c r="I19" s="85" t="n"/>
    </row>
    <row r="20" ht="18" customHeight="1" s="78">
      <c r="A20" s="85" t="n"/>
      <c r="B20" s="89" t="inlineStr">
        <is>
          <t>Volumetría mensual promedio</t>
        </is>
      </c>
      <c r="C20" s="85" t="n"/>
      <c r="D20" s="85" t="n"/>
      <c r="E20" s="85" t="n"/>
      <c r="F20" s="85" t="n"/>
      <c r="G20" s="85" t="n"/>
      <c r="H20" s="85" t="n"/>
      <c r="I20" s="85" t="n"/>
    </row>
    <row r="21" ht="21.75" customHeight="1" s="78">
      <c r="A21" s="85" t="n"/>
      <c r="B21" s="89" t="inlineStr">
        <is>
          <t>Total tickets / mes:</t>
        </is>
      </c>
      <c r="C21" s="85" t="n"/>
      <c r="D21" s="89" t="n"/>
      <c r="E21" s="85" t="n"/>
      <c r="F21" s="85" t="n"/>
      <c r="G21" s="85" t="n"/>
      <c r="H21" s="85" t="n"/>
      <c r="I21" s="87" t="inlineStr">
        <is>
          <t>Fuente ideal: herramienta de tickets. Estimado OK si no hay datos.</t>
        </is>
      </c>
    </row>
    <row r="22" ht="21.75" customHeight="1" s="78">
      <c r="A22" s="85" t="n"/>
      <c r="B22" s="89" t="inlineStr">
        <is>
          <t xml:space="preserve">  → % Incidentes (del total):</t>
        </is>
      </c>
      <c r="C22" s="85" t="n"/>
      <c r="D22" s="89" t="n"/>
      <c r="E22" s="85" t="n"/>
      <c r="F22" s="85" t="n"/>
      <c r="G22" s="85" t="n"/>
      <c r="H22" s="85" t="n"/>
      <c r="I22" s="87" t="inlineStr">
        <is>
          <t>Ej: 60%</t>
        </is>
      </c>
    </row>
    <row r="23" ht="21.75" customHeight="1" s="78">
      <c r="A23" s="85" t="n"/>
      <c r="B23" s="89" t="inlineStr">
        <is>
          <t xml:space="preserve">  → % Solicitudes (del total):</t>
        </is>
      </c>
      <c r="C23" s="85" t="n"/>
      <c r="D23" s="89" t="n"/>
      <c r="E23" s="85" t="n"/>
      <c r="F23" s="85" t="n"/>
      <c r="G23" s="85" t="n"/>
      <c r="H23" s="85" t="n"/>
      <c r="I23" s="87" t="inlineStr">
        <is>
          <t>Ej: 35%</t>
        </is>
      </c>
    </row>
    <row r="24" ht="21.75" customHeight="1" s="78">
      <c r="A24" s="85" t="n"/>
      <c r="B24" s="89" t="inlineStr">
        <is>
          <t xml:space="preserve">  → % Problemas / RCA (del total):</t>
        </is>
      </c>
      <c r="C24" s="85" t="n"/>
      <c r="D24" s="89" t="n"/>
      <c r="E24" s="85" t="n"/>
      <c r="F24" s="85" t="n"/>
      <c r="G24" s="85" t="n"/>
      <c r="H24" s="85" t="n"/>
      <c r="I24" s="87" t="inlineStr">
        <is>
          <t>Ej: 5%</t>
        </is>
      </c>
    </row>
    <row r="25" ht="21.75" customHeight="1" s="78">
      <c r="A25" s="85" t="n"/>
      <c r="B25" s="89" t="inlineStr">
        <is>
          <t xml:space="preserve">  → % Tickets Críticos / P1:</t>
        </is>
      </c>
      <c r="C25" s="85" t="n"/>
      <c r="D25" s="89" t="n"/>
      <c r="E25" s="85" t="n"/>
      <c r="F25" s="85" t="n"/>
      <c r="G25" s="85" t="n"/>
      <c r="H25" s="85" t="n"/>
      <c r="I25" s="87" t="inlineStr">
        <is>
          <t>Tickets con impacto PDN o multi-usuario</t>
        </is>
      </c>
    </row>
    <row r="26" ht="21.75" customHeight="1" s="78">
      <c r="A26" s="85" t="n"/>
      <c r="B26" s="89" t="inlineStr">
        <is>
          <t>Canales de entrada activos:</t>
        </is>
      </c>
      <c r="C26" s="85" t="n"/>
      <c r="D26" s="89" t="n"/>
      <c r="E26" s="85" t="n"/>
      <c r="F26" s="85" t="n"/>
      <c r="G26" s="85" t="n"/>
      <c r="H26" s="85" t="n"/>
      <c r="I26" s="87" t="inlineStr">
        <is>
          <t>Teléfono / Portal / Correo / Chat / WhatsApp / Presencial</t>
        </is>
      </c>
    </row>
    <row r="27" ht="21.75" customHeight="1" s="78">
      <c r="A27" s="85" t="n"/>
      <c r="B27" s="89" t="inlineStr">
        <is>
          <t>% tickets fuera de horario (sin atender en SLA):</t>
        </is>
      </c>
      <c r="C27" s="85" t="n"/>
      <c r="D27" s="89" t="n"/>
      <c r="E27" s="85" t="n"/>
      <c r="F27" s="85" t="n"/>
      <c r="G27" s="85" t="n"/>
      <c r="H27" s="85" t="n"/>
      <c r="I27" s="87" t="inlineStr">
        <is>
          <t>Tickets que llegan pero no se atienden en horario pactado</t>
        </is>
      </c>
    </row>
    <row r="28" ht="21.75" customHeight="1" s="78">
      <c r="A28" s="85" t="n"/>
      <c r="B28" s="89" t="inlineStr">
        <is>
          <t>Pico de demanda (día / hora):</t>
        </is>
      </c>
      <c r="C28" s="85" t="n"/>
      <c r="D28" s="89" t="n"/>
      <c r="E28" s="85" t="n"/>
      <c r="F28" s="85" t="n"/>
      <c r="G28" s="85" t="n"/>
      <c r="H28" s="85" t="n"/>
      <c r="I28" s="87" t="inlineStr">
        <is>
          <t>Ej: Lunes 9-11am · Cierre de mes · Despliegues viernes</t>
        </is>
      </c>
    </row>
    <row r="29" ht="21.75" customHeight="1" s="78">
      <c r="A29" s="85" t="n"/>
      <c r="B29" s="89" t="inlineStr">
        <is>
          <t>MTTR promedio estimado (horas):</t>
        </is>
      </c>
      <c r="C29" s="85" t="n"/>
      <c r="D29" s="89" t="n"/>
      <c r="E29" s="85" t="n"/>
      <c r="F29" s="85" t="n"/>
      <c r="G29" s="85" t="n"/>
      <c r="H29" s="85" t="n"/>
      <c r="I29" s="87" t="inlineStr">
        <is>
          <t>Tiempo medio de resolución. Por prioridad si es posible.</t>
        </is>
      </c>
    </row>
    <row r="30" ht="21.75" customHeight="1" s="78">
      <c r="A30" s="85" t="n"/>
      <c r="B30" s="89" t="inlineStr">
        <is>
          <t>FCR — First Call Resolution % (estimado):</t>
        </is>
      </c>
      <c r="C30" s="85" t="n"/>
      <c r="D30" s="89" t="n"/>
      <c r="E30" s="85" t="n"/>
      <c r="F30" s="85" t="n"/>
      <c r="G30" s="85" t="n"/>
      <c r="H30" s="85" t="n"/>
      <c r="I30" s="87" t="inlineStr">
        <is>
          <t>% resuelto en primer contacto sin escalar a N2/N3</t>
        </is>
      </c>
    </row>
    <row r="31" ht="3.75" customHeight="1" s="78">
      <c r="A31" s="85" t="n"/>
      <c r="B31" s="85" t="n"/>
      <c r="C31" s="85" t="n"/>
      <c r="D31" s="85" t="n"/>
      <c r="E31" s="85" t="n"/>
      <c r="F31" s="85" t="n"/>
      <c r="G31" s="85" t="n"/>
      <c r="H31" s="85" t="n"/>
      <c r="I31" s="85" t="n"/>
    </row>
    <row r="32" ht="18" customHeight="1" s="78">
      <c r="A32" s="85" t="n"/>
      <c r="B32" s="89" t="inlineStr">
        <is>
          <t>Modelo económico y contrato</t>
        </is>
      </c>
      <c r="C32" s="85" t="n"/>
      <c r="D32" s="85" t="n"/>
      <c r="E32" s="85" t="n"/>
      <c r="F32" s="85" t="n"/>
      <c r="G32" s="85" t="n"/>
      <c r="H32" s="85" t="n"/>
      <c r="I32" s="85" t="n"/>
    </row>
    <row r="33" ht="21.75" customHeight="1" s="78">
      <c r="A33" s="85" t="n"/>
      <c r="B33" s="89" t="inlineStr">
        <is>
          <t>Modelo de cobro:</t>
        </is>
      </c>
      <c r="C33" s="85" t="n"/>
      <c r="D33" s="89" t="n"/>
      <c r="E33" s="85" t="n"/>
      <c r="F33" s="85" t="n"/>
      <c r="G33" s="85" t="n"/>
      <c r="H33" s="85" t="n"/>
      <c r="I33" s="87" t="inlineStr">
        <is>
          <t>Por FTE / Por ticket / Precio fijo mensual / Mixto / Precio fijo + variable</t>
        </is>
      </c>
    </row>
    <row r="34" ht="21.75" customHeight="1" s="78">
      <c r="A34" s="85" t="n"/>
      <c r="B34" s="89" t="inlineStr">
        <is>
          <t># FTEs facturados al cliente:</t>
        </is>
      </c>
      <c r="C34" s="85" t="n"/>
      <c r="D34" s="90" t="n"/>
      <c r="E34" s="85" t="n"/>
      <c r="F34" s="85" t="n"/>
      <c r="G34" s="85" t="n"/>
      <c r="H34" s="85" t="n"/>
      <c r="I34" s="87" t="inlineStr">
        <is>
          <t>Número de personas que PS factura a este cliente</t>
        </is>
      </c>
    </row>
    <row r="35" ht="21.75" customHeight="1" s="78">
      <c r="A35" s="85" t="n"/>
      <c r="B35" s="89" t="inlineStr">
        <is>
          <t>Tarifa mensual total (COP o USD):</t>
        </is>
      </c>
      <c r="C35" s="85" t="n"/>
      <c r="D35" s="90" t="n"/>
      <c r="E35" s="85" t="n"/>
      <c r="F35" s="85" t="n"/>
      <c r="G35" s="85" t="n"/>
      <c r="H35" s="85" t="n"/>
      <c r="I35" s="87" t="inlineStr">
        <is>
          <t>Valor del contrato mensual. Estimado OK si no tienes exacto.</t>
        </is>
      </c>
    </row>
    <row r="36" ht="21.75" customHeight="1" s="78">
      <c r="A36" s="85" t="n"/>
      <c r="B36" s="89" t="inlineStr">
        <is>
          <t>Costo/FTE promedio (costo interno PS):</t>
        </is>
      </c>
      <c r="C36" s="85" t="n"/>
      <c r="D36" s="89" t="n"/>
      <c r="E36" s="85" t="n"/>
      <c r="F36" s="85" t="n"/>
      <c r="G36" s="85" t="n"/>
      <c r="H36" s="85" t="n"/>
      <c r="I36" s="87" t="inlineStr">
        <is>
          <t>Costo interno. Confidencial — solo para análisis de rentabilidad.</t>
        </is>
      </c>
    </row>
    <row r="37" ht="21.75" customHeight="1" s="78">
      <c r="A37" s="85" t="n"/>
      <c r="B37" s="89" t="inlineStr">
        <is>
          <t>Margen estimado (%):</t>
        </is>
      </c>
      <c r="C37" s="85" t="n"/>
      <c r="D37" s="89" t="n"/>
      <c r="E37" s="85" t="n"/>
      <c r="F37" s="85" t="n"/>
      <c r="G37" s="85" t="n"/>
      <c r="H37" s="85" t="n"/>
      <c r="I37" s="87" t="inlineStr">
        <is>
          <t>Rango: Bajo &lt; 15% / Medio 15-25% / Alto &gt; 25%</t>
        </is>
      </c>
    </row>
    <row r="38" ht="21.75" customHeight="1" s="78">
      <c r="A38" s="85" t="n"/>
      <c r="B38" s="89" t="inlineStr">
        <is>
          <t>¿Hay penalidades ANS activas en el contrato?</t>
        </is>
      </c>
      <c r="C38" s="85" t="n"/>
      <c r="D38" s="89" t="n"/>
      <c r="E38" s="85" t="n"/>
      <c r="F38" s="85" t="n"/>
      <c r="G38" s="85" t="n"/>
      <c r="H38" s="85" t="n"/>
      <c r="I38" s="87" t="inlineStr">
        <is>
          <t>Sí / No / Parcial. ¿Se aplican realmente?</t>
        </is>
      </c>
    </row>
    <row r="39" ht="21.75" customHeight="1" s="78">
      <c r="A39" s="85" t="n"/>
      <c r="B39" s="89" t="inlineStr">
        <is>
          <t>¿El modelo permite cobrar expansión de scope?</t>
        </is>
      </c>
      <c r="C39" s="85" t="n"/>
      <c r="D39" s="89" t="n"/>
      <c r="E39" s="85" t="n"/>
      <c r="F39" s="85" t="n"/>
      <c r="G39" s="85" t="n"/>
      <c r="H39" s="85" t="n"/>
      <c r="I39" s="87" t="inlineStr">
        <is>
          <t>Sí / No. ¿Existe mecanismo formal de adición de alcance?</t>
        </is>
      </c>
    </row>
    <row r="40" ht="21.75" customHeight="1" s="78">
      <c r="A40" s="85" t="n"/>
      <c r="B40" s="89" t="inlineStr">
        <is>
          <t>Fecha de renovación del contrato:</t>
        </is>
      </c>
      <c r="C40" s="85" t="n"/>
      <c r="D40" s="90" t="n"/>
      <c r="E40" s="85" t="n"/>
      <c r="F40" s="85" t="n"/>
      <c r="G40" s="85" t="n"/>
      <c r="H40" s="85" t="n"/>
      <c r="I40" s="87" t="inlineStr">
        <is>
          <t>Mes/Año de próxima renovación o vencimiento</t>
        </is>
      </c>
    </row>
    <row r="41" ht="21.75" customHeight="1" s="78">
      <c r="A41" s="85" t="n"/>
      <c r="B41" s="89" t="inlineStr">
        <is>
          <t>¿Hay adiciones de scope sin renegociación de precio?</t>
        </is>
      </c>
      <c r="C41" s="85" t="n"/>
      <c r="D41" s="89" t="n"/>
      <c r="E41" s="85" t="n"/>
      <c r="F41" s="85" t="n"/>
      <c r="G41" s="85" t="n"/>
      <c r="H41" s="85" t="n"/>
      <c r="I41" s="87" t="inlineStr">
        <is>
          <t>Apps o integraciones agregadas sin ajuste de precio</t>
        </is>
      </c>
    </row>
    <row r="42" ht="6" customHeight="1" s="78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</row>
    <row r="43" ht="21.75" customHeight="1" s="78">
      <c r="A43" s="85" t="n"/>
      <c r="B43" s="88" t="inlineStr">
        <is>
          <t>③  PERSONAS Y CULTURA  ·  10 min</t>
        </is>
      </c>
      <c r="C43" s="85" t="n"/>
      <c r="D43" s="85" t="n"/>
      <c r="E43" s="85" t="n"/>
      <c r="F43" s="85" t="n"/>
      <c r="G43" s="85" t="n"/>
      <c r="H43" s="85" t="n"/>
      <c r="I43" s="85" t="n"/>
    </row>
    <row r="44" ht="18" customHeight="1" s="78">
      <c r="A44" s="85" t="n"/>
      <c r="B44" s="89" t="inlineStr">
        <is>
          <t>Composición del equipo por nivel</t>
        </is>
      </c>
      <c r="C44" s="85" t="n"/>
      <c r="D44" s="85" t="n"/>
      <c r="E44" s="85" t="n"/>
      <c r="F44" s="85" t="n"/>
      <c r="G44" s="85" t="n"/>
      <c r="H44" s="85" t="n"/>
      <c r="I44" s="85" t="n"/>
    </row>
    <row r="45" ht="19.5" customHeight="1" s="78">
      <c r="A45" s="85" t="n"/>
      <c r="B45" s="91" t="inlineStr">
        <is>
          <t>Rol / Nivel</t>
        </is>
      </c>
      <c r="C45" s="85" t="n"/>
      <c r="D45" s="91" t="inlineStr">
        <is>
          <t>FTEs actuales</t>
        </is>
      </c>
      <c r="E45" s="85" t="n"/>
      <c r="F45" s="91" t="inlineStr">
        <is>
          <t>FTEs requeridos (ideal)</t>
        </is>
      </c>
      <c r="G45" s="91" t="inlineStr">
        <is>
          <t>% tiempo en soporte</t>
        </is>
      </c>
      <c r="H45" s="85" t="n"/>
      <c r="I45" s="91" t="inlineStr">
        <is>
          <t>Fuente</t>
        </is>
      </c>
    </row>
    <row r="46" ht="19.5" customHeight="1" s="78">
      <c r="A46" s="85" t="n"/>
      <c r="B46" s="89" t="inlineStr">
        <is>
          <t>Gerente de Mesa / Account Manager</t>
        </is>
      </c>
      <c r="C46" s="85" t="n"/>
      <c r="D46" s="92" t="n"/>
      <c r="E46" s="85" t="n"/>
      <c r="F46" s="92" t="n"/>
      <c r="G46" s="92" t="n"/>
      <c r="H46" s="85" t="n"/>
      <c r="I46" s="92" t="n"/>
    </row>
    <row r="47" ht="19.5" customHeight="1" s="78">
      <c r="A47" s="85" t="n"/>
      <c r="B47" s="90" t="inlineStr">
        <is>
          <t>Líder Técnico / Coordinador N2</t>
        </is>
      </c>
      <c r="C47" s="85" t="n"/>
      <c r="D47" s="93" t="n"/>
      <c r="E47" s="85" t="n"/>
      <c r="F47" s="93" t="n"/>
      <c r="G47" s="93" t="n"/>
      <c r="H47" s="85" t="n"/>
      <c r="I47" s="93" t="n"/>
    </row>
    <row r="48" ht="19.5" customHeight="1" s="78">
      <c r="A48" s="85" t="n"/>
      <c r="B48" s="89" t="inlineStr">
        <is>
          <t>Analista N1 (front-end)</t>
        </is>
      </c>
      <c r="C48" s="85" t="n"/>
      <c r="D48" s="92" t="n"/>
      <c r="E48" s="85" t="n"/>
      <c r="F48" s="92" t="n"/>
      <c r="G48" s="92" t="n"/>
      <c r="H48" s="85" t="n"/>
      <c r="I48" s="92" t="n"/>
    </row>
    <row r="49" ht="19.5" customHeight="1" s="78">
      <c r="A49" s="85" t="n"/>
      <c r="B49" s="90" t="inlineStr">
        <is>
          <t>Especialista N2 (soporte avanzado)</t>
        </is>
      </c>
      <c r="C49" s="85" t="n"/>
      <c r="D49" s="93" t="n"/>
      <c r="E49" s="85" t="n"/>
      <c r="F49" s="93" t="n"/>
      <c r="G49" s="93" t="n"/>
      <c r="H49" s="85" t="n"/>
      <c r="I49" s="93" t="n"/>
    </row>
    <row r="50" ht="19.5" customHeight="1" s="78">
      <c r="A50" s="85" t="n"/>
      <c r="B50" s="89" t="inlineStr">
        <is>
          <t>Desarrollador / Especialista N3</t>
        </is>
      </c>
      <c r="C50" s="85" t="n"/>
      <c r="D50" s="92" t="n"/>
      <c r="E50" s="85" t="n"/>
      <c r="F50" s="92" t="n"/>
      <c r="G50" s="92" t="n"/>
      <c r="H50" s="85" t="n"/>
      <c r="I50" s="92" t="n"/>
    </row>
    <row r="51" ht="19.5" customHeight="1" s="78">
      <c r="A51" s="85" t="n"/>
      <c r="B51" s="90" t="inlineStr">
        <is>
          <t>Especialista IA / Datos</t>
        </is>
      </c>
      <c r="C51" s="85" t="n"/>
      <c r="D51" s="93" t="n"/>
      <c r="E51" s="85" t="n"/>
      <c r="F51" s="93" t="n"/>
      <c r="G51" s="93" t="n"/>
      <c r="H51" s="85" t="n"/>
      <c r="I51" s="93" t="n"/>
    </row>
    <row r="52" ht="19.5" customHeight="1" s="78">
      <c r="A52" s="85" t="n"/>
      <c r="B52" s="89" t="inlineStr">
        <is>
          <t>TOTAL</t>
        </is>
      </c>
      <c r="C52" s="85" t="n"/>
      <c r="D52" s="92" t="n"/>
      <c r="E52" s="85" t="n"/>
      <c r="F52" s="92" t="n"/>
      <c r="G52" s="92" t="n"/>
      <c r="H52" s="85" t="n"/>
      <c r="I52" s="92" t="n"/>
    </row>
    <row r="53" ht="3.75" customHeight="1" s="78">
      <c r="A53" s="85" t="n"/>
      <c r="B53" s="85" t="n"/>
      <c r="C53" s="85" t="n"/>
      <c r="D53" s="85" t="n"/>
      <c r="E53" s="85" t="n"/>
      <c r="F53" s="85" t="n"/>
      <c r="G53" s="85" t="n"/>
      <c r="H53" s="85" t="n"/>
      <c r="I53" s="85" t="n"/>
    </row>
    <row r="54" ht="21.75" customHeight="1" s="78">
      <c r="A54" s="85" t="n"/>
      <c r="B54" s="89" t="inlineStr">
        <is>
          <t>Rotación anual del equipo (%):</t>
        </is>
      </c>
      <c r="C54" s="85" t="n"/>
      <c r="D54" s="89" t="n"/>
      <c r="E54" s="85" t="n"/>
      <c r="F54" s="85" t="n"/>
      <c r="G54" s="85" t="n"/>
      <c r="H54" s="85" t="n"/>
      <c r="I54" s="87" t="inlineStr">
        <is>
          <t>Bajo &lt; 10% / Medio 10-25% / Alto &gt; 25% / Muy alto &gt; 50%</t>
        </is>
      </c>
    </row>
    <row r="55" ht="21.75" customHeight="1" s="78">
      <c r="A55" s="85" t="n"/>
      <c r="B55" s="89" t="inlineStr">
        <is>
          <t>Antigüedad promedio en este cliente (meses):</t>
        </is>
      </c>
      <c r="C55" s="85" t="n"/>
      <c r="D55" s="89" t="n"/>
      <c r="E55" s="85" t="n"/>
      <c r="F55" s="85" t="n"/>
      <c r="G55" s="85" t="n"/>
      <c r="H55" s="85" t="n"/>
      <c r="I55" s="87" t="inlineStr">
        <is>
          <t>Tiempo que llevan los FTEs actuales en esta mesa</t>
        </is>
      </c>
    </row>
    <row r="56" ht="21.75" customHeight="1" s="78">
      <c r="A56" s="85" t="n"/>
      <c r="B56" s="89" t="inlineStr">
        <is>
          <t>Bus factor — ¿quién sabe TODO de esta mesa?:</t>
        </is>
      </c>
      <c r="C56" s="85" t="n"/>
      <c r="D56" s="90" t="n"/>
      <c r="E56" s="85" t="n"/>
      <c r="F56" s="85" t="n"/>
      <c r="G56" s="85" t="n"/>
      <c r="H56" s="85" t="n"/>
      <c r="I56" s="87" t="inlineStr">
        <is>
          <t>Nombre(s) de la(s) persona(s) crítica(s). Si se va, hay crisis.</t>
        </is>
      </c>
    </row>
    <row r="57" ht="21.75" customHeight="1" s="78">
      <c r="A57" s="85" t="n"/>
      <c r="B57" s="89" t="inlineStr">
        <is>
          <t>¿El equipo tiene ruta de crecimiento definida?</t>
        </is>
      </c>
      <c r="C57" s="85" t="n"/>
      <c r="D57" s="89" t="n"/>
      <c r="E57" s="85" t="n"/>
      <c r="F57" s="85" t="n"/>
      <c r="G57" s="85" t="n"/>
      <c r="H57" s="85" t="n"/>
      <c r="I57" s="87" t="inlineStr">
        <is>
          <t>Sí / No / Parcial — ¿Plan de carrera documentado?</t>
        </is>
      </c>
    </row>
    <row r="58" ht="21.75" customHeight="1" s="78">
      <c r="A58" s="85" t="n"/>
      <c r="B58" s="89" t="inlineStr">
        <is>
          <t>Satisfacción del equipo (NPS interno estimado 1-10):</t>
        </is>
      </c>
      <c r="C58" s="85" t="n"/>
      <c r="D58" s="89" t="n"/>
      <c r="E58" s="85" t="n"/>
      <c r="F58" s="85" t="n"/>
      <c r="G58" s="85" t="n"/>
      <c r="H58" s="85" t="n"/>
      <c r="I58" s="87" t="inlineStr">
        <is>
          <t>Estimación del líder de mesa</t>
        </is>
      </c>
    </row>
    <row r="59" ht="21.75" customHeight="1" s="78">
      <c r="A59" s="85" t="n"/>
      <c r="B59" s="89" t="inlineStr">
        <is>
          <t>Principal causa de rotación identificada:</t>
        </is>
      </c>
      <c r="C59" s="85" t="n"/>
      <c r="D59" s="90" t="n"/>
      <c r="E59" s="85" t="n"/>
      <c r="F59" s="85" t="n"/>
      <c r="G59" s="85" t="n"/>
      <c r="H59" s="85" t="n"/>
      <c r="I59" s="87" t="inlineStr">
        <is>
          <t>Salario / Falta crecimiento / Carga alta / Conflicto cliente / Otro</t>
        </is>
      </c>
    </row>
    <row r="60" ht="21.75" customHeight="1" s="78">
      <c r="A60" s="85" t="n"/>
      <c r="B60" s="89" t="inlineStr">
        <is>
          <t>¿Horas extra frecuentes no reconocidas?</t>
        </is>
      </c>
      <c r="C60" s="85" t="n"/>
      <c r="D60" s="90" t="n"/>
      <c r="E60" s="85" t="n"/>
      <c r="F60" s="85" t="n"/>
      <c r="G60" s="85" t="n"/>
      <c r="H60" s="85" t="n"/>
      <c r="I60" s="87" t="inlineStr">
        <is>
          <t>Sí / No. ¿Cuántas h/semana? ¿Se compensan?</t>
        </is>
      </c>
    </row>
    <row r="61" ht="6" customHeight="1" s="78">
      <c r="A61" s="85" t="n"/>
      <c r="B61" s="85" t="n"/>
      <c r="C61" s="85" t="n"/>
      <c r="D61" s="85" t="n"/>
      <c r="E61" s="85" t="n"/>
      <c r="F61" s="85" t="n"/>
      <c r="G61" s="85" t="n"/>
      <c r="H61" s="85" t="n"/>
      <c r="I61" s="85" t="n"/>
    </row>
    <row r="62" ht="21.75" customHeight="1" s="78">
      <c r="A62" s="85" t="n"/>
      <c r="B62" s="88" t="inlineStr">
        <is>
          <t>④  STACK TECNOLÓGICO Y APLICACIONES  ·  8 min</t>
        </is>
      </c>
      <c r="C62" s="85" t="n"/>
      <c r="D62" s="85" t="n"/>
      <c r="E62" s="85" t="n"/>
      <c r="F62" s="85" t="n"/>
      <c r="G62" s="85" t="n"/>
      <c r="H62" s="85" t="n"/>
      <c r="I62" s="85" t="n"/>
    </row>
    <row r="63" ht="21.75" customHeight="1" s="78">
      <c r="A63" s="85" t="n"/>
      <c r="B63" s="94" t="inlineStr">
        <is>
          <t>Herramienta de tickets (nombre):</t>
        </is>
      </c>
      <c r="C63" s="85" t="n"/>
      <c r="D63" s="89" t="n"/>
      <c r="E63" s="85" t="n"/>
      <c r="F63" s="85" t="n"/>
      <c r="G63" s="85" t="n"/>
      <c r="H63" s="85" t="n"/>
      <c r="I63" s="87" t="inlineStr">
        <is>
          <t>ServiceNow / Jira / BMC Remedy / Computer Associates / Excel / Otra</t>
        </is>
      </c>
    </row>
    <row r="64" ht="21.75" customHeight="1" s="78">
      <c r="A64" s="85" t="n"/>
      <c r="B64" s="94" t="inlineStr">
        <is>
          <t>¿Herramienta es del cliente o de PS?:</t>
        </is>
      </c>
      <c r="C64" s="85" t="n"/>
      <c r="D64" s="89" t="n"/>
      <c r="E64" s="85" t="n"/>
      <c r="F64" s="85" t="n"/>
      <c r="G64" s="85" t="n"/>
      <c r="H64" s="85" t="n"/>
      <c r="I64" s="87" t="inlineStr">
        <is>
          <t>Cliente (nos adaptamos) / PS provee herramienta</t>
        </is>
      </c>
    </row>
    <row r="65" ht="21.75" customHeight="1" s="78">
      <c r="A65" s="85" t="n"/>
      <c r="B65" s="94" t="inlineStr">
        <is>
          <t># Aplicaciones en scope:</t>
        </is>
      </c>
      <c r="C65" s="85" t="n"/>
      <c r="D65" s="90" t="n"/>
      <c r="E65" s="85" t="n"/>
      <c r="F65" s="85" t="n"/>
      <c r="G65" s="85" t="n"/>
      <c r="H65" s="85" t="n"/>
      <c r="I65" s="87" t="inlineStr">
        <is>
          <t>Número total de apps que esta mesa soporta</t>
        </is>
      </c>
    </row>
    <row r="66" ht="21.75" customHeight="1" s="78">
      <c r="A66" s="85" t="n"/>
      <c r="B66" s="94" t="inlineStr">
        <is>
          <t>Aplicaciones críticas (top 5):</t>
        </is>
      </c>
      <c r="C66" s="85" t="n"/>
      <c r="D66" s="90" t="n"/>
      <c r="E66" s="85" t="n"/>
      <c r="F66" s="85" t="n"/>
      <c r="G66" s="85" t="n"/>
      <c r="H66" s="85" t="n"/>
      <c r="I66" s="87" t="inlineStr">
        <is>
          <t>Listar por nombre. Ej: SAP FI · Portal web · API pagos</t>
        </is>
      </c>
    </row>
    <row r="67" ht="21.75" customHeight="1" s="78">
      <c r="A67" s="85" t="n"/>
      <c r="B67" s="94" t="inlineStr">
        <is>
          <t>Lenguajes / plataformas soportadas:</t>
        </is>
      </c>
      <c r="C67" s="85" t="n"/>
      <c r="D67" s="90" t="n"/>
      <c r="E67" s="85" t="n"/>
      <c r="F67" s="85" t="n"/>
      <c r="G67" s="85" t="n"/>
      <c r="H67" s="85" t="n"/>
      <c r="I67" s="87" t="inlineStr">
        <is>
          <t>Java / .Net / Python / SAP / AWS / Azure / Power Platform / OT/IT</t>
        </is>
      </c>
    </row>
    <row r="68" ht="21.75" customHeight="1" s="78">
      <c r="A68" s="85" t="n"/>
      <c r="B68" s="94" t="inlineStr">
        <is>
          <t># Ambientes soportados (DEV/QA/PRD):</t>
        </is>
      </c>
      <c r="C68" s="85" t="n"/>
      <c r="D68" s="90" t="n"/>
      <c r="E68" s="85" t="n"/>
      <c r="F68" s="85" t="n"/>
      <c r="G68" s="85" t="n"/>
      <c r="H68" s="85" t="n"/>
      <c r="I68" s="87" t="inlineStr">
        <is>
          <t>¿Todos los ambientes generan tickets?</t>
        </is>
      </c>
    </row>
    <row r="69" ht="21.75" customHeight="1" s="78">
      <c r="A69" s="85" t="n"/>
      <c r="B69" s="94" t="inlineStr">
        <is>
          <t>Integraciones críticas documentadas:</t>
        </is>
      </c>
      <c r="C69" s="85" t="n"/>
      <c r="D69" s="89" t="n"/>
      <c r="E69" s="85" t="n"/>
      <c r="F69" s="85" t="n"/>
      <c r="G69" s="85" t="n"/>
      <c r="H69" s="85" t="n"/>
      <c r="I69" s="87" t="inlineStr">
        <is>
          <t>Sí / No / Parcial. ¿Existe mapa de dependencias?</t>
        </is>
      </c>
    </row>
    <row r="70" ht="21.75" customHeight="1" s="78">
      <c r="A70" s="85" t="n"/>
      <c r="B70" s="94" t="inlineStr">
        <is>
          <t>¿Monitoreo activo configurado?:</t>
        </is>
      </c>
      <c r="C70" s="85" t="n"/>
      <c r="D70" s="89" t="n"/>
      <c r="E70" s="85" t="n"/>
      <c r="F70" s="85" t="n"/>
      <c r="G70" s="85" t="n"/>
      <c r="H70" s="85" t="n"/>
      <c r="I70" s="87" t="inlineStr">
        <is>
          <t>Sí / No / Parcial. ¿Qué herramienta? ¿Umbrales definidos?</t>
        </is>
      </c>
    </row>
    <row r="71" ht="21.75" customHeight="1" s="78">
      <c r="A71" s="85" t="n"/>
      <c r="B71" s="94" t="inlineStr">
        <is>
          <t>¿KEDB (base de conocimiento) existe?:</t>
        </is>
      </c>
      <c r="C71" s="85" t="n"/>
      <c r="D71" s="89" t="n"/>
      <c r="E71" s="85" t="n"/>
      <c r="F71" s="85" t="n"/>
      <c r="G71" s="85" t="n"/>
      <c r="H71" s="85" t="n"/>
      <c r="I71" s="87" t="inlineStr">
        <is>
          <t>Sí / No / Parcial. ¿Actualizada? ¿Quién la mantiene?</t>
        </is>
      </c>
    </row>
    <row r="72" ht="21.75" customHeight="1" s="78">
      <c r="A72" s="85" t="n"/>
      <c r="B72" s="94" t="inlineStr">
        <is>
          <t>¿Automatización en producción?:</t>
        </is>
      </c>
      <c r="C72" s="85" t="n"/>
      <c r="D72" s="89" t="n"/>
      <c r="E72" s="85" t="n"/>
      <c r="F72" s="85" t="n"/>
      <c r="G72" s="85" t="n"/>
      <c r="H72" s="85" t="n"/>
      <c r="I72" s="87" t="inlineStr">
        <is>
          <t>Sí / No. Si Sí: ¿qué automatiza? ¿% tickets automatizados?</t>
        </is>
      </c>
    </row>
    <row r="73" ht="21.75" customHeight="1" s="78">
      <c r="A73" s="85" t="n"/>
      <c r="B73" s="94" t="inlineStr">
        <is>
          <t>¿Hay N0 activo (autoservicio / portal)?:</t>
        </is>
      </c>
      <c r="C73" s="85" t="n"/>
      <c r="D73" s="89" t="n"/>
      <c r="E73" s="85" t="n"/>
      <c r="F73" s="85" t="n"/>
      <c r="G73" s="85" t="n"/>
      <c r="H73" s="85" t="n"/>
      <c r="I73" s="87" t="inlineStr">
        <is>
          <t>Sí / No / En construcción. ¿% de deflexión?</t>
        </is>
      </c>
    </row>
    <row r="74" ht="21.75" customHeight="1" s="78">
      <c r="A74" s="85" t="n"/>
      <c r="B74" s="94" t="inlineStr">
        <is>
          <t>Regulación sectorial aplicable:</t>
        </is>
      </c>
      <c r="C74" s="85" t="n"/>
      <c r="D74" s="90" t="n"/>
      <c r="E74" s="85" t="n"/>
      <c r="F74" s="85" t="n"/>
      <c r="G74" s="85" t="n"/>
      <c r="H74" s="85" t="n"/>
      <c r="I74" s="87" t="inlineStr">
        <is>
          <t>SFC / SOX / BCP/DRP / Habeas Data / Supersalud / RIPS / Ninguna</t>
        </is>
      </c>
    </row>
    <row r="75" ht="6" customHeight="1" s="78">
      <c r="A75" s="85" t="n"/>
      <c r="B75" s="85" t="n"/>
      <c r="C75" s="85" t="n"/>
      <c r="D75" s="85" t="n"/>
      <c r="E75" s="85" t="n"/>
      <c r="F75" s="85" t="n"/>
      <c r="G75" s="85" t="n"/>
      <c r="H75" s="85" t="n"/>
      <c r="I75" s="85" t="n"/>
    </row>
    <row r="76" ht="21.75" customHeight="1" s="78">
      <c r="A76" s="85" t="n"/>
      <c r="B76" s="88" t="inlineStr">
        <is>
          <t>⑤  RIESGOS Y OPORTUNIDADES  ·  7 min</t>
        </is>
      </c>
      <c r="C76" s="85" t="n"/>
      <c r="D76" s="85" t="n"/>
      <c r="E76" s="85" t="n"/>
      <c r="F76" s="85" t="n"/>
      <c r="G76" s="85" t="n"/>
      <c r="H76" s="85" t="n"/>
      <c r="I76" s="85" t="n"/>
    </row>
    <row r="77" ht="18" customHeight="1" s="78">
      <c r="A77" s="85" t="n"/>
      <c r="B77" s="95" t="inlineStr">
        <is>
          <t>Top 3 riesgos actuales</t>
        </is>
      </c>
      <c r="C77" s="85" t="n"/>
      <c r="D77" s="85" t="n"/>
      <c r="E77" s="85" t="n"/>
      <c r="F77" s="85" t="n"/>
      <c r="G77" s="85" t="n"/>
      <c r="H77" s="85" t="n"/>
      <c r="I77" s="85" t="n"/>
    </row>
    <row r="78" ht="25.5" customHeight="1" s="78">
      <c r="A78" s="85" t="n"/>
      <c r="B78" s="89" t="inlineStr">
        <is>
          <t>Riesgo #1:</t>
        </is>
      </c>
      <c r="C78" s="85" t="n"/>
      <c r="D78" s="90" t="n"/>
      <c r="E78" s="85" t="n"/>
      <c r="F78" s="85" t="n"/>
      <c r="G78" s="85" t="n"/>
      <c r="H78" s="85" t="n"/>
      <c r="I78" s="87" t="inlineStr">
        <is>
          <t>Ej: Bus factor / Scope creep / ANS sin medir / Churn latente</t>
        </is>
      </c>
    </row>
    <row r="79" ht="25.5" customHeight="1" s="78">
      <c r="A79" s="85" t="n"/>
      <c r="B79" s="89" t="inlineStr">
        <is>
          <t>Riesgo #2:</t>
        </is>
      </c>
      <c r="C79" s="85" t="n"/>
      <c r="D79" s="90" t="n"/>
      <c r="E79" s="85" t="n"/>
      <c r="F79" s="85" t="n"/>
      <c r="G79" s="85" t="n"/>
      <c r="H79" s="85" t="n"/>
      <c r="I79" s="87" t="inlineStr">
        <is>
          <t>Ej: Bus factor / Scope creep / ANS sin medir / Churn latente</t>
        </is>
      </c>
    </row>
    <row r="80" ht="25.5" customHeight="1" s="78">
      <c r="A80" s="85" t="n"/>
      <c r="B80" s="89" t="inlineStr">
        <is>
          <t>Riesgo #3:</t>
        </is>
      </c>
      <c r="C80" s="85" t="n"/>
      <c r="D80" s="90" t="n"/>
      <c r="E80" s="85" t="n"/>
      <c r="F80" s="85" t="n"/>
      <c r="G80" s="85" t="n"/>
      <c r="H80" s="85" t="n"/>
      <c r="I80" s="87" t="inlineStr">
        <is>
          <t>Ej: Bus factor / Scope creep / ANS sin medir / Churn latente</t>
        </is>
      </c>
    </row>
    <row r="81" ht="3.75" customHeight="1" s="78">
      <c r="A81" s="85" t="n"/>
      <c r="B81" s="85" t="n"/>
      <c r="C81" s="85" t="n"/>
      <c r="D81" s="85" t="n"/>
      <c r="E81" s="85" t="n"/>
      <c r="F81" s="85" t="n"/>
      <c r="G81" s="85" t="n"/>
      <c r="H81" s="85" t="n"/>
      <c r="I81" s="85" t="n"/>
    </row>
    <row r="82" ht="18" customHeight="1" s="78">
      <c r="A82" s="85" t="n"/>
      <c r="B82" s="96" t="inlineStr">
        <is>
          <t>Oportunidades para el servicio Gen Next</t>
        </is>
      </c>
      <c r="C82" s="85" t="n"/>
      <c r="D82" s="85" t="n"/>
      <c r="E82" s="85" t="n"/>
      <c r="F82" s="85" t="n"/>
      <c r="G82" s="85" t="n"/>
      <c r="H82" s="85" t="n"/>
      <c r="I82" s="85" t="n"/>
    </row>
    <row r="83" ht="21.75" customHeight="1" s="78">
      <c r="A83" s="85" t="n"/>
      <c r="B83" s="89" t="inlineStr">
        <is>
          <t>Potencial de automatización:</t>
        </is>
      </c>
      <c r="C83" s="85" t="n"/>
      <c r="D83" s="89" t="n"/>
      <c r="E83" s="85" t="n"/>
      <c r="F83" s="85" t="n"/>
      <c r="G83" s="85" t="n"/>
      <c r="H83" s="85" t="n"/>
      <c r="I83" s="87" t="inlineStr">
        <is>
          <t>Alto / Medio / Bajo. ¿Qué tareas repetitivas hay?</t>
        </is>
      </c>
    </row>
    <row r="84" ht="21.75" customHeight="1" s="78">
      <c r="A84" s="85" t="n"/>
      <c r="B84" s="89" t="inlineStr">
        <is>
          <t>Potencial de incorporar IA:</t>
        </is>
      </c>
      <c r="C84" s="85" t="n"/>
      <c r="D84" s="89" t="n"/>
      <c r="E84" s="85" t="n"/>
      <c r="F84" s="85" t="n"/>
      <c r="G84" s="85" t="n"/>
      <c r="H84" s="85" t="n"/>
      <c r="I84" s="87" t="inlineStr">
        <is>
          <t>Alto / Medio / Bajo. ¿Clasificación / KEDB / AIOps?</t>
        </is>
      </c>
    </row>
    <row r="85" ht="21.75" customHeight="1" s="78">
      <c r="A85" s="85" t="n"/>
      <c r="B85" s="89" t="inlineStr">
        <is>
          <t>Apetito del cliente por el cambio:</t>
        </is>
      </c>
      <c r="C85" s="85" t="n"/>
      <c r="D85" s="89" t="n"/>
      <c r="E85" s="85" t="n"/>
      <c r="F85" s="85" t="n"/>
      <c r="G85" s="85" t="n"/>
      <c r="H85" s="85" t="n"/>
      <c r="I85" s="87" t="inlineStr">
        <is>
          <t>Alto (promotor activo) / Medio (receptivo) / Bajo (conservador)</t>
        </is>
      </c>
    </row>
    <row r="86" ht="21.75" customHeight="1" s="78">
      <c r="A86" s="85" t="n"/>
      <c r="B86" s="89" t="inlineStr">
        <is>
          <t>Señal de churn (semáforo):</t>
        </is>
      </c>
      <c r="C86" s="85" t="n"/>
      <c r="D86" s="89" t="n"/>
      <c r="E86" s="85" t="n"/>
      <c r="F86" s="85" t="n"/>
      <c r="G86" s="85" t="n"/>
      <c r="H86" s="85" t="n"/>
      <c r="I86" s="87" t="inlineStr">
        <is>
          <t>Verde / Amarillo / Naranja / Rojo</t>
        </is>
      </c>
    </row>
    <row r="87" ht="21.75" customHeight="1" s="78">
      <c r="A87" s="85" t="n"/>
      <c r="B87" s="89" t="inlineStr">
        <is>
          <t>¿Hay oportunidad de upselling?:</t>
        </is>
      </c>
      <c r="C87" s="85" t="n"/>
      <c r="D87" s="89" t="n"/>
      <c r="E87" s="85" t="n"/>
      <c r="F87" s="85" t="n"/>
      <c r="G87" s="85" t="n"/>
      <c r="H87" s="85" t="n"/>
      <c r="I87" s="87" t="inlineStr">
        <is>
          <t>Sí / No. Si Sí: ¿qué servicio adicional? ¿quién decide?</t>
        </is>
      </c>
    </row>
    <row r="88" ht="21.75" customHeight="1" s="78">
      <c r="A88" s="85" t="n"/>
      <c r="B88" s="89" t="inlineStr">
        <is>
          <t>¿Esta mesa es replicable como template?:</t>
        </is>
      </c>
      <c r="C88" s="85" t="n"/>
      <c r="D88" s="89" t="n"/>
      <c r="E88" s="85" t="n"/>
      <c r="F88" s="85" t="n"/>
      <c r="G88" s="85" t="n"/>
      <c r="H88" s="85" t="n"/>
      <c r="I88" s="87" t="inlineStr">
        <is>
          <t>Sí / No / Parcial. ¿Qué haría falta?</t>
        </is>
      </c>
    </row>
    <row r="89" ht="36" customHeight="1" s="78">
      <c r="A89" s="85" t="n"/>
      <c r="B89" s="89" t="inlineStr">
        <is>
          <t>¿Qué haría esta mesa excelente? (voz del líder):</t>
        </is>
      </c>
      <c r="C89" s="85" t="n"/>
      <c r="D89" s="90" t="n"/>
      <c r="E89" s="85" t="n"/>
      <c r="F89" s="85" t="n"/>
      <c r="G89" s="85" t="n"/>
      <c r="H89" s="85" t="n"/>
      <c r="I89" s="87" t="inlineStr">
        <is>
          <t>Respuesta literal del líder de mesa</t>
        </is>
      </c>
    </row>
    <row r="90" ht="36" customHeight="1" s="78">
      <c r="A90" s="85" t="n"/>
      <c r="B90" s="89" t="inlineStr">
        <is>
          <t>¿Qué automatizaría primero si tuviera IA?:</t>
        </is>
      </c>
      <c r="C90" s="85" t="n"/>
      <c r="D90" s="90" t="n"/>
      <c r="E90" s="85" t="n"/>
      <c r="F90" s="85" t="n"/>
      <c r="G90" s="85" t="n"/>
      <c r="H90" s="85" t="n"/>
      <c r="I90" s="87" t="inlineStr">
        <is>
          <t>Respuesta literal del líder de mesa</t>
        </is>
      </c>
    </row>
    <row r="91" ht="36" customHeight="1" s="78">
      <c r="A91" s="85" t="n"/>
      <c r="B91" s="89" t="inlineStr">
        <is>
          <t>Comentarios / contexto adicional:</t>
        </is>
      </c>
      <c r="C91" s="85" t="n"/>
      <c r="D91" s="90" t="n"/>
      <c r="E91" s="85" t="n"/>
      <c r="F91" s="85" t="n"/>
      <c r="G91" s="85" t="n"/>
      <c r="H91" s="85" t="n"/>
      <c r="I91" s="87" t="inlineStr">
        <is>
          <t>Cualquier dato relevante que no entró en los bloques anteriores</t>
        </is>
      </c>
    </row>
    <row r="92" ht="4.5" customHeight="1" s="78">
      <c r="A92" s="85" t="n"/>
      <c r="B92" s="85" t="n"/>
      <c r="C92" s="85" t="n"/>
      <c r="D92" s="85" t="n"/>
      <c r="E92" s="85" t="n"/>
      <c r="F92" s="85" t="n"/>
      <c r="G92" s="85" t="n"/>
      <c r="H92" s="85" t="n"/>
      <c r="I92" s="85" t="n"/>
    </row>
    <row r="93" ht="18" customHeight="1" s="78">
      <c r="A93" s="85" t="n"/>
      <c r="B93" s="97" t="inlineStr">
        <is>
          <t>PersonalSoft · CTO / SICTO · Mesa de Servicios de Nueva Generación · Julio 2026</t>
        </is>
      </c>
      <c r="C93" s="85" t="n"/>
      <c r="D93" s="85" t="n"/>
      <c r="E93" s="85" t="n"/>
      <c r="F93" s="85" t="n"/>
      <c r="G93" s="85" t="n"/>
      <c r="H93" s="85" t="n"/>
      <c r="I93" s="85" t="n"/>
    </row>
    <row r="94">
      <c r="A94" s="85" t="n"/>
      <c r="B94" s="85" t="n"/>
      <c r="C94" s="85" t="n"/>
      <c r="D94" s="85" t="n"/>
      <c r="E94" s="85" t="n"/>
      <c r="F94" s="85" t="n"/>
      <c r="G94" s="85" t="n"/>
      <c r="H94" s="85" t="n"/>
      <c r="I94" s="85" t="n"/>
    </row>
    <row r="95">
      <c r="A95" s="85" t="n"/>
      <c r="B95" s="85" t="n"/>
      <c r="C95" s="85" t="n"/>
      <c r="D95" s="85" t="n"/>
      <c r="E95" s="85" t="n"/>
      <c r="F95" s="85" t="n"/>
      <c r="G95" s="85" t="n"/>
      <c r="H95" s="85" t="n"/>
      <c r="I95" s="85" t="n"/>
    </row>
    <row r="96" ht="30" customHeight="1" s="78">
      <c r="A96" s="85" t="n"/>
      <c r="B96" s="98" t="inlineStr">
        <is>
          <t>MODO DE OPERACIÓN · BCO Gioti 3</t>
        </is>
      </c>
      <c r="C96" s="85" t="n"/>
      <c r="D96" s="85" t="n"/>
      <c r="E96" s="85" t="n"/>
      <c r="F96" s="85" t="n"/>
      <c r="G96" s="85" t="n"/>
      <c r="H96" s="85" t="n"/>
      <c r="I96" s="85" t="n"/>
    </row>
    <row r="97" ht="24" customHeight="1" s="78">
      <c r="A97" s="85" t="n"/>
      <c r="B97" s="99" t="inlineStr">
        <is>
          <t>¿Cómo opera hoy esta mesa? — Reactiva, Proactiva o Automatizada · Esta sección define qué tipo de mesa es y hacia dónde debe evolucionar</t>
        </is>
      </c>
      <c r="C97" s="85" t="n"/>
      <c r="D97" s="85" t="n"/>
      <c r="E97" s="85" t="n"/>
      <c r="F97" s="85" t="n"/>
      <c r="G97" s="85" t="n"/>
      <c r="H97" s="85" t="n"/>
      <c r="I97" s="85" t="n"/>
    </row>
    <row r="98" ht="19.5" customHeight="1" s="78">
      <c r="A98" s="85" t="n"/>
      <c r="B98" s="100" t="inlineStr">
        <is>
          <t>Tipo / Modo</t>
        </is>
      </c>
      <c r="C98" s="85" t="n"/>
      <c r="D98" s="85" t="n"/>
      <c r="E98" s="101" t="inlineStr">
        <is>
          <t>Características — cómo se ve en la práctica</t>
        </is>
      </c>
      <c r="F98" s="85" t="n"/>
      <c r="G98" s="85" t="n"/>
      <c r="H98" s="85" t="n"/>
      <c r="I98" s="85" t="n"/>
    </row>
    <row r="99" ht="27.75" customHeight="1" s="78">
      <c r="A99" s="85" t="n"/>
      <c r="B99" s="102" t="inlineStr">
        <is>
          <t>Mesa de Ayuda
(Help Desk)</t>
        </is>
      </c>
      <c r="C99" s="85" t="n"/>
      <c r="D99" s="103" t="inlineStr">
        <is>
          <t>Reactiva</t>
        </is>
      </c>
      <c r="E99" s="104" t="inlineStr">
        <is>
          <t>Solo responde cuando el usuario reporta · N1 sin escalamiento · Bus factor alto</t>
        </is>
      </c>
      <c r="F99" s="85" t="n"/>
      <c r="G99" s="85" t="n"/>
      <c r="H99" s="85" t="n"/>
      <c r="I99" s="85" t="n"/>
    </row>
    <row r="100" ht="27.75" customHeight="1" s="78">
      <c r="A100" s="85" t="n"/>
      <c r="B100" s="105" t="inlineStr">
        <is>
          <t>Mesa de Soporte</t>
        </is>
      </c>
      <c r="C100" s="85" t="n"/>
      <c r="D100" s="106" t="inlineStr">
        <is>
          <t>Reactiva + Proactiva</t>
        </is>
      </c>
      <c r="E100" s="107" t="inlineStr">
        <is>
          <t>N1+N2+N3 · Gestión de problemas · Algo de monitoreo · Documentación básica</t>
        </is>
      </c>
      <c r="F100" s="85" t="n"/>
      <c r="G100" s="85" t="n"/>
      <c r="H100" s="85" t="n"/>
      <c r="I100" s="85" t="n"/>
    </row>
    <row r="101" ht="27.75" customHeight="1" s="78">
      <c r="A101" s="85" t="n"/>
      <c r="B101" s="108" t="inlineStr">
        <is>
          <t>Mesa de Servicios
(Service Desk)</t>
        </is>
      </c>
      <c r="C101" s="85" t="n"/>
      <c r="D101" s="109" t="inlineStr">
        <is>
          <t>Proactiva e Integral</t>
        </is>
      </c>
      <c r="E101" s="110" t="inlineStr">
        <is>
          <t>SPOC · Catálogo · ANS medidos · Change Enablement · ITSM completo</t>
        </is>
      </c>
      <c r="F101" s="85" t="n"/>
      <c r="G101" s="85" t="n"/>
      <c r="H101" s="85" t="n"/>
      <c r="I101" s="85" t="n"/>
    </row>
    <row r="102" ht="27.75" customHeight="1" s="78">
      <c r="A102" s="85" t="n"/>
      <c r="B102" s="111" t="inlineStr">
        <is>
          <t>Torre de Control</t>
        </is>
      </c>
      <c r="C102" s="85" t="n"/>
      <c r="D102" s="112" t="inlineStr">
        <is>
          <t>Monitoreo y Observabilidad</t>
        </is>
      </c>
      <c r="E102" s="113" t="inlineStr">
        <is>
          <t>24x7 · AIOps · Detección antes del impacto · Alertas automáticas</t>
        </is>
      </c>
      <c r="F102" s="85" t="n"/>
      <c r="G102" s="85" t="n"/>
      <c r="H102" s="85" t="n"/>
      <c r="I102" s="85" t="n"/>
    </row>
    <row r="103" ht="27.75" customHeight="1" s="78">
      <c r="A103" s="85" t="n"/>
      <c r="B103" s="114" t="inlineStr">
        <is>
          <t>Mesa Gen Next</t>
        </is>
      </c>
      <c r="C103" s="85" t="n"/>
      <c r="D103" s="115" t="inlineStr">
        <is>
          <t>Autónoma e Inteligente</t>
        </is>
      </c>
      <c r="E103" s="116" t="inlineStr">
        <is>
          <t>IA activa · N0 real · Mejora continua · AIOps · Predicción de fallas</t>
        </is>
      </c>
      <c r="F103" s="85" t="n"/>
      <c r="G103" s="85" t="n"/>
      <c r="H103" s="85" t="n"/>
      <c r="I103" s="85" t="n"/>
    </row>
    <row r="104">
      <c r="A104" s="85" t="n"/>
      <c r="B104" s="85" t="n"/>
      <c r="C104" s="85" t="n"/>
      <c r="D104" s="85" t="n"/>
      <c r="E104" s="85" t="n"/>
      <c r="F104" s="85" t="n"/>
      <c r="G104" s="85" t="n"/>
      <c r="H104" s="85" t="n"/>
      <c r="I104" s="85" t="n"/>
    </row>
    <row r="105" ht="27.75" customHeight="1" s="78">
      <c r="A105" s="85" t="n"/>
      <c r="B105" s="117" t="inlineStr">
        <is>
          <t>¿Qué tipo de mesa es esta HOY?</t>
        </is>
      </c>
      <c r="C105" s="118" t="n"/>
      <c r="D105" s="119" t="inlineStr">
        <is>
          <t>↳ Mesa de Ayuda / Soporte / Service Desk / Torre de Control</t>
        </is>
      </c>
      <c r="E105" s="85" t="n"/>
      <c r="F105" s="85" t="n"/>
      <c r="G105" s="85" t="n"/>
      <c r="H105" s="85" t="n"/>
      <c r="I105" s="85" t="n"/>
    </row>
    <row r="106" ht="27.75" customHeight="1" s="78">
      <c r="A106" s="85" t="n"/>
      <c r="B106" s="117" t="inlineStr">
        <is>
          <t>¿Qué tipo debería ser en 12 meses?</t>
        </is>
      </c>
      <c r="C106" s="118" t="n"/>
      <c r="D106" s="119" t="inlineStr">
        <is>
          <t>↳ hacia dónde debe evolucionar con el modelo nuevo</t>
        </is>
      </c>
      <c r="E106" s="85" t="n"/>
      <c r="F106" s="85" t="n"/>
      <c r="G106" s="85" t="n"/>
      <c r="H106" s="85" t="n"/>
      <c r="I106" s="85" t="n"/>
    </row>
    <row r="107" ht="27.75" customHeight="1" s="78">
      <c r="A107" s="85" t="n"/>
      <c r="B107" s="117" t="inlineStr">
        <is>
          <t>Modo de operación actual:</t>
        </is>
      </c>
      <c r="C107" s="118" t="n"/>
      <c r="D107" s="119" t="inlineStr">
        <is>
          <t>↳ Reactivo / Proactivo / Autónomo</t>
        </is>
      </c>
      <c r="E107" s="85" t="n"/>
      <c r="F107" s="85" t="n"/>
      <c r="G107" s="85" t="n"/>
      <c r="H107" s="85" t="n"/>
      <c r="I107" s="85" t="n"/>
    </row>
    <row r="108">
      <c r="A108" s="85" t="n"/>
      <c r="B108" s="85" t="n"/>
      <c r="C108" s="85" t="n"/>
      <c r="D108" s="85" t="n"/>
      <c r="E108" s="85" t="n"/>
      <c r="F108" s="85" t="n"/>
      <c r="G108" s="85" t="n"/>
      <c r="H108" s="85" t="n"/>
      <c r="I108" s="85" t="n"/>
    </row>
    <row r="109" ht="21.75" customHeight="1" s="78">
      <c r="A109" s="85" t="n"/>
      <c r="B109" s="120" t="inlineStr">
        <is>
          <t>Preguntas clave — modo de operación real</t>
        </is>
      </c>
      <c r="C109" s="85" t="n"/>
      <c r="D109" s="85" t="n"/>
      <c r="E109" s="85" t="n"/>
      <c r="F109" s="85" t="n"/>
      <c r="G109" s="85" t="n"/>
      <c r="H109" s="85" t="n"/>
      <c r="I109" s="85" t="n"/>
    </row>
    <row r="110" ht="27.75" customHeight="1" s="78">
      <c r="A110" s="85" t="n"/>
      <c r="B110" s="121" t="inlineStr">
        <is>
          <t>¿Cómo se entera el equipo de que hay un problema?</t>
        </is>
      </c>
      <c r="C110" s="122" t="n"/>
      <c r="D110" s="119" t="inlineStr">
        <is>
          <t>↳ Solo cuando el usuario llama (reactivo) / Alertas / Antes del impacto (proactivo)</t>
        </is>
      </c>
      <c r="E110" s="85" t="n"/>
      <c r="F110" s="85" t="n"/>
      <c r="G110" s="85" t="n"/>
      <c r="H110" s="85" t="n"/>
      <c r="I110" s="85" t="n"/>
    </row>
    <row r="111" ht="27.75" customHeight="1" s="78">
      <c r="A111" s="85" t="n"/>
      <c r="B111" s="121" t="inlineStr">
        <is>
          <t>¿Hay monitoreo automatizado de los sistemas del cliente?</t>
        </is>
      </c>
      <c r="C111" s="122" t="n"/>
      <c r="D111" s="119" t="inlineStr">
        <is>
          <t>↳ Sí / No / Parcial · ¿qué herramienta? ¿qué sistemas monitorea?</t>
        </is>
      </c>
      <c r="E111" s="85" t="n"/>
      <c r="F111" s="85" t="n"/>
      <c r="G111" s="85" t="n"/>
      <c r="H111" s="85" t="n"/>
      <c r="I111" s="85" t="n"/>
    </row>
    <row r="112" ht="27.75" customHeight="1" s="78">
      <c r="A112" s="85" t="n"/>
      <c r="B112" s="121" t="inlineStr">
        <is>
          <t>¿Se detectan incidentes ANTES de que el usuario los reporte?</t>
        </is>
      </c>
      <c r="C112" s="122" t="n"/>
      <c r="D112" s="119" t="inlineStr">
        <is>
          <t>↳ Sí (proactiva) / A veces / No (reactiva) — dar un ejemplo concreto</t>
        </is>
      </c>
      <c r="E112" s="85" t="n"/>
      <c r="F112" s="85" t="n"/>
      <c r="G112" s="85" t="n"/>
      <c r="H112" s="85" t="n"/>
      <c r="I112" s="85" t="n"/>
    </row>
    <row r="113" ht="27.75" customHeight="1" s="78">
      <c r="A113" s="85" t="n"/>
      <c r="B113" s="121" t="inlineStr">
        <is>
          <t>¿Cuántos tickets se resuelven sin intervención humana (% automatizados)?</t>
        </is>
      </c>
      <c r="C113" s="122" t="n"/>
      <c r="D113" s="119" t="inlineStr">
        <is>
          <t>↳ ej: 0% todo manual · 10% · 30% — cifra estimada</t>
        </is>
      </c>
      <c r="E113" s="85" t="n"/>
      <c r="F113" s="85" t="n"/>
      <c r="G113" s="85" t="n"/>
      <c r="H113" s="85" t="n"/>
      <c r="I113" s="85" t="n"/>
    </row>
    <row r="114" ht="27.75" customHeight="1" s="78">
      <c r="A114" s="85" t="n"/>
      <c r="B114" s="121" t="inlineStr">
        <is>
          <t>¿El usuario puede resolver algo solo sin contactar la mesa?</t>
        </is>
      </c>
      <c r="C114" s="122" t="n"/>
      <c r="D114" s="119" t="inlineStr">
        <is>
          <t>↳ Sí (portal activo) / No / En construcción · ¿qué puede resolver solo?</t>
        </is>
      </c>
      <c r="E114" s="85" t="n"/>
      <c r="F114" s="85" t="n"/>
      <c r="G114" s="85" t="n"/>
      <c r="H114" s="85" t="n"/>
      <c r="I114" s="85" t="n"/>
    </row>
    <row r="115" ht="27.75" customHeight="1" s="78">
      <c r="A115" s="85" t="n"/>
      <c r="B115" s="121" t="inlineStr">
        <is>
          <t>¿Cuánto tiempo tarda hacer el informe mensual del cliente?</t>
        </is>
      </c>
      <c r="C115" s="122" t="n"/>
      <c r="D115" s="119" t="inlineStr">
        <is>
          <t>↳ ej: 2 horas / medio día / un día completo — ¿es manual o automático?</t>
        </is>
      </c>
      <c r="E115" s="85" t="n"/>
      <c r="F115" s="85" t="n"/>
      <c r="G115" s="85" t="n"/>
      <c r="H115" s="85" t="n"/>
      <c r="I115" s="85" t="n"/>
    </row>
    <row r="116" ht="27.75" customHeight="1" s="78">
      <c r="A116" s="85" t="n"/>
      <c r="B116" s="121" t="inlineStr">
        <is>
          <t>¿Se mide la satisfacción del usuario (CSAT/XLA) sistemáticamente?</t>
        </is>
      </c>
      <c r="C116" s="122" t="n"/>
      <c r="D116" s="119" t="inlineStr">
        <is>
          <t>↳ Sí / No / Parcial · ¿cuándo fue la última medición?</t>
        </is>
      </c>
      <c r="E116" s="85" t="n"/>
      <c r="F116" s="85" t="n"/>
      <c r="G116" s="85" t="n"/>
      <c r="H116" s="85" t="n"/>
      <c r="I116" s="85" t="n"/>
    </row>
    <row r="117" ht="27.75" customHeight="1" s="78">
      <c r="A117" s="85" t="n"/>
      <c r="B117" s="121" t="inlineStr">
        <is>
          <t>Si tuvieras presupuesto para 1 mejora, ¿qué harías primero?</t>
        </is>
      </c>
      <c r="C117" s="122" t="n"/>
      <c r="D117" s="119" t="inlineStr">
        <is>
          <t>↳ La respuesta más valiosa para el diseño del servicio nuevo</t>
        </is>
      </c>
      <c r="E117" s="85" t="n"/>
      <c r="F117" s="85" t="n"/>
      <c r="G117" s="85" t="n"/>
      <c r="H117" s="85" t="n"/>
      <c r="I117" s="85" t="n"/>
    </row>
  </sheetData>
  <mergeCells count="185">
    <mergeCell ref="B91:C91"/>
    <mergeCell ref="D35:H35"/>
    <mergeCell ref="B100:C100"/>
    <mergeCell ref="B62:I62"/>
    <mergeCell ref="D10:H10"/>
    <mergeCell ref="D90:H90"/>
    <mergeCell ref="B22:C22"/>
    <mergeCell ref="B102:C102"/>
    <mergeCell ref="D50:E50"/>
    <mergeCell ref="D45:E45"/>
    <mergeCell ref="B12:C12"/>
    <mergeCell ref="B96:I96"/>
    <mergeCell ref="B21:C21"/>
    <mergeCell ref="B86:C86"/>
    <mergeCell ref="E103:I103"/>
    <mergeCell ref="D106:I106"/>
    <mergeCell ref="B67:C67"/>
    <mergeCell ref="D11:H11"/>
    <mergeCell ref="B101:C101"/>
    <mergeCell ref="B14:C14"/>
    <mergeCell ref="D48:E48"/>
    <mergeCell ref="D66:H66"/>
    <mergeCell ref="B13:C13"/>
    <mergeCell ref="B69:C69"/>
    <mergeCell ref="D117:I117"/>
    <mergeCell ref="B38:C38"/>
    <mergeCell ref="B82:I82"/>
    <mergeCell ref="B78:C78"/>
    <mergeCell ref="D28:H28"/>
    <mergeCell ref="D110:I110"/>
    <mergeCell ref="B19:I19"/>
    <mergeCell ref="D37:H37"/>
    <mergeCell ref="B40:C40"/>
    <mergeCell ref="B49:C49"/>
    <mergeCell ref="D9:H9"/>
    <mergeCell ref="B55:C55"/>
    <mergeCell ref="B24:C24"/>
    <mergeCell ref="D30:H30"/>
    <mergeCell ref="D39:H39"/>
    <mergeCell ref="B64:C64"/>
    <mergeCell ref="B33:C33"/>
    <mergeCell ref="B51:C51"/>
    <mergeCell ref="D51:E51"/>
    <mergeCell ref="D29:H29"/>
    <mergeCell ref="D23:H23"/>
    <mergeCell ref="D38:H38"/>
    <mergeCell ref="B76:I76"/>
    <mergeCell ref="B63:C63"/>
    <mergeCell ref="B26:C26"/>
    <mergeCell ref="B41:C41"/>
    <mergeCell ref="D111:I111"/>
    <mergeCell ref="B35:C35"/>
    <mergeCell ref="B16:C16"/>
    <mergeCell ref="B98:D98"/>
    <mergeCell ref="B25:C25"/>
    <mergeCell ref="B90:C90"/>
    <mergeCell ref="B109:I109"/>
    <mergeCell ref="D63:H63"/>
    <mergeCell ref="B66:C66"/>
    <mergeCell ref="D80:H80"/>
    <mergeCell ref="B27:C27"/>
    <mergeCell ref="G48:H48"/>
    <mergeCell ref="D65:H65"/>
    <mergeCell ref="B11:C11"/>
    <mergeCell ref="D57:H57"/>
    <mergeCell ref="D27:H27"/>
    <mergeCell ref="D41:H41"/>
    <mergeCell ref="D114:I114"/>
    <mergeCell ref="E5:H5"/>
    <mergeCell ref="D17:H17"/>
    <mergeCell ref="G49:H49"/>
    <mergeCell ref="D47:E47"/>
    <mergeCell ref="D91:H91"/>
    <mergeCell ref="B5:D5"/>
    <mergeCell ref="B29:C29"/>
    <mergeCell ref="D113:I113"/>
    <mergeCell ref="B103:C103"/>
    <mergeCell ref="B37:C37"/>
    <mergeCell ref="B84:C84"/>
    <mergeCell ref="D115:I115"/>
    <mergeCell ref="D74:H74"/>
    <mergeCell ref="D12:H12"/>
    <mergeCell ref="D68:H68"/>
    <mergeCell ref="D25:H25"/>
    <mergeCell ref="D83:H83"/>
    <mergeCell ref="B15:C15"/>
    <mergeCell ref="D55:H55"/>
    <mergeCell ref="B80:C80"/>
    <mergeCell ref="B89:C89"/>
    <mergeCell ref="D67:H67"/>
    <mergeCell ref="D14:H14"/>
    <mergeCell ref="B79:C79"/>
    <mergeCell ref="D85:H85"/>
    <mergeCell ref="D54:H54"/>
    <mergeCell ref="D60:H60"/>
    <mergeCell ref="B54:C54"/>
    <mergeCell ref="D69:H69"/>
    <mergeCell ref="B72:C72"/>
    <mergeCell ref="E98:I98"/>
    <mergeCell ref="B56:C56"/>
    <mergeCell ref="B71:C71"/>
    <mergeCell ref="D40:H40"/>
    <mergeCell ref="B93:I93"/>
    <mergeCell ref="B58:C58"/>
    <mergeCell ref="B52:C52"/>
    <mergeCell ref="D21:H21"/>
    <mergeCell ref="D52:E52"/>
    <mergeCell ref="B77:I77"/>
    <mergeCell ref="D112:I112"/>
    <mergeCell ref="D49:E49"/>
    <mergeCell ref="B60:C60"/>
    <mergeCell ref="B17:C17"/>
    <mergeCell ref="B57:C57"/>
    <mergeCell ref="B88:C88"/>
    <mergeCell ref="D16:H16"/>
    <mergeCell ref="D87:H87"/>
    <mergeCell ref="B34:C34"/>
    <mergeCell ref="B28:C28"/>
    <mergeCell ref="B99:C99"/>
    <mergeCell ref="D71:H71"/>
    <mergeCell ref="B9:C9"/>
    <mergeCell ref="D58:H58"/>
    <mergeCell ref="B83:C83"/>
    <mergeCell ref="G51:H51"/>
    <mergeCell ref="B30:C30"/>
    <mergeCell ref="D8:H8"/>
    <mergeCell ref="E100:I100"/>
    <mergeCell ref="D73:H73"/>
    <mergeCell ref="B45:C45"/>
    <mergeCell ref="B85:C85"/>
    <mergeCell ref="G50:H50"/>
    <mergeCell ref="D105:I105"/>
    <mergeCell ref="E102:I102"/>
    <mergeCell ref="B32:I32"/>
    <mergeCell ref="D59:H59"/>
    <mergeCell ref="B97:I97"/>
    <mergeCell ref="B47:C47"/>
    <mergeCell ref="G52:H52"/>
    <mergeCell ref="B7:I7"/>
    <mergeCell ref="D34:H34"/>
    <mergeCell ref="B59:C59"/>
    <mergeCell ref="D107:I107"/>
    <mergeCell ref="D116:I116"/>
    <mergeCell ref="B46:C46"/>
    <mergeCell ref="B3:I3"/>
    <mergeCell ref="D46:E46"/>
    <mergeCell ref="D84:H84"/>
    <mergeCell ref="D22:H22"/>
    <mergeCell ref="D36:H36"/>
    <mergeCell ref="B43:I43"/>
    <mergeCell ref="B39:C39"/>
    <mergeCell ref="B70:C70"/>
    <mergeCell ref="B48:C48"/>
    <mergeCell ref="D86:H86"/>
    <mergeCell ref="B2:I2"/>
    <mergeCell ref="D13:H13"/>
    <mergeCell ref="B23:C23"/>
    <mergeCell ref="B8:C8"/>
    <mergeCell ref="D70:H70"/>
    <mergeCell ref="B73:C73"/>
    <mergeCell ref="B87:C87"/>
    <mergeCell ref="B44:I44"/>
    <mergeCell ref="E99:I99"/>
    <mergeCell ref="D72:H72"/>
    <mergeCell ref="D78:H78"/>
    <mergeCell ref="B10:C10"/>
    <mergeCell ref="G45:H45"/>
    <mergeCell ref="D56:H56"/>
    <mergeCell ref="B65:C65"/>
    <mergeCell ref="E101:I101"/>
    <mergeCell ref="B74:C74"/>
    <mergeCell ref="B68:C68"/>
    <mergeCell ref="D15:H15"/>
    <mergeCell ref="G47:H47"/>
    <mergeCell ref="D24:H24"/>
    <mergeCell ref="D64:H64"/>
    <mergeCell ref="B20:I20"/>
    <mergeCell ref="D33:H33"/>
    <mergeCell ref="D89:H89"/>
    <mergeCell ref="B36:C36"/>
    <mergeCell ref="G46:H46"/>
    <mergeCell ref="B50:C50"/>
    <mergeCell ref="D79:H79"/>
    <mergeCell ref="D88:H88"/>
    <mergeCell ref="D26:H26"/>
  </mergeCells>
  <dataValidations count="2">
    <dataValidation sqref="C105:C106" showDropDown="0" showInputMessage="0" showErrorMessage="0" allowBlank="1" type="list" errorStyle="stop" operator="between">
      <formula1>Listas!$B$2:$B$6</formula1>
      <formula2>0</formula2>
    </dataValidation>
    <dataValidation sqref="C107" showDropDown="0" showInputMessage="0" showErrorMessage="0" allowBlank="1" type="list" errorStyle="stop" operator="between">
      <formula1>Listas!$P$1:$P$6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000072BC"/>
    <outlinePr summaryBelow="1" summaryRight="1"/>
    <pageSetUpPr fitToPage="0"/>
  </sheetPr>
  <dimension ref="A1:I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0" customWidth="1" style="77" min="2" max="2"/>
    <col width="18" customWidth="1" style="77" min="3" max="8"/>
    <col width="22" customWidth="1" style="77" min="9" max="9"/>
  </cols>
  <sheetData>
    <row r="1" ht="4.5" customHeight="1" s="78">
      <c r="A1" s="85" t="n"/>
      <c r="B1" s="85" t="n"/>
      <c r="C1" s="85" t="n"/>
      <c r="D1" s="85" t="n"/>
      <c r="E1" s="85" t="n"/>
      <c r="F1" s="85" t="n"/>
      <c r="G1" s="85" t="n"/>
      <c r="H1" s="85" t="n"/>
      <c r="I1" s="85" t="n"/>
    </row>
    <row r="2" ht="31.5" customHeight="1" s="78">
      <c r="A2" s="85" t="n"/>
      <c r="B2" s="81" t="inlineStr">
        <is>
          <t>Caracterización · BCO Gioti 4</t>
        </is>
      </c>
      <c r="C2" s="85" t="n"/>
      <c r="D2" s="85" t="n"/>
      <c r="E2" s="85" t="n"/>
      <c r="F2" s="85" t="n"/>
      <c r="G2" s="85" t="n"/>
      <c r="H2" s="85" t="n"/>
      <c r="I2" s="85" t="n"/>
    </row>
    <row r="3" ht="18" customHeight="1" s="78">
      <c r="A3" s="85" t="n"/>
      <c r="B3" s="82" t="inlineStr">
        <is>
          <t>PersonalSoft · Mesa de Servicios de Nueva Generación · Julio 2026</t>
        </is>
      </c>
      <c r="C3" s="85" t="n"/>
      <c r="D3" s="85" t="n"/>
      <c r="E3" s="85" t="n"/>
      <c r="F3" s="85" t="n"/>
      <c r="G3" s="85" t="n"/>
      <c r="H3" s="85" t="n"/>
      <c r="I3" s="85" t="n"/>
    </row>
    <row r="4" ht="4.5" customHeight="1" s="78">
      <c r="A4" s="85" t="n"/>
      <c r="B4" s="85" t="n"/>
      <c r="C4" s="85" t="n"/>
      <c r="D4" s="85" t="n"/>
      <c r="E4" s="85" t="n"/>
      <c r="F4" s="85" t="n"/>
      <c r="G4" s="85" t="n"/>
      <c r="H4" s="85" t="n"/>
      <c r="I4" s="85" t="n"/>
    </row>
    <row r="5" ht="15.75" customHeight="1" s="78">
      <c r="A5" s="85" t="n"/>
      <c r="B5" s="86" t="inlineStr">
        <is>
          <t>Blanco = dato requerido (fuente real)</t>
        </is>
      </c>
      <c r="C5" s="85" t="n"/>
      <c r="D5" s="85" t="n"/>
      <c r="E5" s="87" t="inlineStr">
        <is>
          <t>Amarillo = estimación aceptada si no hay dato exacto</t>
        </is>
      </c>
      <c r="F5" s="85" t="n"/>
      <c r="G5" s="85" t="n"/>
      <c r="H5" s="85" t="n"/>
      <c r="I5" s="87" t="inlineStr">
        <is>
          <t>Col. I = Fuente / nota</t>
        </is>
      </c>
    </row>
    <row r="6" ht="4.5" customHeight="1" s="78">
      <c r="A6" s="85" t="n"/>
      <c r="B6" s="85" t="n"/>
      <c r="C6" s="85" t="n"/>
      <c r="D6" s="85" t="n"/>
      <c r="E6" s="85" t="n"/>
      <c r="F6" s="85" t="n"/>
      <c r="G6" s="85" t="n"/>
      <c r="H6" s="85" t="n"/>
      <c r="I6" s="85" t="n"/>
    </row>
    <row r="7" ht="21.75" customHeight="1" s="78">
      <c r="A7" s="85" t="n"/>
      <c r="B7" s="88" t="inlineStr">
        <is>
          <t>①  IDENTIDAD Y ALCANCE  ·  5 min</t>
        </is>
      </c>
      <c r="C7" s="85" t="n"/>
      <c r="D7" s="85" t="n"/>
      <c r="E7" s="85" t="n"/>
      <c r="F7" s="85" t="n"/>
      <c r="G7" s="85" t="n"/>
      <c r="H7" s="85" t="n"/>
      <c r="I7" s="85" t="n"/>
    </row>
    <row r="8" ht="21.75" customHeight="1" s="78">
      <c r="A8" s="85" t="n"/>
      <c r="B8" s="89" t="inlineStr">
        <is>
          <t>Mesa / Cliente:</t>
        </is>
      </c>
      <c r="C8" s="85" t="n"/>
      <c r="D8" s="90" t="n"/>
      <c r="E8" s="85" t="n"/>
      <c r="F8" s="85" t="n"/>
      <c r="G8" s="85" t="n"/>
      <c r="H8" s="85" t="n"/>
      <c r="I8" s="87" t="inlineStr">
        <is>
          <t>Nombre completo de la mesa y del cliente</t>
        </is>
      </c>
    </row>
    <row r="9" ht="21.75" customHeight="1" s="78">
      <c r="A9" s="85" t="n"/>
      <c r="B9" s="89" t="inlineStr">
        <is>
          <t>Tipo de mesa:</t>
        </is>
      </c>
      <c r="C9" s="85" t="n"/>
      <c r="D9" s="89" t="n"/>
      <c r="E9" s="85" t="n"/>
      <c r="F9" s="85" t="n"/>
      <c r="G9" s="85" t="n"/>
      <c r="H9" s="85" t="n"/>
      <c r="I9" s="87" t="inlineStr">
        <is>
          <t>Mesa de Ayuda / Mesa de Soporte / Torre de Control / Mesa Híbrida</t>
        </is>
      </c>
    </row>
    <row r="10" ht="21.75" customHeight="1" s="78">
      <c r="A10" s="85" t="n"/>
      <c r="B10" s="89" t="inlineStr">
        <is>
          <t>Cliente:</t>
        </is>
      </c>
      <c r="C10" s="85" t="n"/>
      <c r="D10" s="90" t="n"/>
      <c r="E10" s="85" t="n"/>
      <c r="F10" s="85" t="n"/>
      <c r="G10" s="85" t="n"/>
      <c r="H10" s="85" t="n"/>
      <c r="I10" s="87" t="inlineStr">
        <is>
          <t>SURA / Bancolombia / XM / AES / Medicarte / Centro América / Otro</t>
        </is>
      </c>
    </row>
    <row r="11" ht="21.75" customHeight="1" s="78">
      <c r="A11" s="85" t="n"/>
      <c r="B11" s="89" t="inlineStr">
        <is>
          <t>Sector:</t>
        </is>
      </c>
      <c r="C11" s="85" t="n"/>
      <c r="D11" s="90" t="n"/>
      <c r="E11" s="85" t="n"/>
      <c r="F11" s="85" t="n"/>
      <c r="G11" s="85" t="n"/>
      <c r="H11" s="85" t="n"/>
      <c r="I11" s="87" t="inlineStr">
        <is>
          <t>Banca y Seguros / Salud / Energía / Retail / Manufactura / Gobierno / Otro</t>
        </is>
      </c>
    </row>
    <row r="12" ht="21.75" customHeight="1" s="78">
      <c r="A12" s="85" t="n"/>
      <c r="B12" s="89" t="inlineStr">
        <is>
          <t>Criticidad para el negocio:</t>
        </is>
      </c>
      <c r="C12" s="85" t="n"/>
      <c r="D12" s="89" t="n"/>
      <c r="E12" s="85" t="n"/>
      <c r="F12" s="85" t="n"/>
      <c r="G12" s="85" t="n"/>
      <c r="H12" s="85" t="n"/>
      <c r="I12" s="87" t="inlineStr">
        <is>
          <t>Alta (PDN directo) / Media (impacto usuarios) / Baja (interna)</t>
        </is>
      </c>
    </row>
    <row r="13" ht="21.75" customHeight="1" s="78">
      <c r="A13" s="85" t="n"/>
      <c r="B13" s="89" t="inlineStr">
        <is>
          <t>Sabor de servicio PS:</t>
        </is>
      </c>
      <c r="C13" s="85" t="n"/>
      <c r="D13" s="89" t="n"/>
      <c r="E13" s="85" t="n"/>
      <c r="F13" s="85" t="n"/>
      <c r="G13" s="85" t="n"/>
      <c r="H13" s="85" t="n"/>
      <c r="I13" s="87" t="inlineStr">
        <is>
          <t>Equipo dedicado / Soporte compartido / Express (Alfa)</t>
        </is>
      </c>
    </row>
    <row r="14" ht="21.75" customHeight="1" s="78">
      <c r="A14" s="85" t="n"/>
      <c r="B14" s="89" t="inlineStr">
        <is>
          <t>Horario contractual:</t>
        </is>
      </c>
      <c r="C14" s="85" t="n"/>
      <c r="D14" s="89" t="n"/>
      <c r="E14" s="85" t="n"/>
      <c r="F14" s="85" t="n"/>
      <c r="G14" s="85" t="n"/>
      <c r="H14" s="85" t="n"/>
      <c r="I14" s="87" t="inlineStr">
        <is>
          <t>Ej: L-V 7am-6pm · 5x8 · 7x24h</t>
        </is>
      </c>
    </row>
    <row r="15" ht="21.75" customHeight="1" s="78">
      <c r="A15" s="85" t="n"/>
      <c r="B15" s="89" t="inlineStr">
        <is>
          <t>Horario real (operación efectiva):</t>
        </is>
      </c>
      <c r="C15" s="85" t="n"/>
      <c r="D15" s="90" t="n"/>
      <c r="E15" s="85" t="n"/>
      <c r="F15" s="85" t="n"/>
      <c r="G15" s="85" t="n"/>
      <c r="H15" s="85" t="n"/>
      <c r="I15" s="87" t="inlineStr">
        <is>
          <t>¿El horario real coincide con el contractual? ¿Hay horas extra?</t>
        </is>
      </c>
    </row>
    <row r="16" ht="21.75" customHeight="1" s="78">
      <c r="A16" s="85" t="n"/>
      <c r="B16" s="89" t="inlineStr">
        <is>
          <t>GAP horario — h/semana adicionales no reconocidas:</t>
        </is>
      </c>
      <c r="C16" s="85" t="n"/>
      <c r="D16" s="90" t="n"/>
      <c r="E16" s="85" t="n"/>
      <c r="F16" s="85" t="n"/>
      <c r="G16" s="85" t="n"/>
      <c r="H16" s="85" t="n"/>
      <c r="I16" s="87" t="inlineStr">
        <is>
          <t>Estimado en horas semanales</t>
        </is>
      </c>
    </row>
    <row r="17" ht="39.75" customHeight="1" s="78">
      <c r="A17" s="85" t="n"/>
      <c r="B17" s="89" t="inlineStr">
        <is>
          <t>Descripción del servicio (2-3 líneas):</t>
        </is>
      </c>
      <c r="C17" s="85" t="n"/>
      <c r="D17" s="90" t="n"/>
      <c r="E17" s="85" t="n"/>
      <c r="F17" s="85" t="n"/>
      <c r="G17" s="85" t="n"/>
      <c r="H17" s="85" t="n"/>
      <c r="I17" s="87" t="inlineStr">
        <is>
          <t>Qué resuelve esta mesa, qué aplicaciones soporta</t>
        </is>
      </c>
    </row>
    <row r="18" ht="6" customHeight="1" s="78">
      <c r="A18" s="85" t="n"/>
      <c r="B18" s="85" t="n"/>
      <c r="C18" s="85" t="n"/>
      <c r="D18" s="85" t="n"/>
      <c r="E18" s="85" t="n"/>
      <c r="F18" s="85" t="n"/>
      <c r="G18" s="85" t="n"/>
      <c r="H18" s="85" t="n"/>
      <c r="I18" s="85" t="n"/>
    </row>
    <row r="19" ht="21.75" customHeight="1" s="78">
      <c r="A19" s="85" t="n"/>
      <c r="B19" s="88" t="inlineStr">
        <is>
          <t>②  VOLUMETRÍA Y ECONOMÍA  ·  10 min</t>
        </is>
      </c>
      <c r="C19" s="85" t="n"/>
      <c r="D19" s="85" t="n"/>
      <c r="E19" s="85" t="n"/>
      <c r="F19" s="85" t="n"/>
      <c r="G19" s="85" t="n"/>
      <c r="H19" s="85" t="n"/>
      <c r="I19" s="85" t="n"/>
    </row>
    <row r="20" ht="18" customHeight="1" s="78">
      <c r="A20" s="85" t="n"/>
      <c r="B20" s="89" t="inlineStr">
        <is>
          <t>Volumetría mensual promedio</t>
        </is>
      </c>
      <c r="C20" s="85" t="n"/>
      <c r="D20" s="85" t="n"/>
      <c r="E20" s="85" t="n"/>
      <c r="F20" s="85" t="n"/>
      <c r="G20" s="85" t="n"/>
      <c r="H20" s="85" t="n"/>
      <c r="I20" s="85" t="n"/>
    </row>
    <row r="21" ht="21.75" customHeight="1" s="78">
      <c r="A21" s="85" t="n"/>
      <c r="B21" s="89" t="inlineStr">
        <is>
          <t>Total tickets / mes:</t>
        </is>
      </c>
      <c r="C21" s="85" t="n"/>
      <c r="D21" s="89" t="n"/>
      <c r="E21" s="85" t="n"/>
      <c r="F21" s="85" t="n"/>
      <c r="G21" s="85" t="n"/>
      <c r="H21" s="85" t="n"/>
      <c r="I21" s="87" t="inlineStr">
        <is>
          <t>Fuente ideal: herramienta de tickets. Estimado OK si no hay datos.</t>
        </is>
      </c>
    </row>
    <row r="22" ht="21.75" customHeight="1" s="78">
      <c r="A22" s="85" t="n"/>
      <c r="B22" s="89" t="inlineStr">
        <is>
          <t xml:space="preserve">  → % Incidentes (del total):</t>
        </is>
      </c>
      <c r="C22" s="85" t="n"/>
      <c r="D22" s="89" t="n"/>
      <c r="E22" s="85" t="n"/>
      <c r="F22" s="85" t="n"/>
      <c r="G22" s="85" t="n"/>
      <c r="H22" s="85" t="n"/>
      <c r="I22" s="87" t="inlineStr">
        <is>
          <t>Ej: 60%</t>
        </is>
      </c>
    </row>
    <row r="23" ht="21.75" customHeight="1" s="78">
      <c r="A23" s="85" t="n"/>
      <c r="B23" s="89" t="inlineStr">
        <is>
          <t xml:space="preserve">  → % Solicitudes (del total):</t>
        </is>
      </c>
      <c r="C23" s="85" t="n"/>
      <c r="D23" s="89" t="n"/>
      <c r="E23" s="85" t="n"/>
      <c r="F23" s="85" t="n"/>
      <c r="G23" s="85" t="n"/>
      <c r="H23" s="85" t="n"/>
      <c r="I23" s="87" t="inlineStr">
        <is>
          <t>Ej: 35%</t>
        </is>
      </c>
    </row>
    <row r="24" ht="21.75" customHeight="1" s="78">
      <c r="A24" s="85" t="n"/>
      <c r="B24" s="89" t="inlineStr">
        <is>
          <t xml:space="preserve">  → % Problemas / RCA (del total):</t>
        </is>
      </c>
      <c r="C24" s="85" t="n"/>
      <c r="D24" s="89" t="n"/>
      <c r="E24" s="85" t="n"/>
      <c r="F24" s="85" t="n"/>
      <c r="G24" s="85" t="n"/>
      <c r="H24" s="85" t="n"/>
      <c r="I24" s="87" t="inlineStr">
        <is>
          <t>Ej: 5%</t>
        </is>
      </c>
    </row>
    <row r="25" ht="21.75" customHeight="1" s="78">
      <c r="A25" s="85" t="n"/>
      <c r="B25" s="89" t="inlineStr">
        <is>
          <t xml:space="preserve">  → % Tickets Críticos / P1:</t>
        </is>
      </c>
      <c r="C25" s="85" t="n"/>
      <c r="D25" s="89" t="n"/>
      <c r="E25" s="85" t="n"/>
      <c r="F25" s="85" t="n"/>
      <c r="G25" s="85" t="n"/>
      <c r="H25" s="85" t="n"/>
      <c r="I25" s="87" t="inlineStr">
        <is>
          <t>Tickets con impacto PDN o multi-usuario</t>
        </is>
      </c>
    </row>
    <row r="26" ht="21.75" customHeight="1" s="78">
      <c r="A26" s="85" t="n"/>
      <c r="B26" s="89" t="inlineStr">
        <is>
          <t>Canales de entrada activos:</t>
        </is>
      </c>
      <c r="C26" s="85" t="n"/>
      <c r="D26" s="89" t="n"/>
      <c r="E26" s="85" t="n"/>
      <c r="F26" s="85" t="n"/>
      <c r="G26" s="85" t="n"/>
      <c r="H26" s="85" t="n"/>
      <c r="I26" s="87" t="inlineStr">
        <is>
          <t>Teléfono / Portal / Correo / Chat / WhatsApp / Presencial</t>
        </is>
      </c>
    </row>
    <row r="27" ht="21.75" customHeight="1" s="78">
      <c r="A27" s="85" t="n"/>
      <c r="B27" s="89" t="inlineStr">
        <is>
          <t>% tickets fuera de horario (sin atender en SLA):</t>
        </is>
      </c>
      <c r="C27" s="85" t="n"/>
      <c r="D27" s="89" t="n"/>
      <c r="E27" s="85" t="n"/>
      <c r="F27" s="85" t="n"/>
      <c r="G27" s="85" t="n"/>
      <c r="H27" s="85" t="n"/>
      <c r="I27" s="87" t="inlineStr">
        <is>
          <t>Tickets que llegan pero no se atienden en horario pactado</t>
        </is>
      </c>
    </row>
    <row r="28" ht="21.75" customHeight="1" s="78">
      <c r="A28" s="85" t="n"/>
      <c r="B28" s="89" t="inlineStr">
        <is>
          <t>Pico de demanda (día / hora):</t>
        </is>
      </c>
      <c r="C28" s="85" t="n"/>
      <c r="D28" s="89" t="n"/>
      <c r="E28" s="85" t="n"/>
      <c r="F28" s="85" t="n"/>
      <c r="G28" s="85" t="n"/>
      <c r="H28" s="85" t="n"/>
      <c r="I28" s="87" t="inlineStr">
        <is>
          <t>Ej: Lunes 9-11am · Cierre de mes · Despliegues viernes</t>
        </is>
      </c>
    </row>
    <row r="29" ht="21.75" customHeight="1" s="78">
      <c r="A29" s="85" t="n"/>
      <c r="B29" s="89" t="inlineStr">
        <is>
          <t>MTTR promedio estimado (horas):</t>
        </is>
      </c>
      <c r="C29" s="85" t="n"/>
      <c r="D29" s="89" t="n"/>
      <c r="E29" s="85" t="n"/>
      <c r="F29" s="85" t="n"/>
      <c r="G29" s="85" t="n"/>
      <c r="H29" s="85" t="n"/>
      <c r="I29" s="87" t="inlineStr">
        <is>
          <t>Tiempo medio de resolución. Por prioridad si es posible.</t>
        </is>
      </c>
    </row>
    <row r="30" ht="21.75" customHeight="1" s="78">
      <c r="A30" s="85" t="n"/>
      <c r="B30" s="89" t="inlineStr">
        <is>
          <t>FCR — First Call Resolution % (estimado):</t>
        </is>
      </c>
      <c r="C30" s="85" t="n"/>
      <c r="D30" s="89" t="n"/>
      <c r="E30" s="85" t="n"/>
      <c r="F30" s="85" t="n"/>
      <c r="G30" s="85" t="n"/>
      <c r="H30" s="85" t="n"/>
      <c r="I30" s="87" t="inlineStr">
        <is>
          <t>% resuelto en primer contacto sin escalar a N2/N3</t>
        </is>
      </c>
    </row>
    <row r="31" ht="3.75" customHeight="1" s="78">
      <c r="A31" s="85" t="n"/>
      <c r="B31" s="85" t="n"/>
      <c r="C31" s="85" t="n"/>
      <c r="D31" s="85" t="n"/>
      <c r="E31" s="85" t="n"/>
      <c r="F31" s="85" t="n"/>
      <c r="G31" s="85" t="n"/>
      <c r="H31" s="85" t="n"/>
      <c r="I31" s="85" t="n"/>
    </row>
    <row r="32" ht="18" customHeight="1" s="78">
      <c r="A32" s="85" t="n"/>
      <c r="B32" s="89" t="inlineStr">
        <is>
          <t>Modelo económico y contrato</t>
        </is>
      </c>
      <c r="C32" s="85" t="n"/>
      <c r="D32" s="85" t="n"/>
      <c r="E32" s="85" t="n"/>
      <c r="F32" s="85" t="n"/>
      <c r="G32" s="85" t="n"/>
      <c r="H32" s="85" t="n"/>
      <c r="I32" s="85" t="n"/>
    </row>
    <row r="33" ht="21.75" customHeight="1" s="78">
      <c r="A33" s="85" t="n"/>
      <c r="B33" s="89" t="inlineStr">
        <is>
          <t>Modelo de cobro:</t>
        </is>
      </c>
      <c r="C33" s="85" t="n"/>
      <c r="D33" s="89" t="n"/>
      <c r="E33" s="85" t="n"/>
      <c r="F33" s="85" t="n"/>
      <c r="G33" s="85" t="n"/>
      <c r="H33" s="85" t="n"/>
      <c r="I33" s="87" t="inlineStr">
        <is>
          <t>Por FTE / Por ticket / Precio fijo mensual / Mixto / Precio fijo + variable</t>
        </is>
      </c>
    </row>
    <row r="34" ht="21.75" customHeight="1" s="78">
      <c r="A34" s="85" t="n"/>
      <c r="B34" s="89" t="inlineStr">
        <is>
          <t># FTEs facturados al cliente:</t>
        </is>
      </c>
      <c r="C34" s="85" t="n"/>
      <c r="D34" s="90" t="n"/>
      <c r="E34" s="85" t="n"/>
      <c r="F34" s="85" t="n"/>
      <c r="G34" s="85" t="n"/>
      <c r="H34" s="85" t="n"/>
      <c r="I34" s="87" t="inlineStr">
        <is>
          <t>Número de personas que PS factura a este cliente</t>
        </is>
      </c>
    </row>
    <row r="35" ht="21.75" customHeight="1" s="78">
      <c r="A35" s="85" t="n"/>
      <c r="B35" s="89" t="inlineStr">
        <is>
          <t>Tarifa mensual total (COP o USD):</t>
        </is>
      </c>
      <c r="C35" s="85" t="n"/>
      <c r="D35" s="90" t="n"/>
      <c r="E35" s="85" t="n"/>
      <c r="F35" s="85" t="n"/>
      <c r="G35" s="85" t="n"/>
      <c r="H35" s="85" t="n"/>
      <c r="I35" s="87" t="inlineStr">
        <is>
          <t>Valor del contrato mensual. Estimado OK si no tienes exacto.</t>
        </is>
      </c>
    </row>
    <row r="36" ht="21.75" customHeight="1" s="78">
      <c r="A36" s="85" t="n"/>
      <c r="B36" s="89" t="inlineStr">
        <is>
          <t>Costo/FTE promedio (costo interno PS):</t>
        </is>
      </c>
      <c r="C36" s="85" t="n"/>
      <c r="D36" s="89" t="n"/>
      <c r="E36" s="85" t="n"/>
      <c r="F36" s="85" t="n"/>
      <c r="G36" s="85" t="n"/>
      <c r="H36" s="85" t="n"/>
      <c r="I36" s="87" t="inlineStr">
        <is>
          <t>Costo interno. Confidencial — solo para análisis de rentabilidad.</t>
        </is>
      </c>
    </row>
    <row r="37" ht="21.75" customHeight="1" s="78">
      <c r="A37" s="85" t="n"/>
      <c r="B37" s="89" t="inlineStr">
        <is>
          <t>Margen estimado (%):</t>
        </is>
      </c>
      <c r="C37" s="85" t="n"/>
      <c r="D37" s="89" t="n"/>
      <c r="E37" s="85" t="n"/>
      <c r="F37" s="85" t="n"/>
      <c r="G37" s="85" t="n"/>
      <c r="H37" s="85" t="n"/>
      <c r="I37" s="87" t="inlineStr">
        <is>
          <t>Rango: Bajo &lt; 15% / Medio 15-25% / Alto &gt; 25%</t>
        </is>
      </c>
    </row>
    <row r="38" ht="21.75" customHeight="1" s="78">
      <c r="A38" s="85" t="n"/>
      <c r="B38" s="89" t="inlineStr">
        <is>
          <t>¿Hay penalidades ANS activas en el contrato?</t>
        </is>
      </c>
      <c r="C38" s="85" t="n"/>
      <c r="D38" s="89" t="n"/>
      <c r="E38" s="85" t="n"/>
      <c r="F38" s="85" t="n"/>
      <c r="G38" s="85" t="n"/>
      <c r="H38" s="85" t="n"/>
      <c r="I38" s="87" t="inlineStr">
        <is>
          <t>Sí / No / Parcial. ¿Se aplican realmente?</t>
        </is>
      </c>
    </row>
    <row r="39" ht="21.75" customHeight="1" s="78">
      <c r="A39" s="85" t="n"/>
      <c r="B39" s="89" t="inlineStr">
        <is>
          <t>¿El modelo permite cobrar expansión de scope?</t>
        </is>
      </c>
      <c r="C39" s="85" t="n"/>
      <c r="D39" s="89" t="n"/>
      <c r="E39" s="85" t="n"/>
      <c r="F39" s="85" t="n"/>
      <c r="G39" s="85" t="n"/>
      <c r="H39" s="85" t="n"/>
      <c r="I39" s="87" t="inlineStr">
        <is>
          <t>Sí / No. ¿Existe mecanismo formal de adición de alcance?</t>
        </is>
      </c>
    </row>
    <row r="40" ht="21.75" customHeight="1" s="78">
      <c r="A40" s="85" t="n"/>
      <c r="B40" s="89" t="inlineStr">
        <is>
          <t>Fecha de renovación del contrato:</t>
        </is>
      </c>
      <c r="C40" s="85" t="n"/>
      <c r="D40" s="90" t="n"/>
      <c r="E40" s="85" t="n"/>
      <c r="F40" s="85" t="n"/>
      <c r="G40" s="85" t="n"/>
      <c r="H40" s="85" t="n"/>
      <c r="I40" s="87" t="inlineStr">
        <is>
          <t>Mes/Año de próxima renovación o vencimiento</t>
        </is>
      </c>
    </row>
    <row r="41" ht="21.75" customHeight="1" s="78">
      <c r="A41" s="85" t="n"/>
      <c r="B41" s="89" t="inlineStr">
        <is>
          <t>¿Hay adiciones de scope sin renegociación de precio?</t>
        </is>
      </c>
      <c r="C41" s="85" t="n"/>
      <c r="D41" s="89" t="n"/>
      <c r="E41" s="85" t="n"/>
      <c r="F41" s="85" t="n"/>
      <c r="G41" s="85" t="n"/>
      <c r="H41" s="85" t="n"/>
      <c r="I41" s="87" t="inlineStr">
        <is>
          <t>Apps o integraciones agregadas sin ajuste de precio</t>
        </is>
      </c>
    </row>
    <row r="42" ht="6" customHeight="1" s="78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</row>
    <row r="43" ht="21.75" customHeight="1" s="78">
      <c r="A43" s="85" t="n"/>
      <c r="B43" s="88" t="inlineStr">
        <is>
          <t>③  PERSONAS Y CULTURA  ·  10 min</t>
        </is>
      </c>
      <c r="C43" s="85" t="n"/>
      <c r="D43" s="85" t="n"/>
      <c r="E43" s="85" t="n"/>
      <c r="F43" s="85" t="n"/>
      <c r="G43" s="85" t="n"/>
      <c r="H43" s="85" t="n"/>
      <c r="I43" s="85" t="n"/>
    </row>
    <row r="44" ht="18" customHeight="1" s="78">
      <c r="A44" s="85" t="n"/>
      <c r="B44" s="89" t="inlineStr">
        <is>
          <t>Composición del equipo por nivel</t>
        </is>
      </c>
      <c r="C44" s="85" t="n"/>
      <c r="D44" s="85" t="n"/>
      <c r="E44" s="85" t="n"/>
      <c r="F44" s="85" t="n"/>
      <c r="G44" s="85" t="n"/>
      <c r="H44" s="85" t="n"/>
      <c r="I44" s="85" t="n"/>
    </row>
    <row r="45" ht="19.5" customHeight="1" s="78">
      <c r="A45" s="85" t="n"/>
      <c r="B45" s="91" t="inlineStr">
        <is>
          <t>Rol / Nivel</t>
        </is>
      </c>
      <c r="C45" s="85" t="n"/>
      <c r="D45" s="91" t="inlineStr">
        <is>
          <t>FTEs actuales</t>
        </is>
      </c>
      <c r="E45" s="85" t="n"/>
      <c r="F45" s="91" t="inlineStr">
        <is>
          <t>FTEs requeridos (ideal)</t>
        </is>
      </c>
      <c r="G45" s="91" t="inlineStr">
        <is>
          <t>% tiempo en soporte</t>
        </is>
      </c>
      <c r="H45" s="85" t="n"/>
      <c r="I45" s="91" t="inlineStr">
        <is>
          <t>Fuente</t>
        </is>
      </c>
    </row>
    <row r="46" ht="19.5" customHeight="1" s="78">
      <c r="A46" s="85" t="n"/>
      <c r="B46" s="89" t="inlineStr">
        <is>
          <t>Gerente de Mesa / Account Manager</t>
        </is>
      </c>
      <c r="C46" s="85" t="n"/>
      <c r="D46" s="92" t="n"/>
      <c r="E46" s="85" t="n"/>
      <c r="F46" s="92" t="n"/>
      <c r="G46" s="92" t="n"/>
      <c r="H46" s="85" t="n"/>
      <c r="I46" s="92" t="n"/>
    </row>
    <row r="47" ht="19.5" customHeight="1" s="78">
      <c r="A47" s="85" t="n"/>
      <c r="B47" s="90" t="inlineStr">
        <is>
          <t>Líder Técnico / Coordinador N2</t>
        </is>
      </c>
      <c r="C47" s="85" t="n"/>
      <c r="D47" s="93" t="n"/>
      <c r="E47" s="85" t="n"/>
      <c r="F47" s="93" t="n"/>
      <c r="G47" s="93" t="n"/>
      <c r="H47" s="85" t="n"/>
      <c r="I47" s="93" t="n"/>
    </row>
    <row r="48" ht="19.5" customHeight="1" s="78">
      <c r="A48" s="85" t="n"/>
      <c r="B48" s="89" t="inlineStr">
        <is>
          <t>Analista N1 (front-end)</t>
        </is>
      </c>
      <c r="C48" s="85" t="n"/>
      <c r="D48" s="92" t="n"/>
      <c r="E48" s="85" t="n"/>
      <c r="F48" s="92" t="n"/>
      <c r="G48" s="92" t="n"/>
      <c r="H48" s="85" t="n"/>
      <c r="I48" s="92" t="n"/>
    </row>
    <row r="49" ht="19.5" customHeight="1" s="78">
      <c r="A49" s="85" t="n"/>
      <c r="B49" s="90" t="inlineStr">
        <is>
          <t>Especialista N2 (soporte avanzado)</t>
        </is>
      </c>
      <c r="C49" s="85" t="n"/>
      <c r="D49" s="93" t="n"/>
      <c r="E49" s="85" t="n"/>
      <c r="F49" s="93" t="n"/>
      <c r="G49" s="93" t="n"/>
      <c r="H49" s="85" t="n"/>
      <c r="I49" s="93" t="n"/>
    </row>
    <row r="50" ht="19.5" customHeight="1" s="78">
      <c r="A50" s="85" t="n"/>
      <c r="B50" s="89" t="inlineStr">
        <is>
          <t>Desarrollador / Especialista N3</t>
        </is>
      </c>
      <c r="C50" s="85" t="n"/>
      <c r="D50" s="92" t="n"/>
      <c r="E50" s="85" t="n"/>
      <c r="F50" s="92" t="n"/>
      <c r="G50" s="92" t="n"/>
      <c r="H50" s="85" t="n"/>
      <c r="I50" s="92" t="n"/>
    </row>
    <row r="51" ht="19.5" customHeight="1" s="78">
      <c r="A51" s="85" t="n"/>
      <c r="B51" s="90" t="inlineStr">
        <is>
          <t>Especialista IA / Datos</t>
        </is>
      </c>
      <c r="C51" s="85" t="n"/>
      <c r="D51" s="93" t="n"/>
      <c r="E51" s="85" t="n"/>
      <c r="F51" s="93" t="n"/>
      <c r="G51" s="93" t="n"/>
      <c r="H51" s="85" t="n"/>
      <c r="I51" s="93" t="n"/>
    </row>
    <row r="52" ht="19.5" customHeight="1" s="78">
      <c r="A52" s="85" t="n"/>
      <c r="B52" s="89" t="inlineStr">
        <is>
          <t>TOTAL</t>
        </is>
      </c>
      <c r="C52" s="85" t="n"/>
      <c r="D52" s="92" t="n"/>
      <c r="E52" s="85" t="n"/>
      <c r="F52" s="92" t="n"/>
      <c r="G52" s="92" t="n"/>
      <c r="H52" s="85" t="n"/>
      <c r="I52" s="92" t="n"/>
    </row>
    <row r="53" ht="3.75" customHeight="1" s="78">
      <c r="A53" s="85" t="n"/>
      <c r="B53" s="85" t="n"/>
      <c r="C53" s="85" t="n"/>
      <c r="D53" s="85" t="n"/>
      <c r="E53" s="85" t="n"/>
      <c r="F53" s="85" t="n"/>
      <c r="G53" s="85" t="n"/>
      <c r="H53" s="85" t="n"/>
      <c r="I53" s="85" t="n"/>
    </row>
    <row r="54" ht="21.75" customHeight="1" s="78">
      <c r="A54" s="85" t="n"/>
      <c r="B54" s="89" t="inlineStr">
        <is>
          <t>Rotación anual del equipo (%):</t>
        </is>
      </c>
      <c r="C54" s="85" t="n"/>
      <c r="D54" s="89" t="n"/>
      <c r="E54" s="85" t="n"/>
      <c r="F54" s="85" t="n"/>
      <c r="G54" s="85" t="n"/>
      <c r="H54" s="85" t="n"/>
      <c r="I54" s="87" t="inlineStr">
        <is>
          <t>Bajo &lt; 10% / Medio 10-25% / Alto &gt; 25% / Muy alto &gt; 50%</t>
        </is>
      </c>
    </row>
    <row r="55" ht="21.75" customHeight="1" s="78">
      <c r="A55" s="85" t="n"/>
      <c r="B55" s="89" t="inlineStr">
        <is>
          <t>Antigüedad promedio en este cliente (meses):</t>
        </is>
      </c>
      <c r="C55" s="85" t="n"/>
      <c r="D55" s="89" t="n"/>
      <c r="E55" s="85" t="n"/>
      <c r="F55" s="85" t="n"/>
      <c r="G55" s="85" t="n"/>
      <c r="H55" s="85" t="n"/>
      <c r="I55" s="87" t="inlineStr">
        <is>
          <t>Tiempo que llevan los FTEs actuales en esta mesa</t>
        </is>
      </c>
    </row>
    <row r="56" ht="21.75" customHeight="1" s="78">
      <c r="A56" s="85" t="n"/>
      <c r="B56" s="89" t="inlineStr">
        <is>
          <t>Bus factor — ¿quién sabe TODO de esta mesa?:</t>
        </is>
      </c>
      <c r="C56" s="85" t="n"/>
      <c r="D56" s="90" t="n"/>
      <c r="E56" s="85" t="n"/>
      <c r="F56" s="85" t="n"/>
      <c r="G56" s="85" t="n"/>
      <c r="H56" s="85" t="n"/>
      <c r="I56" s="87" t="inlineStr">
        <is>
          <t>Nombre(s) de la(s) persona(s) crítica(s). Si se va, hay crisis.</t>
        </is>
      </c>
    </row>
    <row r="57" ht="21.75" customHeight="1" s="78">
      <c r="A57" s="85" t="n"/>
      <c r="B57" s="89" t="inlineStr">
        <is>
          <t>¿El equipo tiene ruta de crecimiento definida?</t>
        </is>
      </c>
      <c r="C57" s="85" t="n"/>
      <c r="D57" s="89" t="n"/>
      <c r="E57" s="85" t="n"/>
      <c r="F57" s="85" t="n"/>
      <c r="G57" s="85" t="n"/>
      <c r="H57" s="85" t="n"/>
      <c r="I57" s="87" t="inlineStr">
        <is>
          <t>Sí / No / Parcial — ¿Plan de carrera documentado?</t>
        </is>
      </c>
    </row>
    <row r="58" ht="21.75" customHeight="1" s="78">
      <c r="A58" s="85" t="n"/>
      <c r="B58" s="89" t="inlineStr">
        <is>
          <t>Satisfacción del equipo (NPS interno estimado 1-10):</t>
        </is>
      </c>
      <c r="C58" s="85" t="n"/>
      <c r="D58" s="89" t="n"/>
      <c r="E58" s="85" t="n"/>
      <c r="F58" s="85" t="n"/>
      <c r="G58" s="85" t="n"/>
      <c r="H58" s="85" t="n"/>
      <c r="I58" s="87" t="inlineStr">
        <is>
          <t>Estimación del líder de mesa</t>
        </is>
      </c>
    </row>
    <row r="59" ht="21.75" customHeight="1" s="78">
      <c r="A59" s="85" t="n"/>
      <c r="B59" s="89" t="inlineStr">
        <is>
          <t>Principal causa de rotación identificada:</t>
        </is>
      </c>
      <c r="C59" s="85" t="n"/>
      <c r="D59" s="90" t="n"/>
      <c r="E59" s="85" t="n"/>
      <c r="F59" s="85" t="n"/>
      <c r="G59" s="85" t="n"/>
      <c r="H59" s="85" t="n"/>
      <c r="I59" s="87" t="inlineStr">
        <is>
          <t>Salario / Falta crecimiento / Carga alta / Conflicto cliente / Otro</t>
        </is>
      </c>
    </row>
    <row r="60" ht="21.75" customHeight="1" s="78">
      <c r="A60" s="85" t="n"/>
      <c r="B60" s="89" t="inlineStr">
        <is>
          <t>¿Horas extra frecuentes no reconocidas?</t>
        </is>
      </c>
      <c r="C60" s="85" t="n"/>
      <c r="D60" s="90" t="n"/>
      <c r="E60" s="85" t="n"/>
      <c r="F60" s="85" t="n"/>
      <c r="G60" s="85" t="n"/>
      <c r="H60" s="85" t="n"/>
      <c r="I60" s="87" t="inlineStr">
        <is>
          <t>Sí / No. ¿Cuántas h/semana? ¿Se compensan?</t>
        </is>
      </c>
    </row>
    <row r="61" ht="6" customHeight="1" s="78">
      <c r="A61" s="85" t="n"/>
      <c r="B61" s="85" t="n"/>
      <c r="C61" s="85" t="n"/>
      <c r="D61" s="85" t="n"/>
      <c r="E61" s="85" t="n"/>
      <c r="F61" s="85" t="n"/>
      <c r="G61" s="85" t="n"/>
      <c r="H61" s="85" t="n"/>
      <c r="I61" s="85" t="n"/>
    </row>
    <row r="62" ht="21.75" customHeight="1" s="78">
      <c r="A62" s="85" t="n"/>
      <c r="B62" s="88" t="inlineStr">
        <is>
          <t>④  STACK TECNOLÓGICO Y APLICACIONES  ·  8 min</t>
        </is>
      </c>
      <c r="C62" s="85" t="n"/>
      <c r="D62" s="85" t="n"/>
      <c r="E62" s="85" t="n"/>
      <c r="F62" s="85" t="n"/>
      <c r="G62" s="85" t="n"/>
      <c r="H62" s="85" t="n"/>
      <c r="I62" s="85" t="n"/>
    </row>
    <row r="63" ht="21.75" customHeight="1" s="78">
      <c r="A63" s="85" t="n"/>
      <c r="B63" s="94" t="inlineStr">
        <is>
          <t>Herramienta de tickets (nombre):</t>
        </is>
      </c>
      <c r="C63" s="85" t="n"/>
      <c r="D63" s="89" t="n"/>
      <c r="E63" s="85" t="n"/>
      <c r="F63" s="85" t="n"/>
      <c r="G63" s="85" t="n"/>
      <c r="H63" s="85" t="n"/>
      <c r="I63" s="87" t="inlineStr">
        <is>
          <t>ServiceNow / Jira / BMC Remedy / Computer Associates / Excel / Otra</t>
        </is>
      </c>
    </row>
    <row r="64" ht="21.75" customHeight="1" s="78">
      <c r="A64" s="85" t="n"/>
      <c r="B64" s="94" t="inlineStr">
        <is>
          <t>¿Herramienta es del cliente o de PS?:</t>
        </is>
      </c>
      <c r="C64" s="85" t="n"/>
      <c r="D64" s="89" t="n"/>
      <c r="E64" s="85" t="n"/>
      <c r="F64" s="85" t="n"/>
      <c r="G64" s="85" t="n"/>
      <c r="H64" s="85" t="n"/>
      <c r="I64" s="87" t="inlineStr">
        <is>
          <t>Cliente (nos adaptamos) / PS provee herramienta</t>
        </is>
      </c>
    </row>
    <row r="65" ht="21.75" customHeight="1" s="78">
      <c r="A65" s="85" t="n"/>
      <c r="B65" s="94" t="inlineStr">
        <is>
          <t># Aplicaciones en scope:</t>
        </is>
      </c>
      <c r="C65" s="85" t="n"/>
      <c r="D65" s="90" t="n"/>
      <c r="E65" s="85" t="n"/>
      <c r="F65" s="85" t="n"/>
      <c r="G65" s="85" t="n"/>
      <c r="H65" s="85" t="n"/>
      <c r="I65" s="87" t="inlineStr">
        <is>
          <t>Número total de apps que esta mesa soporta</t>
        </is>
      </c>
    </row>
    <row r="66" ht="21.75" customHeight="1" s="78">
      <c r="A66" s="85" t="n"/>
      <c r="B66" s="94" t="inlineStr">
        <is>
          <t>Aplicaciones críticas (top 5):</t>
        </is>
      </c>
      <c r="C66" s="85" t="n"/>
      <c r="D66" s="90" t="n"/>
      <c r="E66" s="85" t="n"/>
      <c r="F66" s="85" t="n"/>
      <c r="G66" s="85" t="n"/>
      <c r="H66" s="85" t="n"/>
      <c r="I66" s="87" t="inlineStr">
        <is>
          <t>Listar por nombre. Ej: SAP FI · Portal web · API pagos</t>
        </is>
      </c>
    </row>
    <row r="67" ht="21.75" customHeight="1" s="78">
      <c r="A67" s="85" t="n"/>
      <c r="B67" s="94" t="inlineStr">
        <is>
          <t>Lenguajes / plataformas soportadas:</t>
        </is>
      </c>
      <c r="C67" s="85" t="n"/>
      <c r="D67" s="90" t="n"/>
      <c r="E67" s="85" t="n"/>
      <c r="F67" s="85" t="n"/>
      <c r="G67" s="85" t="n"/>
      <c r="H67" s="85" t="n"/>
      <c r="I67" s="87" t="inlineStr">
        <is>
          <t>Java / .Net / Python / SAP / AWS / Azure / Power Platform / OT/IT</t>
        </is>
      </c>
    </row>
    <row r="68" ht="21.75" customHeight="1" s="78">
      <c r="A68" s="85" t="n"/>
      <c r="B68" s="94" t="inlineStr">
        <is>
          <t># Ambientes soportados (DEV/QA/PRD):</t>
        </is>
      </c>
      <c r="C68" s="85" t="n"/>
      <c r="D68" s="90" t="n"/>
      <c r="E68" s="85" t="n"/>
      <c r="F68" s="85" t="n"/>
      <c r="G68" s="85" t="n"/>
      <c r="H68" s="85" t="n"/>
      <c r="I68" s="87" t="inlineStr">
        <is>
          <t>¿Todos los ambientes generan tickets?</t>
        </is>
      </c>
    </row>
    <row r="69" ht="21.75" customHeight="1" s="78">
      <c r="A69" s="85" t="n"/>
      <c r="B69" s="94" t="inlineStr">
        <is>
          <t>Integraciones críticas documentadas:</t>
        </is>
      </c>
      <c r="C69" s="85" t="n"/>
      <c r="D69" s="89" t="n"/>
      <c r="E69" s="85" t="n"/>
      <c r="F69" s="85" t="n"/>
      <c r="G69" s="85" t="n"/>
      <c r="H69" s="85" t="n"/>
      <c r="I69" s="87" t="inlineStr">
        <is>
          <t>Sí / No / Parcial. ¿Existe mapa de dependencias?</t>
        </is>
      </c>
    </row>
    <row r="70" ht="21.75" customHeight="1" s="78">
      <c r="A70" s="85" t="n"/>
      <c r="B70" s="94" t="inlineStr">
        <is>
          <t>¿Monitoreo activo configurado?:</t>
        </is>
      </c>
      <c r="C70" s="85" t="n"/>
      <c r="D70" s="89" t="n"/>
      <c r="E70" s="85" t="n"/>
      <c r="F70" s="85" t="n"/>
      <c r="G70" s="85" t="n"/>
      <c r="H70" s="85" t="n"/>
      <c r="I70" s="87" t="inlineStr">
        <is>
          <t>Sí / No / Parcial. ¿Qué herramienta? ¿Umbrales definidos?</t>
        </is>
      </c>
    </row>
    <row r="71" ht="21.75" customHeight="1" s="78">
      <c r="A71" s="85" t="n"/>
      <c r="B71" s="94" t="inlineStr">
        <is>
          <t>¿KEDB (base de conocimiento) existe?:</t>
        </is>
      </c>
      <c r="C71" s="85" t="n"/>
      <c r="D71" s="89" t="n"/>
      <c r="E71" s="85" t="n"/>
      <c r="F71" s="85" t="n"/>
      <c r="G71" s="85" t="n"/>
      <c r="H71" s="85" t="n"/>
      <c r="I71" s="87" t="inlineStr">
        <is>
          <t>Sí / No / Parcial. ¿Actualizada? ¿Quién la mantiene?</t>
        </is>
      </c>
    </row>
    <row r="72" ht="21.75" customHeight="1" s="78">
      <c r="A72" s="85" t="n"/>
      <c r="B72" s="94" t="inlineStr">
        <is>
          <t>¿Automatización en producción?:</t>
        </is>
      </c>
      <c r="C72" s="85" t="n"/>
      <c r="D72" s="89" t="n"/>
      <c r="E72" s="85" t="n"/>
      <c r="F72" s="85" t="n"/>
      <c r="G72" s="85" t="n"/>
      <c r="H72" s="85" t="n"/>
      <c r="I72" s="87" t="inlineStr">
        <is>
          <t>Sí / No. Si Sí: ¿qué automatiza? ¿% tickets automatizados?</t>
        </is>
      </c>
    </row>
    <row r="73" ht="21.75" customHeight="1" s="78">
      <c r="A73" s="85" t="n"/>
      <c r="B73" s="94" t="inlineStr">
        <is>
          <t>¿Hay N0 activo (autoservicio / portal)?:</t>
        </is>
      </c>
      <c r="C73" s="85" t="n"/>
      <c r="D73" s="89" t="n"/>
      <c r="E73" s="85" t="n"/>
      <c r="F73" s="85" t="n"/>
      <c r="G73" s="85" t="n"/>
      <c r="H73" s="85" t="n"/>
      <c r="I73" s="87" t="inlineStr">
        <is>
          <t>Sí / No / En construcción. ¿% de deflexión?</t>
        </is>
      </c>
    </row>
    <row r="74" ht="21.75" customHeight="1" s="78">
      <c r="A74" s="85" t="n"/>
      <c r="B74" s="94" t="inlineStr">
        <is>
          <t>Regulación sectorial aplicable:</t>
        </is>
      </c>
      <c r="C74" s="85" t="n"/>
      <c r="D74" s="90" t="n"/>
      <c r="E74" s="85" t="n"/>
      <c r="F74" s="85" t="n"/>
      <c r="G74" s="85" t="n"/>
      <c r="H74" s="85" t="n"/>
      <c r="I74" s="87" t="inlineStr">
        <is>
          <t>SFC / SOX / BCP/DRP / Habeas Data / Supersalud / RIPS / Ninguna</t>
        </is>
      </c>
    </row>
    <row r="75" ht="6" customHeight="1" s="78">
      <c r="A75" s="85" t="n"/>
      <c r="B75" s="85" t="n"/>
      <c r="C75" s="85" t="n"/>
      <c r="D75" s="85" t="n"/>
      <c r="E75" s="85" t="n"/>
      <c r="F75" s="85" t="n"/>
      <c r="G75" s="85" t="n"/>
      <c r="H75" s="85" t="n"/>
      <c r="I75" s="85" t="n"/>
    </row>
    <row r="76" ht="21.75" customHeight="1" s="78">
      <c r="A76" s="85" t="n"/>
      <c r="B76" s="88" t="inlineStr">
        <is>
          <t>⑤  RIESGOS Y OPORTUNIDADES  ·  7 min</t>
        </is>
      </c>
      <c r="C76" s="85" t="n"/>
      <c r="D76" s="85" t="n"/>
      <c r="E76" s="85" t="n"/>
      <c r="F76" s="85" t="n"/>
      <c r="G76" s="85" t="n"/>
      <c r="H76" s="85" t="n"/>
      <c r="I76" s="85" t="n"/>
    </row>
    <row r="77" ht="18" customHeight="1" s="78">
      <c r="A77" s="85" t="n"/>
      <c r="B77" s="95" t="inlineStr">
        <is>
          <t>Top 3 riesgos actuales</t>
        </is>
      </c>
      <c r="C77" s="85" t="n"/>
      <c r="D77" s="85" t="n"/>
      <c r="E77" s="85" t="n"/>
      <c r="F77" s="85" t="n"/>
      <c r="G77" s="85" t="n"/>
      <c r="H77" s="85" t="n"/>
      <c r="I77" s="85" t="n"/>
    </row>
    <row r="78" ht="25.5" customHeight="1" s="78">
      <c r="A78" s="85" t="n"/>
      <c r="B78" s="89" t="inlineStr">
        <is>
          <t>Riesgo #1:</t>
        </is>
      </c>
      <c r="C78" s="85" t="n"/>
      <c r="D78" s="90" t="n"/>
      <c r="E78" s="85" t="n"/>
      <c r="F78" s="85" t="n"/>
      <c r="G78" s="85" t="n"/>
      <c r="H78" s="85" t="n"/>
      <c r="I78" s="87" t="inlineStr">
        <is>
          <t>Ej: Bus factor / Scope creep / ANS sin medir / Churn latente</t>
        </is>
      </c>
    </row>
    <row r="79" ht="25.5" customHeight="1" s="78">
      <c r="A79" s="85" t="n"/>
      <c r="B79" s="89" t="inlineStr">
        <is>
          <t>Riesgo #2:</t>
        </is>
      </c>
      <c r="C79" s="85" t="n"/>
      <c r="D79" s="90" t="n"/>
      <c r="E79" s="85" t="n"/>
      <c r="F79" s="85" t="n"/>
      <c r="G79" s="85" t="n"/>
      <c r="H79" s="85" t="n"/>
      <c r="I79" s="87" t="inlineStr">
        <is>
          <t>Ej: Bus factor / Scope creep / ANS sin medir / Churn latente</t>
        </is>
      </c>
    </row>
    <row r="80" ht="25.5" customHeight="1" s="78">
      <c r="A80" s="85" t="n"/>
      <c r="B80" s="89" t="inlineStr">
        <is>
          <t>Riesgo #3:</t>
        </is>
      </c>
      <c r="C80" s="85" t="n"/>
      <c r="D80" s="90" t="n"/>
      <c r="E80" s="85" t="n"/>
      <c r="F80" s="85" t="n"/>
      <c r="G80" s="85" t="n"/>
      <c r="H80" s="85" t="n"/>
      <c r="I80" s="87" t="inlineStr">
        <is>
          <t>Ej: Bus factor / Scope creep / ANS sin medir / Churn latente</t>
        </is>
      </c>
    </row>
    <row r="81" ht="3.75" customHeight="1" s="78">
      <c r="A81" s="85" t="n"/>
      <c r="B81" s="85" t="n"/>
      <c r="C81" s="85" t="n"/>
      <c r="D81" s="85" t="n"/>
      <c r="E81" s="85" t="n"/>
      <c r="F81" s="85" t="n"/>
      <c r="G81" s="85" t="n"/>
      <c r="H81" s="85" t="n"/>
      <c r="I81" s="85" t="n"/>
    </row>
    <row r="82" ht="18" customHeight="1" s="78">
      <c r="A82" s="85" t="n"/>
      <c r="B82" s="96" t="inlineStr">
        <is>
          <t>Oportunidades para el servicio Gen Next</t>
        </is>
      </c>
      <c r="C82" s="85" t="n"/>
      <c r="D82" s="85" t="n"/>
      <c r="E82" s="85" t="n"/>
      <c r="F82" s="85" t="n"/>
      <c r="G82" s="85" t="n"/>
      <c r="H82" s="85" t="n"/>
      <c r="I82" s="85" t="n"/>
    </row>
    <row r="83" ht="21.75" customHeight="1" s="78">
      <c r="A83" s="85" t="n"/>
      <c r="B83" s="89" t="inlineStr">
        <is>
          <t>Potencial de automatización:</t>
        </is>
      </c>
      <c r="C83" s="85" t="n"/>
      <c r="D83" s="89" t="n"/>
      <c r="E83" s="85" t="n"/>
      <c r="F83" s="85" t="n"/>
      <c r="G83" s="85" t="n"/>
      <c r="H83" s="85" t="n"/>
      <c r="I83" s="87" t="inlineStr">
        <is>
          <t>Alto / Medio / Bajo. ¿Qué tareas repetitivas hay?</t>
        </is>
      </c>
    </row>
    <row r="84" ht="21.75" customHeight="1" s="78">
      <c r="A84" s="85" t="n"/>
      <c r="B84" s="89" t="inlineStr">
        <is>
          <t>Potencial de incorporar IA:</t>
        </is>
      </c>
      <c r="C84" s="85" t="n"/>
      <c r="D84" s="89" t="n"/>
      <c r="E84" s="85" t="n"/>
      <c r="F84" s="85" t="n"/>
      <c r="G84" s="85" t="n"/>
      <c r="H84" s="85" t="n"/>
      <c r="I84" s="87" t="inlineStr">
        <is>
          <t>Alto / Medio / Bajo. ¿Clasificación / KEDB / AIOps?</t>
        </is>
      </c>
    </row>
    <row r="85" ht="21.75" customHeight="1" s="78">
      <c r="A85" s="85" t="n"/>
      <c r="B85" s="89" t="inlineStr">
        <is>
          <t>Apetito del cliente por el cambio:</t>
        </is>
      </c>
      <c r="C85" s="85" t="n"/>
      <c r="D85" s="89" t="n"/>
      <c r="E85" s="85" t="n"/>
      <c r="F85" s="85" t="n"/>
      <c r="G85" s="85" t="n"/>
      <c r="H85" s="85" t="n"/>
      <c r="I85" s="87" t="inlineStr">
        <is>
          <t>Alto (promotor activo) / Medio (receptivo) / Bajo (conservador)</t>
        </is>
      </c>
    </row>
    <row r="86" ht="21.75" customHeight="1" s="78">
      <c r="A86" s="85" t="n"/>
      <c r="B86" s="89" t="inlineStr">
        <is>
          <t>Señal de churn (semáforo):</t>
        </is>
      </c>
      <c r="C86" s="85" t="n"/>
      <c r="D86" s="89" t="n"/>
      <c r="E86" s="85" t="n"/>
      <c r="F86" s="85" t="n"/>
      <c r="G86" s="85" t="n"/>
      <c r="H86" s="85" t="n"/>
      <c r="I86" s="87" t="inlineStr">
        <is>
          <t>Verde / Amarillo / Naranja / Rojo</t>
        </is>
      </c>
    </row>
    <row r="87" ht="21.75" customHeight="1" s="78">
      <c r="A87" s="85" t="n"/>
      <c r="B87" s="89" t="inlineStr">
        <is>
          <t>¿Hay oportunidad de upselling?:</t>
        </is>
      </c>
      <c r="C87" s="85" t="n"/>
      <c r="D87" s="89" t="n"/>
      <c r="E87" s="85" t="n"/>
      <c r="F87" s="85" t="n"/>
      <c r="G87" s="85" t="n"/>
      <c r="H87" s="85" t="n"/>
      <c r="I87" s="87" t="inlineStr">
        <is>
          <t>Sí / No. Si Sí: ¿qué servicio adicional? ¿quién decide?</t>
        </is>
      </c>
    </row>
    <row r="88" ht="21.75" customHeight="1" s="78">
      <c r="A88" s="85" t="n"/>
      <c r="B88" s="89" t="inlineStr">
        <is>
          <t>¿Esta mesa es replicable como template?:</t>
        </is>
      </c>
      <c r="C88" s="85" t="n"/>
      <c r="D88" s="89" t="n"/>
      <c r="E88" s="85" t="n"/>
      <c r="F88" s="85" t="n"/>
      <c r="G88" s="85" t="n"/>
      <c r="H88" s="85" t="n"/>
      <c r="I88" s="87" t="inlineStr">
        <is>
          <t>Sí / No / Parcial. ¿Qué haría falta?</t>
        </is>
      </c>
    </row>
    <row r="89" ht="36" customHeight="1" s="78">
      <c r="A89" s="85" t="n"/>
      <c r="B89" s="89" t="inlineStr">
        <is>
          <t>¿Qué haría esta mesa excelente? (voz del líder):</t>
        </is>
      </c>
      <c r="C89" s="85" t="n"/>
      <c r="D89" s="90" t="n"/>
      <c r="E89" s="85" t="n"/>
      <c r="F89" s="85" t="n"/>
      <c r="G89" s="85" t="n"/>
      <c r="H89" s="85" t="n"/>
      <c r="I89" s="87" t="inlineStr">
        <is>
          <t>Respuesta literal del líder de mesa</t>
        </is>
      </c>
    </row>
    <row r="90" ht="36" customHeight="1" s="78">
      <c r="A90" s="85" t="n"/>
      <c r="B90" s="89" t="inlineStr">
        <is>
          <t>¿Qué automatizaría primero si tuviera IA?:</t>
        </is>
      </c>
      <c r="C90" s="85" t="n"/>
      <c r="D90" s="90" t="n"/>
      <c r="E90" s="85" t="n"/>
      <c r="F90" s="85" t="n"/>
      <c r="G90" s="85" t="n"/>
      <c r="H90" s="85" t="n"/>
      <c r="I90" s="87" t="inlineStr">
        <is>
          <t>Respuesta literal del líder de mesa</t>
        </is>
      </c>
    </row>
    <row r="91" ht="36" customHeight="1" s="78">
      <c r="A91" s="85" t="n"/>
      <c r="B91" s="89" t="inlineStr">
        <is>
          <t>Comentarios / contexto adicional:</t>
        </is>
      </c>
      <c r="C91" s="85" t="n"/>
      <c r="D91" s="90" t="n"/>
      <c r="E91" s="85" t="n"/>
      <c r="F91" s="85" t="n"/>
      <c r="G91" s="85" t="n"/>
      <c r="H91" s="85" t="n"/>
      <c r="I91" s="87" t="inlineStr">
        <is>
          <t>Cualquier dato relevante que no entró en los bloques anteriores</t>
        </is>
      </c>
    </row>
    <row r="92" ht="4.5" customHeight="1" s="78">
      <c r="A92" s="85" t="n"/>
      <c r="B92" s="85" t="n"/>
      <c r="C92" s="85" t="n"/>
      <c r="D92" s="85" t="n"/>
      <c r="E92" s="85" t="n"/>
      <c r="F92" s="85" t="n"/>
      <c r="G92" s="85" t="n"/>
      <c r="H92" s="85" t="n"/>
      <c r="I92" s="85" t="n"/>
    </row>
    <row r="93" ht="18" customHeight="1" s="78">
      <c r="A93" s="85" t="n"/>
      <c r="B93" s="97" t="inlineStr">
        <is>
          <t>PersonalSoft · CTO / SICTO · Mesa de Servicios de Nueva Generación · Julio 2026</t>
        </is>
      </c>
      <c r="C93" s="85" t="n"/>
      <c r="D93" s="85" t="n"/>
      <c r="E93" s="85" t="n"/>
      <c r="F93" s="85" t="n"/>
      <c r="G93" s="85" t="n"/>
      <c r="H93" s="85" t="n"/>
      <c r="I93" s="85" t="n"/>
    </row>
    <row r="94">
      <c r="A94" s="85" t="n"/>
      <c r="B94" s="85" t="n"/>
      <c r="C94" s="85" t="n"/>
      <c r="D94" s="85" t="n"/>
      <c r="E94" s="85" t="n"/>
      <c r="F94" s="85" t="n"/>
      <c r="G94" s="85" t="n"/>
      <c r="H94" s="85" t="n"/>
      <c r="I94" s="85" t="n"/>
    </row>
    <row r="95">
      <c r="A95" s="85" t="n"/>
      <c r="B95" s="85" t="n"/>
      <c r="C95" s="85" t="n"/>
      <c r="D95" s="85" t="n"/>
      <c r="E95" s="85" t="n"/>
      <c r="F95" s="85" t="n"/>
      <c r="G95" s="85" t="n"/>
      <c r="H95" s="85" t="n"/>
      <c r="I95" s="85" t="n"/>
    </row>
    <row r="96" ht="30" customHeight="1" s="78">
      <c r="A96" s="85" t="n"/>
      <c r="B96" s="98" t="inlineStr">
        <is>
          <t>MODO DE OPERACIÓN · BCO Gioti 4</t>
        </is>
      </c>
      <c r="C96" s="85" t="n"/>
      <c r="D96" s="85" t="n"/>
      <c r="E96" s="85" t="n"/>
      <c r="F96" s="85" t="n"/>
      <c r="G96" s="85" t="n"/>
      <c r="H96" s="85" t="n"/>
      <c r="I96" s="85" t="n"/>
    </row>
    <row r="97" ht="24" customHeight="1" s="78">
      <c r="A97" s="85" t="n"/>
      <c r="B97" s="99" t="inlineStr">
        <is>
          <t>¿Cómo opera hoy esta mesa? — Reactiva, Proactiva o Automatizada · Esta sección define qué tipo de mesa es y hacia dónde debe evolucionar</t>
        </is>
      </c>
      <c r="C97" s="85" t="n"/>
      <c r="D97" s="85" t="n"/>
      <c r="E97" s="85" t="n"/>
      <c r="F97" s="85" t="n"/>
      <c r="G97" s="85" t="n"/>
      <c r="H97" s="85" t="n"/>
      <c r="I97" s="85" t="n"/>
    </row>
    <row r="98" ht="19.5" customHeight="1" s="78">
      <c r="A98" s="85" t="n"/>
      <c r="B98" s="100" t="inlineStr">
        <is>
          <t>Tipo / Modo</t>
        </is>
      </c>
      <c r="C98" s="85" t="n"/>
      <c r="D98" s="85" t="n"/>
      <c r="E98" s="101" t="inlineStr">
        <is>
          <t>Características — cómo se ve en la práctica</t>
        </is>
      </c>
      <c r="F98" s="85" t="n"/>
      <c r="G98" s="85" t="n"/>
      <c r="H98" s="85" t="n"/>
      <c r="I98" s="85" t="n"/>
    </row>
    <row r="99" ht="27.75" customHeight="1" s="78">
      <c r="A99" s="85" t="n"/>
      <c r="B99" s="102" t="inlineStr">
        <is>
          <t>Mesa de Ayuda
(Help Desk)</t>
        </is>
      </c>
      <c r="C99" s="85" t="n"/>
      <c r="D99" s="103" t="inlineStr">
        <is>
          <t>Reactiva</t>
        </is>
      </c>
      <c r="E99" s="104" t="inlineStr">
        <is>
          <t>Solo responde cuando el usuario reporta · N1 sin escalamiento · Bus factor alto</t>
        </is>
      </c>
      <c r="F99" s="85" t="n"/>
      <c r="G99" s="85" t="n"/>
      <c r="H99" s="85" t="n"/>
      <c r="I99" s="85" t="n"/>
    </row>
    <row r="100" ht="27.75" customHeight="1" s="78">
      <c r="A100" s="85" t="n"/>
      <c r="B100" s="105" t="inlineStr">
        <is>
          <t>Mesa de Soporte</t>
        </is>
      </c>
      <c r="C100" s="85" t="n"/>
      <c r="D100" s="106" t="inlineStr">
        <is>
          <t>Reactiva + Proactiva</t>
        </is>
      </c>
      <c r="E100" s="107" t="inlineStr">
        <is>
          <t>N1+N2+N3 · Gestión de problemas · Algo de monitoreo · Documentación básica</t>
        </is>
      </c>
      <c r="F100" s="85" t="n"/>
      <c r="G100" s="85" t="n"/>
      <c r="H100" s="85" t="n"/>
      <c r="I100" s="85" t="n"/>
    </row>
    <row r="101" ht="27.75" customHeight="1" s="78">
      <c r="A101" s="85" t="n"/>
      <c r="B101" s="108" t="inlineStr">
        <is>
          <t>Mesa de Servicios
(Service Desk)</t>
        </is>
      </c>
      <c r="C101" s="85" t="n"/>
      <c r="D101" s="109" t="inlineStr">
        <is>
          <t>Proactiva e Integral</t>
        </is>
      </c>
      <c r="E101" s="110" t="inlineStr">
        <is>
          <t>SPOC · Catálogo · ANS medidos · Change Enablement · ITSM completo</t>
        </is>
      </c>
      <c r="F101" s="85" t="n"/>
      <c r="G101" s="85" t="n"/>
      <c r="H101" s="85" t="n"/>
      <c r="I101" s="85" t="n"/>
    </row>
    <row r="102" ht="27.75" customHeight="1" s="78">
      <c r="A102" s="85" t="n"/>
      <c r="B102" s="111" t="inlineStr">
        <is>
          <t>Torre de Control</t>
        </is>
      </c>
      <c r="C102" s="85" t="n"/>
      <c r="D102" s="112" t="inlineStr">
        <is>
          <t>Monitoreo y Observabilidad</t>
        </is>
      </c>
      <c r="E102" s="113" t="inlineStr">
        <is>
          <t>24x7 · AIOps · Detección antes del impacto · Alertas automáticas</t>
        </is>
      </c>
      <c r="F102" s="85" t="n"/>
      <c r="G102" s="85" t="n"/>
      <c r="H102" s="85" t="n"/>
      <c r="I102" s="85" t="n"/>
    </row>
    <row r="103" ht="27.75" customHeight="1" s="78">
      <c r="A103" s="85" t="n"/>
      <c r="B103" s="114" t="inlineStr">
        <is>
          <t>Mesa Gen Next</t>
        </is>
      </c>
      <c r="C103" s="85" t="n"/>
      <c r="D103" s="115" t="inlineStr">
        <is>
          <t>Autónoma e Inteligente</t>
        </is>
      </c>
      <c r="E103" s="116" t="inlineStr">
        <is>
          <t>IA activa · N0 real · Mejora continua · AIOps · Predicción de fallas</t>
        </is>
      </c>
      <c r="F103" s="85" t="n"/>
      <c r="G103" s="85" t="n"/>
      <c r="H103" s="85" t="n"/>
      <c r="I103" s="85" t="n"/>
    </row>
    <row r="104">
      <c r="A104" s="85" t="n"/>
      <c r="B104" s="85" t="n"/>
      <c r="C104" s="85" t="n"/>
      <c r="D104" s="85" t="n"/>
      <c r="E104" s="85" t="n"/>
      <c r="F104" s="85" t="n"/>
      <c r="G104" s="85" t="n"/>
      <c r="H104" s="85" t="n"/>
      <c r="I104" s="85" t="n"/>
    </row>
    <row r="105" ht="27.75" customHeight="1" s="78">
      <c r="A105" s="85" t="n"/>
      <c r="B105" s="117" t="inlineStr">
        <is>
          <t>¿Qué tipo de mesa es esta HOY?</t>
        </is>
      </c>
      <c r="C105" s="118" t="n"/>
      <c r="D105" s="119" t="inlineStr">
        <is>
          <t>↳ Mesa de Ayuda / Soporte / Service Desk / Torre de Control</t>
        </is>
      </c>
      <c r="E105" s="85" t="n"/>
      <c r="F105" s="85" t="n"/>
      <c r="G105" s="85" t="n"/>
      <c r="H105" s="85" t="n"/>
      <c r="I105" s="85" t="n"/>
    </row>
    <row r="106" ht="27.75" customHeight="1" s="78">
      <c r="A106" s="85" t="n"/>
      <c r="B106" s="117" t="inlineStr">
        <is>
          <t>¿Qué tipo debería ser en 12 meses?</t>
        </is>
      </c>
      <c r="C106" s="118" t="n"/>
      <c r="D106" s="119" t="inlineStr">
        <is>
          <t>↳ hacia dónde debe evolucionar con el modelo nuevo</t>
        </is>
      </c>
      <c r="E106" s="85" t="n"/>
      <c r="F106" s="85" t="n"/>
      <c r="G106" s="85" t="n"/>
      <c r="H106" s="85" t="n"/>
      <c r="I106" s="85" t="n"/>
    </row>
    <row r="107" ht="27.75" customHeight="1" s="78">
      <c r="A107" s="85" t="n"/>
      <c r="B107" s="117" t="inlineStr">
        <is>
          <t>Modo de operación actual:</t>
        </is>
      </c>
      <c r="C107" s="118" t="n"/>
      <c r="D107" s="119" t="inlineStr">
        <is>
          <t>↳ Reactivo / Proactivo / Autónomo</t>
        </is>
      </c>
      <c r="E107" s="85" t="n"/>
      <c r="F107" s="85" t="n"/>
      <c r="G107" s="85" t="n"/>
      <c r="H107" s="85" t="n"/>
      <c r="I107" s="85" t="n"/>
    </row>
    <row r="108">
      <c r="A108" s="85" t="n"/>
      <c r="B108" s="85" t="n"/>
      <c r="C108" s="85" t="n"/>
      <c r="D108" s="85" t="n"/>
      <c r="E108" s="85" t="n"/>
      <c r="F108" s="85" t="n"/>
      <c r="G108" s="85" t="n"/>
      <c r="H108" s="85" t="n"/>
      <c r="I108" s="85" t="n"/>
    </row>
    <row r="109" ht="21.75" customHeight="1" s="78">
      <c r="A109" s="85" t="n"/>
      <c r="B109" s="120" t="inlineStr">
        <is>
          <t>Preguntas clave — modo de operación real</t>
        </is>
      </c>
      <c r="C109" s="85" t="n"/>
      <c r="D109" s="85" t="n"/>
      <c r="E109" s="85" t="n"/>
      <c r="F109" s="85" t="n"/>
      <c r="G109" s="85" t="n"/>
      <c r="H109" s="85" t="n"/>
      <c r="I109" s="85" t="n"/>
    </row>
    <row r="110" ht="27.75" customHeight="1" s="78">
      <c r="A110" s="85" t="n"/>
      <c r="B110" s="121" t="inlineStr">
        <is>
          <t>¿Cómo se entera el equipo de que hay un problema?</t>
        </is>
      </c>
      <c r="C110" s="122" t="n"/>
      <c r="D110" s="119" t="inlineStr">
        <is>
          <t>↳ Solo cuando el usuario llama (reactivo) / Alertas / Antes del impacto (proactivo)</t>
        </is>
      </c>
      <c r="E110" s="85" t="n"/>
      <c r="F110" s="85" t="n"/>
      <c r="G110" s="85" t="n"/>
      <c r="H110" s="85" t="n"/>
      <c r="I110" s="85" t="n"/>
    </row>
    <row r="111" ht="27.75" customHeight="1" s="78">
      <c r="A111" s="85" t="n"/>
      <c r="B111" s="121" t="inlineStr">
        <is>
          <t>¿Hay monitoreo automatizado de los sistemas del cliente?</t>
        </is>
      </c>
      <c r="C111" s="122" t="n"/>
      <c r="D111" s="119" t="inlineStr">
        <is>
          <t>↳ Sí / No / Parcial · ¿qué herramienta? ¿qué sistemas monitorea?</t>
        </is>
      </c>
      <c r="E111" s="85" t="n"/>
      <c r="F111" s="85" t="n"/>
      <c r="G111" s="85" t="n"/>
      <c r="H111" s="85" t="n"/>
      <c r="I111" s="85" t="n"/>
    </row>
    <row r="112" ht="27.75" customHeight="1" s="78">
      <c r="A112" s="85" t="n"/>
      <c r="B112" s="121" t="inlineStr">
        <is>
          <t>¿Se detectan incidentes ANTES de que el usuario los reporte?</t>
        </is>
      </c>
      <c r="C112" s="122" t="n"/>
      <c r="D112" s="119" t="inlineStr">
        <is>
          <t>↳ Sí (proactiva) / A veces / No (reactiva) — dar un ejemplo concreto</t>
        </is>
      </c>
      <c r="E112" s="85" t="n"/>
      <c r="F112" s="85" t="n"/>
      <c r="G112" s="85" t="n"/>
      <c r="H112" s="85" t="n"/>
      <c r="I112" s="85" t="n"/>
    </row>
    <row r="113" ht="27.75" customHeight="1" s="78">
      <c r="A113" s="85" t="n"/>
      <c r="B113" s="121" t="inlineStr">
        <is>
          <t>¿Cuántos tickets se resuelven sin intervención humana (% automatizados)?</t>
        </is>
      </c>
      <c r="C113" s="122" t="n"/>
      <c r="D113" s="119" t="inlineStr">
        <is>
          <t>↳ ej: 0% todo manual · 10% · 30% — cifra estimada</t>
        </is>
      </c>
      <c r="E113" s="85" t="n"/>
      <c r="F113" s="85" t="n"/>
      <c r="G113" s="85" t="n"/>
      <c r="H113" s="85" t="n"/>
      <c r="I113" s="85" t="n"/>
    </row>
    <row r="114" ht="27.75" customHeight="1" s="78">
      <c r="A114" s="85" t="n"/>
      <c r="B114" s="121" t="inlineStr">
        <is>
          <t>¿El usuario puede resolver algo solo sin contactar la mesa?</t>
        </is>
      </c>
      <c r="C114" s="122" t="n"/>
      <c r="D114" s="119" t="inlineStr">
        <is>
          <t>↳ Sí (portal activo) / No / En construcción · ¿qué puede resolver solo?</t>
        </is>
      </c>
      <c r="E114" s="85" t="n"/>
      <c r="F114" s="85" t="n"/>
      <c r="G114" s="85" t="n"/>
      <c r="H114" s="85" t="n"/>
      <c r="I114" s="85" t="n"/>
    </row>
    <row r="115" ht="27.75" customHeight="1" s="78">
      <c r="A115" s="85" t="n"/>
      <c r="B115" s="121" t="inlineStr">
        <is>
          <t>¿Cuánto tiempo tarda hacer el informe mensual del cliente?</t>
        </is>
      </c>
      <c r="C115" s="122" t="n"/>
      <c r="D115" s="119" t="inlineStr">
        <is>
          <t>↳ ej: 2 horas / medio día / un día completo — ¿es manual o automático?</t>
        </is>
      </c>
      <c r="E115" s="85" t="n"/>
      <c r="F115" s="85" t="n"/>
      <c r="G115" s="85" t="n"/>
      <c r="H115" s="85" t="n"/>
      <c r="I115" s="85" t="n"/>
    </row>
    <row r="116" ht="27.75" customHeight="1" s="78">
      <c r="A116" s="85" t="n"/>
      <c r="B116" s="121" t="inlineStr">
        <is>
          <t>¿Se mide la satisfacción del usuario (CSAT/XLA) sistemáticamente?</t>
        </is>
      </c>
      <c r="C116" s="122" t="n"/>
      <c r="D116" s="119" t="inlineStr">
        <is>
          <t>↳ Sí / No / Parcial · ¿cuándo fue la última medición?</t>
        </is>
      </c>
      <c r="E116" s="85" t="n"/>
      <c r="F116" s="85" t="n"/>
      <c r="G116" s="85" t="n"/>
      <c r="H116" s="85" t="n"/>
      <c r="I116" s="85" t="n"/>
    </row>
    <row r="117" ht="27.75" customHeight="1" s="78">
      <c r="A117" s="85" t="n"/>
      <c r="B117" s="121" t="inlineStr">
        <is>
          <t>Si tuvieras presupuesto para 1 mejora, ¿qué harías primero?</t>
        </is>
      </c>
      <c r="C117" s="122" t="n"/>
      <c r="D117" s="119" t="inlineStr">
        <is>
          <t>↳ La respuesta más valiosa para el diseño del servicio nuevo</t>
        </is>
      </c>
      <c r="E117" s="85" t="n"/>
      <c r="F117" s="85" t="n"/>
      <c r="G117" s="85" t="n"/>
      <c r="H117" s="85" t="n"/>
      <c r="I117" s="85" t="n"/>
    </row>
  </sheetData>
  <mergeCells count="185">
    <mergeCell ref="B91:C91"/>
    <mergeCell ref="D35:H35"/>
    <mergeCell ref="B100:C100"/>
    <mergeCell ref="B62:I62"/>
    <mergeCell ref="D10:H10"/>
    <mergeCell ref="D90:H90"/>
    <mergeCell ref="B22:C22"/>
    <mergeCell ref="B102:C102"/>
    <mergeCell ref="D50:E50"/>
    <mergeCell ref="D45:E45"/>
    <mergeCell ref="B12:C12"/>
    <mergeCell ref="B96:I96"/>
    <mergeCell ref="B21:C21"/>
    <mergeCell ref="B86:C86"/>
    <mergeCell ref="E103:I103"/>
    <mergeCell ref="D106:I106"/>
    <mergeCell ref="B67:C67"/>
    <mergeCell ref="D11:H11"/>
    <mergeCell ref="B101:C101"/>
    <mergeCell ref="B14:C14"/>
    <mergeCell ref="D48:E48"/>
    <mergeCell ref="D66:H66"/>
    <mergeCell ref="B13:C13"/>
    <mergeCell ref="B69:C69"/>
    <mergeCell ref="D117:I117"/>
    <mergeCell ref="B38:C38"/>
    <mergeCell ref="B82:I82"/>
    <mergeCell ref="B78:C78"/>
    <mergeCell ref="D28:H28"/>
    <mergeCell ref="D110:I110"/>
    <mergeCell ref="B19:I19"/>
    <mergeCell ref="D37:H37"/>
    <mergeCell ref="B40:C40"/>
    <mergeCell ref="B49:C49"/>
    <mergeCell ref="D9:H9"/>
    <mergeCell ref="B55:C55"/>
    <mergeCell ref="B24:C24"/>
    <mergeCell ref="D30:H30"/>
    <mergeCell ref="D39:H39"/>
    <mergeCell ref="B64:C64"/>
    <mergeCell ref="B33:C33"/>
    <mergeCell ref="B51:C51"/>
    <mergeCell ref="D51:E51"/>
    <mergeCell ref="D29:H29"/>
    <mergeCell ref="D23:H23"/>
    <mergeCell ref="D38:H38"/>
    <mergeCell ref="B76:I76"/>
    <mergeCell ref="B63:C63"/>
    <mergeCell ref="B26:C26"/>
    <mergeCell ref="B41:C41"/>
    <mergeCell ref="D111:I111"/>
    <mergeCell ref="B35:C35"/>
    <mergeCell ref="B16:C16"/>
    <mergeCell ref="B98:D98"/>
    <mergeCell ref="B25:C25"/>
    <mergeCell ref="B90:C90"/>
    <mergeCell ref="B109:I109"/>
    <mergeCell ref="D63:H63"/>
    <mergeCell ref="B66:C66"/>
    <mergeCell ref="D80:H80"/>
    <mergeCell ref="B27:C27"/>
    <mergeCell ref="G48:H48"/>
    <mergeCell ref="D65:H65"/>
    <mergeCell ref="B11:C11"/>
    <mergeCell ref="D57:H57"/>
    <mergeCell ref="D27:H27"/>
    <mergeCell ref="D41:H41"/>
    <mergeCell ref="D114:I114"/>
    <mergeCell ref="E5:H5"/>
    <mergeCell ref="D17:H17"/>
    <mergeCell ref="G49:H49"/>
    <mergeCell ref="D47:E47"/>
    <mergeCell ref="D91:H91"/>
    <mergeCell ref="B5:D5"/>
    <mergeCell ref="B29:C29"/>
    <mergeCell ref="D113:I113"/>
    <mergeCell ref="B103:C103"/>
    <mergeCell ref="B37:C37"/>
    <mergeCell ref="B84:C84"/>
    <mergeCell ref="D115:I115"/>
    <mergeCell ref="D74:H74"/>
    <mergeCell ref="D12:H12"/>
    <mergeCell ref="D68:H68"/>
    <mergeCell ref="D25:H25"/>
    <mergeCell ref="D83:H83"/>
    <mergeCell ref="B15:C15"/>
    <mergeCell ref="D55:H55"/>
    <mergeCell ref="B80:C80"/>
    <mergeCell ref="B89:C89"/>
    <mergeCell ref="D67:H67"/>
    <mergeCell ref="D14:H14"/>
    <mergeCell ref="B79:C79"/>
    <mergeCell ref="D85:H85"/>
    <mergeCell ref="D54:H54"/>
    <mergeCell ref="D60:H60"/>
    <mergeCell ref="B54:C54"/>
    <mergeCell ref="D69:H69"/>
    <mergeCell ref="B72:C72"/>
    <mergeCell ref="E98:I98"/>
    <mergeCell ref="B56:C56"/>
    <mergeCell ref="B71:C71"/>
    <mergeCell ref="D40:H40"/>
    <mergeCell ref="B93:I93"/>
    <mergeCell ref="B58:C58"/>
    <mergeCell ref="B52:C52"/>
    <mergeCell ref="D21:H21"/>
    <mergeCell ref="D52:E52"/>
    <mergeCell ref="B77:I77"/>
    <mergeCell ref="D112:I112"/>
    <mergeCell ref="D49:E49"/>
    <mergeCell ref="B60:C60"/>
    <mergeCell ref="B17:C17"/>
    <mergeCell ref="B57:C57"/>
    <mergeCell ref="B88:C88"/>
    <mergeCell ref="D16:H16"/>
    <mergeCell ref="D87:H87"/>
    <mergeCell ref="B34:C34"/>
    <mergeCell ref="B28:C28"/>
    <mergeCell ref="B99:C99"/>
    <mergeCell ref="D71:H71"/>
    <mergeCell ref="B9:C9"/>
    <mergeCell ref="D58:H58"/>
    <mergeCell ref="B83:C83"/>
    <mergeCell ref="G51:H51"/>
    <mergeCell ref="B30:C30"/>
    <mergeCell ref="D8:H8"/>
    <mergeCell ref="E100:I100"/>
    <mergeCell ref="D73:H73"/>
    <mergeCell ref="B45:C45"/>
    <mergeCell ref="B85:C85"/>
    <mergeCell ref="G50:H50"/>
    <mergeCell ref="D105:I105"/>
    <mergeCell ref="E102:I102"/>
    <mergeCell ref="B32:I32"/>
    <mergeCell ref="D59:H59"/>
    <mergeCell ref="B97:I97"/>
    <mergeCell ref="B47:C47"/>
    <mergeCell ref="G52:H52"/>
    <mergeCell ref="B7:I7"/>
    <mergeCell ref="D34:H34"/>
    <mergeCell ref="B59:C59"/>
    <mergeCell ref="D107:I107"/>
    <mergeCell ref="D116:I116"/>
    <mergeCell ref="B46:C46"/>
    <mergeCell ref="B3:I3"/>
    <mergeCell ref="D46:E46"/>
    <mergeCell ref="D84:H84"/>
    <mergeCell ref="D22:H22"/>
    <mergeCell ref="D36:H36"/>
    <mergeCell ref="B43:I43"/>
    <mergeCell ref="B39:C39"/>
    <mergeCell ref="B70:C70"/>
    <mergeCell ref="B48:C48"/>
    <mergeCell ref="D86:H86"/>
    <mergeCell ref="B2:I2"/>
    <mergeCell ref="D13:H13"/>
    <mergeCell ref="B23:C23"/>
    <mergeCell ref="B8:C8"/>
    <mergeCell ref="D70:H70"/>
    <mergeCell ref="B73:C73"/>
    <mergeCell ref="B87:C87"/>
    <mergeCell ref="B44:I44"/>
    <mergeCell ref="E99:I99"/>
    <mergeCell ref="D72:H72"/>
    <mergeCell ref="D78:H78"/>
    <mergeCell ref="B10:C10"/>
    <mergeCell ref="G45:H45"/>
    <mergeCell ref="D56:H56"/>
    <mergeCell ref="B65:C65"/>
    <mergeCell ref="E101:I101"/>
    <mergeCell ref="B74:C74"/>
    <mergeCell ref="B68:C68"/>
    <mergeCell ref="D15:H15"/>
    <mergeCell ref="G47:H47"/>
    <mergeCell ref="D24:H24"/>
    <mergeCell ref="D64:H64"/>
    <mergeCell ref="B20:I20"/>
    <mergeCell ref="D33:H33"/>
    <mergeCell ref="D89:H89"/>
    <mergeCell ref="B36:C36"/>
    <mergeCell ref="G46:H46"/>
    <mergeCell ref="B50:C50"/>
    <mergeCell ref="D79:H79"/>
    <mergeCell ref="D88:H88"/>
    <mergeCell ref="D26:H26"/>
  </mergeCells>
  <dataValidations count="2">
    <dataValidation sqref="C105:C106" showDropDown="0" showInputMessage="0" showErrorMessage="0" allowBlank="1" type="list" errorStyle="stop" operator="between">
      <formula1>Listas!$B$2:$B$6</formula1>
      <formula2>0</formula2>
    </dataValidation>
    <dataValidation sqref="C107" showDropDown="0" showInputMessage="0" showErrorMessage="0" allowBlank="1" type="list" errorStyle="stop" operator="between">
      <formula1>Listas!$P$1:$P$6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2026-07-03T16:55:31Z</dcterms:created>
  <dcterms:modified xmlns:dcterms="http://purl.org/dc/terms/" xmlns:xsi="http://www.w3.org/2001/XMLSchema-instance" xsi:type="dcterms:W3CDTF">2026-07-03T23:03:32Z</dcterms:modified>
  <cp:revision>2</cp:revision>
</cp:coreProperties>
</file>