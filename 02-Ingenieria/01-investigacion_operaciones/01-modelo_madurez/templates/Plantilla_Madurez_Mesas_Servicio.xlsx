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Instrucciones"/>
    <sheet r:id="rId2" sheetId="2" name="Clasificador"/>
    <sheet r:id="rId3" sheetId="3" name="Rúbrica"/>
    <sheet r:id="rId4" sheetId="4" name="Evaluación"/>
    <sheet r:id="rId5" sheetId="5" name="Dashboard"/>
  </sheets>
  <calcPr fullCalcOnLoad="1"/>
</workbook>
</file>

<file path=xl/sharedStrings.xml><?xml version="1.0" encoding="utf-8"?>
<sst xmlns="http://schemas.openxmlformats.org/spreadsheetml/2006/main" count="208" uniqueCount="172">
  <si>
    <t>Dashboard consolidado · Mesas evaluadas</t>
  </si>
  <si>
    <t>Duplica la fila por cada mesa. Ingresa los niveles actuales para cada práctica.</t>
  </si>
  <si>
    <t>Mesa de servicio</t>
  </si>
  <si>
    <t>Tipo</t>
  </si>
  <si>
    <t>Sector/cliente</t>
  </si>
  <si>
    <t>Gestión de inciden</t>
  </si>
  <si>
    <t>Gestión de solicit</t>
  </si>
  <si>
    <t>Gestión de problem</t>
  </si>
  <si>
    <t>Gestión del conoci</t>
  </si>
  <si>
    <t>Catálogo de servic</t>
  </si>
  <si>
    <t>Niveles de servici</t>
  </si>
  <si>
    <t>Transición y onboa</t>
  </si>
  <si>
    <t>Satisfacción y exp</t>
  </si>
  <si>
    <t>Capacidad y dimens</t>
  </si>
  <si>
    <t>Herramientas y aut</t>
  </si>
  <si>
    <t xml:space="preserve">Gobierno de roles </t>
  </si>
  <si>
    <t>Disponibilidad y c</t>
  </si>
  <si>
    <t>Gestión de integra</t>
  </si>
  <si>
    <t>Nivel global</t>
  </si>
  <si>
    <t>Evaluación de madurez · Mesa de servicio</t>
  </si>
  <si>
    <t>Nombre de la mesa:</t>
  </si>
  <si>
    <t>Tipo (Ayuda/Soporte):</t>
  </si>
  <si>
    <t>Cliente / cuenta:</t>
  </si>
  <si>
    <t>Fecha de evaluación:</t>
  </si>
  <si>
    <t>Evaluador:</t>
  </si>
  <si>
    <t>Nivel de madurez global (promedio 13 prácticas):</t>
  </si>
  <si>
    <t>#</t>
  </si>
  <si>
    <t>Práctica</t>
  </si>
  <si>
    <t>Frente ITIL v5</t>
  </si>
  <si>
    <t>Nivel actual&amp;#10;(1-5)</t>
  </si>
  <si>
    <t>Nivel objetivo&amp;#10;(1-5)</t>
  </si>
  <si>
    <t>Brecha</t>
  </si>
  <si>
    <t>Evidencia / observación</t>
  </si>
  <si>
    <t>Frente / origen</t>
  </si>
  <si>
    <t>Gestión de incidentes</t>
  </si>
  <si>
    <t>Monitor, Support &amp; Fulfill</t>
  </si>
  <si>
    <t>Gestión de solicitudes / peticiones</t>
  </si>
  <si>
    <t>Gestión de problemas (causa raíz)</t>
  </si>
  <si>
    <t>Gestión del conocimiento (KEDB)</t>
  </si>
  <si>
    <t>Catálogo de servicios y límites del alcance</t>
  </si>
  <si>
    <t>ITIL Service</t>
  </si>
  <si>
    <t>Niveles de servicio (SLA / ANS)</t>
  </si>
  <si>
    <t>Transición y onboarding de servicios</t>
  </si>
  <si>
    <t>Satisfacción y experiencia del cliente</t>
  </si>
  <si>
    <t>ITIL Experience</t>
  </si>
  <si>
    <t>Capacidad y dimensionamiento del equipo</t>
  </si>
  <si>
    <t>ITIL Foundation</t>
  </si>
  <si>
    <t>Herramientas y automatización</t>
  </si>
  <si>
    <t>Gobierno de roles (RACI)</t>
  </si>
  <si>
    <t>Feedback operativo</t>
  </si>
  <si>
    <t>Disponibilidad y cobertura horaria</t>
  </si>
  <si>
    <t>Gestión de integraciones y entorno de aplicaciones</t>
  </si>
  <si>
    <t>Rúbrica de evaluación · 13 prácticas × 5 niveles</t>
  </si>
  <si>
    <t>Frente</t>
  </si>
  <si>
    <t>1 · Inicial</t>
  </si>
  <si>
    <t>2 · Administrado</t>
  </si>
  <si>
    <t>3 · Definido</t>
  </si>
  <si>
    <t>4 · Cuantitativo</t>
  </si>
  <si>
    <t>5 · Optimizado</t>
  </si>
  <si>
    <t>Sin registro formal ni categorización. Solución depende de quien atiende.</t>
  </si>
  <si>
    <t>Se registran tickets, pero categorización inconsistente entre agentes.</t>
  </si>
  <si>
    <t>Proceso documentado de registro, triaje y escalamiento N1→N2→N3.</t>
  </si>
  <si>
    <t>Se mide tiempo de resolución por categoría y nivel con metas claras.</t>
  </si>
  <si>
    <t>Clasificación automática con IA, sugerencia de solución antes de escalar.</t>
  </si>
  <si>
    <t>No hay diferencia entre incidente y solicitud. Todo al mismo embudo.</t>
  </si>
  <si>
    <t>Se distingue solicitud de incidente pero flujo completamente manual.</t>
  </si>
  <si>
    <t>Catálogo de solicitudes estándar con tiempos de cumplimiento definidos.</t>
  </si>
  <si>
    <t>Se mide cumplimiento vs SLA por tipo de solicitud con reporte al cliente.</t>
  </si>
  <si>
    <t>Portal de autoservicio N0 resuelve solicitudes frecuentes sin intervención.</t>
  </si>
  <si>
    <t>No se investiga causa raíz. Cada incidente se resuelve aislado.</t>
  </si>
  <si>
    <t>Investigación esporádica, sin proceso formal ni seguimiento.</t>
  </si>
  <si>
    <t>Proceso documentado de análisis de causa raíz para incidentes recurrentes.</t>
  </si>
  <si>
    <t>Se mide reducción de tickets recurrentes tras resolver causa raíz.</t>
  </si>
  <si>
    <t>IA detecta patrones de causa raíz proactivamente antes de acumular tickets.</t>
  </si>
  <si>
    <t>Conocimiento solo en cabeza de personas. Sin documentación.</t>
  </si>
  <si>
    <t>Documentación dispersa (correos, notas). Sin repositorio central.</t>
  </si>
  <si>
    <t>Base de conocimiento (KEDB) estructurada, mantenida y accesible.</t>
  </si>
  <si>
    <t>Se mide uso del KEDB y su impacto en tiempo de resolución.</t>
  </si>
  <si>
    <t>KEDB se alimenta automáticamente con IA y sugiere soluciones en N0/N1.</t>
  </si>
  <si>
    <t>No existe catálogo formal. El alcance se entiende verbalmente.</t>
  </si>
  <si>
    <t>Catálogo básico, desactualizado o incompleto.</t>
  </si>
  <si>
    <t>Catálogo formal y actualizado. El equipo lo usa como referencia real.</t>
  </si>
  <si>
    <t>Se mide uso de cada servicio y se identifica rentabilidad por módulo.</t>
  </si>
  <si>
    <t>Catálogo se ajusta dinámicamente según demanda real y datos de uso.</t>
  </si>
  <si>
    <t>No hay SLA definidos o existen pero nunca se midieron.</t>
  </si>
  <si>
    <t>SLA pactados pero medición manual e inconsistente.</t>
  </si>
  <si>
    <t>SLA documentados, medidos sistemáticamente, reporte periódico al cliente.</t>
  </si>
  <si>
    <t>Se analiza tendencia de cumplimiento y se ajustan metas con datos.</t>
  </si>
  <si>
    <t>Alertas predictivas anticipan incumplimientos de SLA antes de que ocurran.</t>
  </si>
  <si>
    <t>No hay proceso de transición. Cada arranque es una improvisación.</t>
  </si>
  <si>
    <t>Pasos básicos de transición, no documentados ni replicables.</t>
  </si>
  <si>
    <t>Playbook estándar de transición: inducción, docs, acuerdos, KEDB.</t>
  </si>
  <si>
    <t>Se mide tiempo de transición y calidad del arranque (tickets día 1-30).</t>
  </si>
  <si>
    <t>Plantillas inteligentes y checklists automatizados aceleran la transición.</t>
  </si>
  <si>
    <t>No se mide satisfacción. Se asume que todo está bien.</t>
  </si>
  <si>
    <t>Encuestas esporádicas sin proceso sistemático ni seguimiento.</t>
  </si>
  <si>
    <t>CSAT sistemático por ticket o periódico, con seguimiento a resultados.</t>
  </si>
  <si>
    <t>Se correlaciona CSAT con tiempo de resolución, reincidencia y NPS.</t>
  </si>
  <si>
    <t>Experiencia monitoreada en tiempo real. Ajuste proactivo del servicio.</t>
  </si>
  <si>
    <t>Dimensionamiento intuitivo. Sin datos de carga real.</t>
  </si>
  <si>
    <t>Algún criterio inicial que no se revisa con el tiempo.</t>
  </si>
  <si>
    <t>Calculadora o modelo de estimación basado en volumen histórico real.</t>
  </si>
  <si>
    <t>Se mide % de tiempo muerto (GAP) y se ajusta capacidad con datos.</t>
  </si>
  <si>
    <t>Dimensionamiento dinámico según demanda predicha por IA.</t>
  </si>
  <si>
    <t>Herramientas dispersas (correo, Excel, chats). Sin integración.</t>
  </si>
  <si>
    <t>Herramienta de tickets subutilizada (solo registro).</t>
  </si>
  <si>
    <t>Herramienta integrada con flujos de escalamiento y notificación automática.</t>
  </si>
  <si>
    <t>Se mide % de automatización y su impacto en tiempos de resolución.</t>
  </si>
  <si>
    <t>Agentes de IA conectados: clasifican, sugieren y resuelven automáticamente.</t>
  </si>
  <si>
    <t>No hay roles definidos. Cualquiera hace cualquier cosa.</t>
  </si>
  <si>
    <t>Roles informales, sin documentación ni RACI formal.</t>
  </si>
  <si>
    <t>Roles documentados: Coordinador, Líder Técnico, Especialista con RACI.</t>
  </si>
  <si>
    <t>Se mide desempeño por rol y se ajusta el RACI con datos reales.</t>
  </si>
  <si>
    <t>Roles adaptativos según carga: IA sugiere reasignación según demanda.</t>
  </si>
  <si>
    <t>Sin horario definido. El equipo responde cuando puede.</t>
  </si>
  <si>
    <t>Horario informal, no pactado contractualmente con el cliente.</t>
  </si>
  <si>
    <t>Horario definido y pactado (ej. L-V 7:30-5PM). GAP administrativo negociado.</t>
  </si>
  <si>
    <t>Se mide cumplimiento real de la cobertura vs. lo pactado con datos.</t>
  </si>
  <si>
    <t>Cobertura adaptativa: IA maneja N0/N1 fuera de horario para 24x7 efectivo.</t>
  </si>
  <si>
    <t>Sin documentación de sistemas integrados. Conocimiento informal.</t>
  </si>
  <si>
    <t>Lista básica de sistemas, sin arquitectura ni dependencias documentadas.</t>
  </si>
  <si>
    <t>Mapa de integraciones documentado: sistemas, APIs, dependencias y owner.</t>
  </si>
  <si>
    <t>Se mide impacto de incidentes por sistema integrado y se prioriza con datos.</t>
  </si>
  <si>
    <t>Monitoreo predictivo de integraciones: alertas antes de que fallen canales.</t>
  </si>
  <si>
    <t>Clasificador inicial · Mesa de Ayuda vs Mesa de Soporte</t>
  </si>
  <si>
    <t>Aspecto</t>
  </si>
  <si>
    <t>Mesa de Ayuda</t>
  </si>
  <si>
    <t>Mesa de Soporte</t>
  </si>
  <si>
    <t>Nivel de servicio</t>
  </si>
  <si>
    <t>Básico (Nivel 1)</t>
  </si>
  <si>
    <t>Avanzado (Niveles 2 y 3)</t>
  </si>
  <si>
    <t>Tipo de atención</t>
  </si>
  <si>
    <t>Reactiva</t>
  </si>
  <si>
    <t>Reactiva y proactiva</t>
  </si>
  <si>
    <t>Complejidad de casos</t>
  </si>
  <si>
    <t>Baja</t>
  </si>
  <si>
    <t>Media y alta</t>
  </si>
  <si>
    <t>Perfil técnico del equipo</t>
  </si>
  <si>
    <t>Atención al usuario / Junior</t>
  </si>
  <si>
    <t>Técnico especializado / Senior</t>
  </si>
  <si>
    <t>Enfoque principal</t>
  </si>
  <si>
    <t>Usuario final</t>
  </si>
  <si>
    <t>Tecnología y continuidad del servicio</t>
  </si>
  <si>
    <t>Nivel mínimo esperado (madurez)</t>
  </si>
  <si>
    <t>Nivel 2 · Administrado</t>
  </si>
  <si>
    <t>Nivel 3 · Definido</t>
  </si>
  <si>
    <t>¿Incluye causa raíz y análisis técnico?</t>
  </si>
  <si>
    <t>No</t>
  </si>
  <si>
    <t>Sí</t>
  </si>
  <si>
    <t>¿Incluye KPIs de desempeño del equipo?</t>
  </si>
  <si>
    <t>Básicos</t>
  </si>
  <si>
    <t>Completos con tendencias</t>
  </si>
  <si>
    <t>Ejemplo de roles típicos</t>
  </si>
  <si>
    <t>Analista de soporte</t>
  </si>
  <si>
    <t>Coordinador de servicio, Líder técnico, Desarrollador</t>
  </si>
  <si>
    <t>Tipo de mesa evaluada (seleccionar):</t>
  </si>
  <si>
    <t>Modelo de Madurez de Mesas de Servicio</t>
  </si>
  <si>
    <t>PersonalSoft · ITIL v5 · 13 prácticas + dimensión de negocio</t>
  </si>
  <si>
    <t>Cómo usar esta plantilla</t>
  </si>
  <si>
    <t>1. Ve a la hoja &amp;apos;Clasificador&amp;apos; y define si la mesa es de Ayuda o de Soporte.</t>
  </si>
  <si>
    <t>2. Ve a la hoja &amp;apos;Evaluación&amp;apos; y duplica una copia por cada mesa a evaluar (clic derecho → Mover o copiar).</t>
  </si>
  <si>
    <t>3. Diligencia los datos generales de la mesa en la parte superior.</t>
  </si>
  <si>
    <t>4. Para cada una de las 13 prácticas, selecciona el nivel actual (1-5) y el nivel objetivo.</t>
  </si>
  <si>
    <t>5. Escribe en &amp;apos;Evidencia / observación&amp;apos; qué observaste concretamente para asignar ese nivel.</t>
  </si>
  <si>
    <t>6. El nivel global se calcula automáticamente como promedio de las 13 prácticas.</t>
  </si>
  <si>
    <t>7. Consulta la hoja &amp;apos;Rúbrica&amp;apos; para saber exactamente qué significa cada nivel en cada práctica.</t>
  </si>
  <si>
    <t>8. Ve al &amp;apos;Dashboard&amp;apos; para comparar todas las mesas evaluadas en una sola vista.</t>
  </si>
  <si>
    <t>Novedades v2 respecto a la versión anterior</t>
  </si>
  <si>
    <t>• Clasificador inicial: Mesa de Ayuda vs Mesa de Soporte (define el nivel mínimo esperado)</t>
  </si>
  <si>
    <t>• 3 nuevas prácticas: Gobierno de roles (RACI), Disponibilidad/cobertura, Gestión de integraciones</t>
  </si>
  <si>
    <t>• Total: 13 prácticas operativas + dimensión de éxito de negocio</t>
  </si>
  <si>
    <t>• Rúbrica ampliada con descripciones más detalladas por nivel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</si>
</sst>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"/>
    <numFmt numFmtId="165" formatCode="dd/mm/yyyy"/>
  </numFmts>
  <fonts count="17" x14ac:knownFonts="1">
    <font>
      <sz val="11"/>
      <color theme="1"/>
      <name val="Calibri"/>
      <family val="2"/>
      <scheme val="minor"/>
    </font>
    <font>
      <b/>
      <sz val="14"/>
      <color rgb="FF26215c"/>
      <name val="Calibri"/>
      <family val="2"/>
    </font>
    <font>
      <i/>
      <sz val="10"/>
      <color rgb="FF5f5e5a"/>
      <name val="Calibri"/>
      <family val="2"/>
    </font>
    <font>
      <b/>
      <sz val="9"/>
      <color rgb="FFffffff"/>
      <name val="Calibri"/>
      <family val="2"/>
    </font>
    <font>
      <sz val="11"/>
      <color theme="1"/>
      <name val="Calibri"/>
      <family val="2"/>
    </font>
    <font>
      <b/>
      <sz val="11"/>
      <color rgb="FF1d9e75"/>
      <name val="Calibri"/>
      <family val="2"/>
    </font>
    <font>
      <b/>
      <sz val="11"/>
      <color theme="1"/>
      <name val="Calibri"/>
      <family val="2"/>
    </font>
    <font>
      <b/>
      <sz val="11"/>
      <color rgb="FF26215c"/>
      <name val="Calibri"/>
      <family val="2"/>
    </font>
    <font>
      <b/>
      <sz val="14"/>
      <color rgb="FF1d9e75"/>
      <name val="Calibri"/>
      <family val="2"/>
    </font>
    <font>
      <b/>
      <sz val="10"/>
      <color rgb="FFffffff"/>
      <name val="Calibri"/>
      <family val="2"/>
    </font>
    <font>
      <b/>
      <sz val="10"/>
      <color rgb="FF2c2c2a"/>
      <name val="Calibri"/>
      <family val="2"/>
    </font>
    <font>
      <b/>
      <sz val="11"/>
      <color theme="1"/>
      <name val="Calibri"/>
      <family val="2"/>
    </font>
    <font>
      <sz val="9"/>
      <color rgb="FF5f5e5a"/>
      <name val="Calibri"/>
      <family val="2"/>
    </font>
    <font>
      <sz val="10"/>
      <color theme="1"/>
      <name val="Calibri"/>
      <family val="2"/>
    </font>
    <font>
      <b/>
      <sz val="18"/>
      <color rgb="FF26215c"/>
      <name val="Calibri"/>
      <family val="2"/>
    </font>
    <font>
      <sz val="11"/>
      <color theme="1"/>
      <name val="Calibri"/>
      <family val="2"/>
    </font>
    <font>
      <b/>
      <sz val="12"/>
      <color rgb="FF26215c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26215c"/>
      </patternFill>
    </fill>
    <fill>
      <patternFill patternType="solid">
        <fgColor rgb="FFfff8cc"/>
      </patternFill>
    </fill>
    <fill>
      <patternFill patternType="solid">
        <fgColor rgb="FFe1f5ee"/>
      </patternFill>
    </fill>
    <fill>
      <patternFill patternType="solid">
        <fgColor rgb="FFe6f1fb"/>
      </patternFill>
    </fill>
    <fill>
      <patternFill patternType="solid">
        <fgColor rgb="FFeeedfe"/>
      </patternFill>
    </fill>
    <fill>
      <patternFill patternType="solid">
        <fgColor rgb="FFfaeeda"/>
      </patternFill>
    </fill>
    <fill>
      <patternFill patternType="solid">
        <fgColor rgb="FFfaece7"/>
      </patternFill>
    </fill>
    <fill>
      <patternFill patternType="solid">
        <fgColor rgb="FF712b13"/>
      </patternFill>
    </fill>
    <fill>
      <patternFill patternType="solid">
        <fgColor rgb="FF633806"/>
      </patternFill>
    </fill>
    <fill>
      <patternFill patternType="solid">
        <fgColor rgb="FF0c447c"/>
      </patternFill>
    </fill>
    <fill>
      <patternFill patternType="solid">
        <fgColor rgb="FF3c3489"/>
      </patternFill>
    </fill>
    <fill>
      <patternFill patternType="solid">
        <fgColor rgb="FF085041"/>
      </patternFill>
    </fill>
    <fill>
      <patternFill patternType="solid">
        <fgColor rgb="FFf8f7f4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45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0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0" borderId="2" applyBorder="1" fontId="3" applyFont="1" fillId="2" applyFill="1" applyAlignment="1">
      <alignment horizontal="center"/>
    </xf>
    <xf xfId="0" numFmtId="0" borderId="2" applyBorder="1" fontId="4" applyFont="1" fillId="3" applyFill="1" applyAlignment="1">
      <alignment horizontal="left"/>
    </xf>
    <xf xfId="0" numFmtId="0" borderId="2" applyBorder="1" fontId="4" applyFont="1" fillId="3" applyFill="1" applyAlignment="1">
      <alignment horizontal="center"/>
    </xf>
    <xf xfId="0" numFmtId="164" applyNumberFormat="1" borderId="2" applyBorder="1" fontId="5" applyFont="1" fillId="4" applyFill="1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3" applyNumberFormat="1" borderId="1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165" applyNumberFormat="1" borderId="2" applyBorder="1" fontId="4" applyFont="1" fillId="3" applyFill="1" applyAlignment="1">
      <alignment horizontal="left"/>
    </xf>
    <xf xfId="0" numFmtId="3" applyNumberFormat="1" borderId="1" applyBorder="1" fontId="7" applyFont="1" fillId="0" applyAlignment="1">
      <alignment horizontal="left"/>
    </xf>
    <xf xfId="0" numFmtId="0" borderId="1" applyBorder="1" fontId="7" applyFont="1" fillId="0" applyAlignment="1">
      <alignment horizontal="left"/>
    </xf>
    <xf xfId="0" numFmtId="164" applyNumberFormat="1" borderId="2" applyBorder="1" fontId="8" applyFont="1" fillId="4" applyFill="1" applyAlignment="1">
      <alignment horizontal="center"/>
    </xf>
    <xf xfId="0" numFmtId="3" applyNumberFormat="1" borderId="2" applyBorder="1" fontId="9" applyFont="1" fillId="2" applyFill="1" applyAlignment="1">
      <alignment horizontal="center"/>
    </xf>
    <xf xfId="0" numFmtId="0" borderId="2" applyBorder="1" fontId="9" applyFont="1" fillId="2" applyFill="1" applyAlignment="1">
      <alignment horizontal="center"/>
    </xf>
    <xf xfId="0" numFmtId="3" applyNumberFormat="1" borderId="2" applyBorder="1" fontId="4" applyFont="1" fillId="0" applyAlignment="1">
      <alignment horizontal="center"/>
    </xf>
    <xf xfId="0" numFmtId="0" borderId="2" applyBorder="1" fontId="10" applyFont="1" fillId="4" applyFill="1" applyAlignment="1">
      <alignment horizontal="left"/>
    </xf>
    <xf xfId="0" numFmtId="0" borderId="2" applyBorder="1" fontId="11" applyFont="1" fillId="0" applyAlignment="1">
      <alignment horizontal="center"/>
    </xf>
    <xf xfId="0" numFmtId="0" borderId="2" applyBorder="1" fontId="4" applyFont="1" fillId="0" applyAlignment="1">
      <alignment horizontal="left"/>
    </xf>
    <xf xfId="0" numFmtId="0" borderId="2" applyBorder="1" fontId="12" applyFont="1" fillId="0" applyAlignment="1">
      <alignment horizontal="left"/>
    </xf>
    <xf xfId="0" numFmtId="0" borderId="2" applyBorder="1" fontId="10" applyFont="1" fillId="5" applyFill="1" applyAlignment="1">
      <alignment horizontal="left"/>
    </xf>
    <xf xfId="0" numFmtId="0" borderId="2" applyBorder="1" fontId="10" applyFont="1" fillId="6" applyFill="1" applyAlignment="1">
      <alignment horizontal="left"/>
    </xf>
    <xf xfId="0" numFmtId="0" borderId="2" applyBorder="1" fontId="10" applyFont="1" fillId="7" applyFill="1" applyAlignment="1">
      <alignment horizontal="left"/>
    </xf>
    <xf xfId="0" numFmtId="0" borderId="2" applyBorder="1" fontId="10" applyFont="1" fillId="8" applyFill="1" applyAlignment="1">
      <alignment horizontal="lef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0" borderId="2" applyBorder="1" fontId="9" applyFont="1" fillId="9" applyFill="1" applyAlignment="1">
      <alignment horizontal="center"/>
    </xf>
    <xf xfId="0" numFmtId="0" borderId="2" applyBorder="1" fontId="9" applyFont="1" fillId="10" applyFill="1" applyAlignment="1">
      <alignment horizontal="center"/>
    </xf>
    <xf xfId="0" numFmtId="0" borderId="2" applyBorder="1" fontId="9" applyFont="1" fillId="11" applyFill="1" applyAlignment="1">
      <alignment horizontal="center"/>
    </xf>
    <xf xfId="0" numFmtId="0" borderId="2" applyBorder="1" fontId="9" applyFont="1" fillId="12" applyFill="1" applyAlignment="1">
      <alignment horizontal="center"/>
    </xf>
    <xf xfId="0" numFmtId="0" borderId="2" applyBorder="1" fontId="9" applyFont="1" fillId="13" applyFill="1" applyAlignment="1">
      <alignment horizontal="center"/>
    </xf>
    <xf xfId="0" numFmtId="0" borderId="2" applyBorder="1" fontId="13" applyFont="1" fillId="0" applyAlignment="1">
      <alignment horizontal="left"/>
    </xf>
    <xf xfId="0" numFmtId="0" borderId="2" applyBorder="1" fontId="13" applyFont="1" fillId="14" applyFill="1" applyAlignment="1">
      <alignment horizontal="left"/>
    </xf>
    <xf xfId="0" numFmtId="0" borderId="2" applyBorder="1" fontId="13" applyFont="1" fillId="15" applyFill="1" applyAlignment="1">
      <alignment horizontal="left"/>
    </xf>
    <xf xfId="0" numFmtId="0" borderId="1" applyBorder="1" fontId="11" applyFont="1" fillId="0" applyAlignment="1">
      <alignment horizontal="left"/>
    </xf>
    <xf xfId="0" numFmtId="0" borderId="1" applyBorder="1" fontId="14" applyFont="1" fillId="0" applyAlignment="1">
      <alignment horizontal="left"/>
    </xf>
    <xf xfId="0" numFmtId="0" borderId="1" applyBorder="1" fontId="15" applyFont="1" fillId="0" applyAlignment="1">
      <alignment horizontal="left"/>
    </xf>
    <xf xfId="0" numFmtId="0" borderId="1" applyBorder="1" fontId="16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sharedStrings.xml" Type="http://schemas.openxmlformats.org/officeDocument/2006/relationships/sharedStrings" Id="rId6"/><Relationship Target="styles.xml" Type="http://schemas.openxmlformats.org/officeDocument/2006/relationships/styles" Id="rId7"/><Relationship Target="theme/theme1.xml" Type="http://schemas.openxmlformats.org/officeDocument/2006/relationships/theme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22"/>
  <sheetViews>
    <sheetView workbookViewId="0" tabSelected="1"/>
  </sheetViews>
  <sheetFormatPr defaultRowHeight="15" x14ac:dyDescent="0.25"/>
  <cols>
    <col min="1" max="1" style="9" width="3.005" customWidth="1" bestFit="1"/>
    <col min="2" max="2" style="9" width="100.005" customWidth="1" bestFit="1"/>
  </cols>
  <sheetData>
    <row x14ac:dyDescent="0.25" r="1" customHeight="1" ht="18.75">
      <c r="A1" s="1"/>
      <c r="B1" s="1"/>
    </row>
    <row x14ac:dyDescent="0.25" r="2" customHeight="1" ht="27.75">
      <c r="A2" s="1"/>
      <c r="B2" s="42" t="s">
        <v>156</v>
      </c>
    </row>
    <row x14ac:dyDescent="0.25" r="3" customHeight="1" ht="18.75">
      <c r="A3" s="1"/>
      <c r="B3" s="4" t="s">
        <v>157</v>
      </c>
    </row>
    <row x14ac:dyDescent="0.25" r="4" customHeight="1" ht="18.75">
      <c r="A4" s="1"/>
      <c r="B4" s="1"/>
    </row>
    <row x14ac:dyDescent="0.25" r="5" customHeight="1" ht="18.75">
      <c r="A5" s="1"/>
      <c r="B5" s="43"/>
    </row>
    <row x14ac:dyDescent="0.25" r="6" customHeight="1" ht="20.25">
      <c r="A6" s="1"/>
      <c r="B6" s="44" t="s">
        <v>158</v>
      </c>
    </row>
    <row x14ac:dyDescent="0.25" r="7" customHeight="1" ht="18.75">
      <c r="A7" s="1"/>
      <c r="B7" s="43"/>
    </row>
    <row x14ac:dyDescent="0.25" r="8" customHeight="1" ht="18.75">
      <c r="A8" s="1"/>
      <c r="B8" s="43" t="s">
        <v>159</v>
      </c>
    </row>
    <row x14ac:dyDescent="0.25" r="9" customHeight="1" ht="18.75">
      <c r="A9" s="1"/>
      <c r="B9" s="43" t="s">
        <v>160</v>
      </c>
    </row>
    <row x14ac:dyDescent="0.25" r="10" customHeight="1" ht="18.75">
      <c r="A10" s="1"/>
      <c r="B10" s="43" t="s">
        <v>161</v>
      </c>
    </row>
    <row x14ac:dyDescent="0.25" r="11" customHeight="1" ht="18.75">
      <c r="A11" s="1"/>
      <c r="B11" s="43" t="s">
        <v>162</v>
      </c>
    </row>
    <row x14ac:dyDescent="0.25" r="12" customHeight="1" ht="18.75">
      <c r="A12" s="1"/>
      <c r="B12" s="43" t="s">
        <v>163</v>
      </c>
    </row>
    <row x14ac:dyDescent="0.25" r="13" customHeight="1" ht="18.75">
      <c r="A13" s="1"/>
      <c r="B13" s="43" t="s">
        <v>164</v>
      </c>
    </row>
    <row x14ac:dyDescent="0.25" r="14" customHeight="1" ht="18.75">
      <c r="A14" s="1"/>
      <c r="B14" s="43" t="s">
        <v>165</v>
      </c>
    </row>
    <row x14ac:dyDescent="0.25" r="15" customHeight="1" ht="18.75">
      <c r="A15" s="1"/>
      <c r="B15" s="43" t="s">
        <v>166</v>
      </c>
    </row>
    <row x14ac:dyDescent="0.25" r="16" customHeight="1" ht="18.75">
      <c r="A16" s="1"/>
      <c r="B16" s="43"/>
    </row>
    <row x14ac:dyDescent="0.25" r="17" customHeight="1" ht="18.75">
      <c r="A17" s="1"/>
      <c r="B17" s="44" t="s">
        <v>167</v>
      </c>
    </row>
    <row x14ac:dyDescent="0.25" r="18" customHeight="1" ht="18.75">
      <c r="A18" s="1"/>
      <c r="B18" s="43"/>
    </row>
    <row x14ac:dyDescent="0.25" r="19" customHeight="1" ht="18.75">
      <c r="A19" s="1"/>
      <c r="B19" s="43" t="s">
        <v>168</v>
      </c>
    </row>
    <row x14ac:dyDescent="0.25" r="20" customHeight="1" ht="18.75">
      <c r="A20" s="1"/>
      <c r="B20" s="43" t="s">
        <v>169</v>
      </c>
    </row>
    <row x14ac:dyDescent="0.25" r="21" customHeight="1" ht="18.75">
      <c r="A21" s="1"/>
      <c r="B21" s="43" t="s">
        <v>170</v>
      </c>
    </row>
    <row x14ac:dyDescent="0.25" r="22" customHeight="1" ht="18.75">
      <c r="A22" s="1"/>
      <c r="B22" s="43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15"/>
  <sheetViews>
    <sheetView workbookViewId="0"/>
  </sheetViews>
  <sheetFormatPr defaultRowHeight="15" x14ac:dyDescent="0.25"/>
  <cols>
    <col min="1" max="1" style="9" width="3.005" customWidth="1" bestFit="1"/>
    <col min="2" max="2" style="9" width="30.005" customWidth="1" bestFit="1"/>
    <col min="3" max="3" style="10" width="50.005" customWidth="1" bestFit="1"/>
    <col min="4" max="4" style="9" width="30.005" customWidth="1" bestFit="1"/>
  </cols>
  <sheetData>
    <row x14ac:dyDescent="0.25" r="1" customHeight="1" ht="18.75">
      <c r="A1" s="1"/>
      <c r="B1" s="1"/>
      <c r="C1" s="2"/>
      <c r="D1" s="1"/>
    </row>
    <row x14ac:dyDescent="0.25" r="2" customHeight="1" ht="18.75">
      <c r="A2" s="1"/>
      <c r="B2" s="3" t="s">
        <v>124</v>
      </c>
      <c r="C2" s="3"/>
      <c r="D2" s="3"/>
    </row>
    <row x14ac:dyDescent="0.25" r="3" customHeight="1" ht="18.75">
      <c r="A3" s="1"/>
      <c r="B3" s="1"/>
      <c r="C3" s="2"/>
      <c r="D3" s="1"/>
    </row>
    <row x14ac:dyDescent="0.25" r="4" customHeight="1" ht="18.75">
      <c r="A4" s="1"/>
      <c r="B4" s="21" t="s">
        <v>125</v>
      </c>
      <c r="C4" s="21" t="s">
        <v>126</v>
      </c>
      <c r="D4" s="21" t="s">
        <v>127</v>
      </c>
    </row>
    <row x14ac:dyDescent="0.25" r="5" customHeight="1" ht="18.75">
      <c r="A5" s="1"/>
      <c r="B5" s="39" t="s">
        <v>128</v>
      </c>
      <c r="C5" s="39" t="s">
        <v>129</v>
      </c>
      <c r="D5" s="39" t="s">
        <v>130</v>
      </c>
    </row>
    <row x14ac:dyDescent="0.25" r="6" customHeight="1" ht="18.75">
      <c r="A6" s="1"/>
      <c r="B6" s="40" t="s">
        <v>131</v>
      </c>
      <c r="C6" s="40" t="s">
        <v>132</v>
      </c>
      <c r="D6" s="40" t="s">
        <v>133</v>
      </c>
    </row>
    <row x14ac:dyDescent="0.25" r="7" customHeight="1" ht="18.75">
      <c r="A7" s="1"/>
      <c r="B7" s="39" t="s">
        <v>134</v>
      </c>
      <c r="C7" s="39" t="s">
        <v>135</v>
      </c>
      <c r="D7" s="39" t="s">
        <v>136</v>
      </c>
    </row>
    <row x14ac:dyDescent="0.25" r="8" customHeight="1" ht="18.75">
      <c r="A8" s="1"/>
      <c r="B8" s="40" t="s">
        <v>137</v>
      </c>
      <c r="C8" s="40" t="s">
        <v>138</v>
      </c>
      <c r="D8" s="40" t="s">
        <v>139</v>
      </c>
    </row>
    <row x14ac:dyDescent="0.25" r="9" customHeight="1" ht="18.75">
      <c r="A9" s="1"/>
      <c r="B9" s="39" t="s">
        <v>140</v>
      </c>
      <c r="C9" s="39" t="s">
        <v>141</v>
      </c>
      <c r="D9" s="39" t="s">
        <v>142</v>
      </c>
    </row>
    <row x14ac:dyDescent="0.25" r="10" customHeight="1" ht="18.75">
      <c r="A10" s="1"/>
      <c r="B10" s="40" t="s">
        <v>143</v>
      </c>
      <c r="C10" s="40" t="s">
        <v>144</v>
      </c>
      <c r="D10" s="40" t="s">
        <v>145</v>
      </c>
    </row>
    <row x14ac:dyDescent="0.25" r="11" customHeight="1" ht="18.75">
      <c r="A11" s="1"/>
      <c r="B11" s="39" t="s">
        <v>146</v>
      </c>
      <c r="C11" s="39" t="s">
        <v>147</v>
      </c>
      <c r="D11" s="39" t="s">
        <v>148</v>
      </c>
    </row>
    <row x14ac:dyDescent="0.25" r="12" customHeight="1" ht="18.75">
      <c r="A12" s="1"/>
      <c r="B12" s="40" t="s">
        <v>149</v>
      </c>
      <c r="C12" s="40" t="s">
        <v>150</v>
      </c>
      <c r="D12" s="40" t="s">
        <v>151</v>
      </c>
    </row>
    <row x14ac:dyDescent="0.25" r="13" customHeight="1" ht="18.75">
      <c r="A13" s="1"/>
      <c r="B13" s="39" t="s">
        <v>152</v>
      </c>
      <c r="C13" s="39" t="s">
        <v>153</v>
      </c>
      <c r="D13" s="39" t="s">
        <v>154</v>
      </c>
    </row>
    <row x14ac:dyDescent="0.25" r="14" customHeight="1" ht="18.75">
      <c r="A14" s="1"/>
      <c r="B14" s="1"/>
      <c r="C14" s="2"/>
      <c r="D14" s="1"/>
    </row>
    <row x14ac:dyDescent="0.25" r="15" customHeight="1" ht="18.75">
      <c r="A15" s="1"/>
      <c r="B15" s="41" t="s">
        <v>155</v>
      </c>
      <c r="C15" s="7"/>
      <c r="D15" s="1"/>
    </row>
  </sheetData>
  <mergeCells count="1">
    <mergeCell ref="B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7"/>
  <sheetViews>
    <sheetView workbookViewId="0">
      <pane state="frozen" activePane="bottomLeft" topLeftCell="A5" ySplit="4" xSplit="0"/>
    </sheetView>
  </sheetViews>
  <sheetFormatPr defaultRowHeight="15" x14ac:dyDescent="0.25"/>
  <cols>
    <col min="1" max="1" style="9" width="3.005" customWidth="1" bestFit="1"/>
    <col min="2" max="2" style="31" width="4.005" customWidth="1" bestFit="1"/>
    <col min="3" max="3" style="32" width="32.005" customWidth="1" bestFit="1"/>
    <col min="4" max="4" style="32" width="18.005" customWidth="1" bestFit="1"/>
    <col min="5" max="5" style="32" width="30.005" customWidth="1" bestFit="1"/>
    <col min="6" max="6" style="32" width="30.005" customWidth="1" bestFit="1"/>
    <col min="7" max="7" style="32" width="30.005" customWidth="1" bestFit="1"/>
    <col min="8" max="8" style="32" width="30.005" customWidth="1" bestFit="1"/>
    <col min="9" max="9" style="32" width="30.005" customWidth="1" bestFit="1"/>
  </cols>
  <sheetData>
    <row x14ac:dyDescent="0.25" r="1" customHeight="1" ht="18.75">
      <c r="A1" s="1"/>
      <c r="B1" s="11"/>
      <c r="C1" s="12"/>
      <c r="D1" s="12"/>
      <c r="E1" s="12"/>
      <c r="F1" s="12"/>
      <c r="G1" s="12"/>
      <c r="H1" s="12"/>
      <c r="I1" s="12"/>
    </row>
    <row x14ac:dyDescent="0.25" r="2" customHeight="1" ht="18.75">
      <c r="A2" s="1"/>
      <c r="B2" s="13" t="s">
        <v>52</v>
      </c>
      <c r="C2" s="3"/>
      <c r="D2" s="3"/>
      <c r="E2" s="3"/>
      <c r="F2" s="3"/>
      <c r="G2" s="3"/>
      <c r="H2" s="3"/>
      <c r="I2" s="3"/>
    </row>
    <row x14ac:dyDescent="0.25" r="3" customHeight="1" ht="18.75">
      <c r="A3" s="1"/>
      <c r="B3" s="11"/>
      <c r="C3" s="12"/>
      <c r="D3" s="12"/>
      <c r="E3" s="12"/>
      <c r="F3" s="12"/>
      <c r="G3" s="12"/>
      <c r="H3" s="12"/>
      <c r="I3" s="12"/>
    </row>
    <row x14ac:dyDescent="0.25" r="4" customHeight="1" ht="18.75">
      <c r="A4" s="1"/>
      <c r="B4" s="20" t="s">
        <v>26</v>
      </c>
      <c r="C4" s="21" t="s">
        <v>27</v>
      </c>
      <c r="D4" s="21" t="s">
        <v>53</v>
      </c>
      <c r="E4" s="33" t="s">
        <v>54</v>
      </c>
      <c r="F4" s="34" t="s">
        <v>55</v>
      </c>
      <c r="G4" s="35" t="s">
        <v>56</v>
      </c>
      <c r="H4" s="36" t="s">
        <v>57</v>
      </c>
      <c r="I4" s="37" t="s">
        <v>58</v>
      </c>
    </row>
    <row x14ac:dyDescent="0.25" r="5" customHeight="1" ht="18.75">
      <c r="A5" s="1"/>
      <c r="B5" s="22">
        <v>1</v>
      </c>
      <c r="C5" s="23" t="s">
        <v>34</v>
      </c>
      <c r="D5" s="26" t="s">
        <v>35</v>
      </c>
      <c r="E5" s="38" t="s">
        <v>59</v>
      </c>
      <c r="F5" s="38" t="s">
        <v>60</v>
      </c>
      <c r="G5" s="38" t="s">
        <v>61</v>
      </c>
      <c r="H5" s="38" t="s">
        <v>62</v>
      </c>
      <c r="I5" s="38" t="s">
        <v>63</v>
      </c>
    </row>
    <row x14ac:dyDescent="0.25" r="6" customHeight="1" ht="18.75">
      <c r="A6" s="1"/>
      <c r="B6" s="22">
        <v>2</v>
      </c>
      <c r="C6" s="23" t="s">
        <v>36</v>
      </c>
      <c r="D6" s="26" t="s">
        <v>35</v>
      </c>
      <c r="E6" s="38" t="s">
        <v>64</v>
      </c>
      <c r="F6" s="38" t="s">
        <v>65</v>
      </c>
      <c r="G6" s="38" t="s">
        <v>66</v>
      </c>
      <c r="H6" s="38" t="s">
        <v>67</v>
      </c>
      <c r="I6" s="38" t="s">
        <v>68</v>
      </c>
    </row>
    <row x14ac:dyDescent="0.25" r="7" customHeight="1" ht="18.75">
      <c r="A7" s="1"/>
      <c r="B7" s="22">
        <v>3</v>
      </c>
      <c r="C7" s="23" t="s">
        <v>37</v>
      </c>
      <c r="D7" s="26" t="s">
        <v>35</v>
      </c>
      <c r="E7" s="38" t="s">
        <v>69</v>
      </c>
      <c r="F7" s="38" t="s">
        <v>70</v>
      </c>
      <c r="G7" s="38" t="s">
        <v>71</v>
      </c>
      <c r="H7" s="38" t="s">
        <v>72</v>
      </c>
      <c r="I7" s="38" t="s">
        <v>73</v>
      </c>
    </row>
    <row x14ac:dyDescent="0.25" r="8" customHeight="1" ht="18.75">
      <c r="A8" s="1"/>
      <c r="B8" s="22">
        <v>4</v>
      </c>
      <c r="C8" s="23" t="s">
        <v>38</v>
      </c>
      <c r="D8" s="26" t="s">
        <v>35</v>
      </c>
      <c r="E8" s="38" t="s">
        <v>74</v>
      </c>
      <c r="F8" s="38" t="s">
        <v>75</v>
      </c>
      <c r="G8" s="38" t="s">
        <v>76</v>
      </c>
      <c r="H8" s="38" t="s">
        <v>77</v>
      </c>
      <c r="I8" s="38" t="s">
        <v>78</v>
      </c>
    </row>
    <row x14ac:dyDescent="0.25" r="9" customHeight="1" ht="18.75">
      <c r="A9" s="1"/>
      <c r="B9" s="22">
        <v>5</v>
      </c>
      <c r="C9" s="27" t="s">
        <v>39</v>
      </c>
      <c r="D9" s="26" t="s">
        <v>40</v>
      </c>
      <c r="E9" s="38" t="s">
        <v>79</v>
      </c>
      <c r="F9" s="38" t="s">
        <v>80</v>
      </c>
      <c r="G9" s="38" t="s">
        <v>81</v>
      </c>
      <c r="H9" s="38" t="s">
        <v>82</v>
      </c>
      <c r="I9" s="38" t="s">
        <v>83</v>
      </c>
    </row>
    <row x14ac:dyDescent="0.25" r="10" customHeight="1" ht="18.75">
      <c r="A10" s="1"/>
      <c r="B10" s="22">
        <v>6</v>
      </c>
      <c r="C10" s="27" t="s">
        <v>41</v>
      </c>
      <c r="D10" s="26" t="s">
        <v>40</v>
      </c>
      <c r="E10" s="38" t="s">
        <v>84</v>
      </c>
      <c r="F10" s="38" t="s">
        <v>85</v>
      </c>
      <c r="G10" s="38" t="s">
        <v>86</v>
      </c>
      <c r="H10" s="38" t="s">
        <v>87</v>
      </c>
      <c r="I10" s="38" t="s">
        <v>88</v>
      </c>
    </row>
    <row x14ac:dyDescent="0.25" r="11" customHeight="1" ht="18.75">
      <c r="A11" s="1"/>
      <c r="B11" s="22">
        <v>7</v>
      </c>
      <c r="C11" s="27" t="s">
        <v>42</v>
      </c>
      <c r="D11" s="26" t="s">
        <v>40</v>
      </c>
      <c r="E11" s="38" t="s">
        <v>89</v>
      </c>
      <c r="F11" s="38" t="s">
        <v>90</v>
      </c>
      <c r="G11" s="38" t="s">
        <v>91</v>
      </c>
      <c r="H11" s="38" t="s">
        <v>92</v>
      </c>
      <c r="I11" s="38" t="s">
        <v>93</v>
      </c>
    </row>
    <row x14ac:dyDescent="0.25" r="12" customHeight="1" ht="18.75">
      <c r="A12" s="1"/>
      <c r="B12" s="22">
        <v>8</v>
      </c>
      <c r="C12" s="28" t="s">
        <v>43</v>
      </c>
      <c r="D12" s="26" t="s">
        <v>44</v>
      </c>
      <c r="E12" s="38" t="s">
        <v>94</v>
      </c>
      <c r="F12" s="38" t="s">
        <v>95</v>
      </c>
      <c r="G12" s="38" t="s">
        <v>96</v>
      </c>
      <c r="H12" s="38" t="s">
        <v>97</v>
      </c>
      <c r="I12" s="38" t="s">
        <v>98</v>
      </c>
    </row>
    <row x14ac:dyDescent="0.25" r="13" customHeight="1" ht="18.75">
      <c r="A13" s="1"/>
      <c r="B13" s="22">
        <v>9</v>
      </c>
      <c r="C13" s="29" t="s">
        <v>45</v>
      </c>
      <c r="D13" s="26" t="s">
        <v>46</v>
      </c>
      <c r="E13" s="38" t="s">
        <v>99</v>
      </c>
      <c r="F13" s="38" t="s">
        <v>100</v>
      </c>
      <c r="G13" s="38" t="s">
        <v>101</v>
      </c>
      <c r="H13" s="38" t="s">
        <v>102</v>
      </c>
      <c r="I13" s="38" t="s">
        <v>103</v>
      </c>
    </row>
    <row x14ac:dyDescent="0.25" r="14" customHeight="1" ht="18.75">
      <c r="A14" s="1"/>
      <c r="B14" s="22">
        <v>10</v>
      </c>
      <c r="C14" s="29" t="s">
        <v>47</v>
      </c>
      <c r="D14" s="26" t="s">
        <v>46</v>
      </c>
      <c r="E14" s="38" t="s">
        <v>104</v>
      </c>
      <c r="F14" s="38" t="s">
        <v>105</v>
      </c>
      <c r="G14" s="38" t="s">
        <v>106</v>
      </c>
      <c r="H14" s="38" t="s">
        <v>107</v>
      </c>
      <c r="I14" s="38" t="s">
        <v>108</v>
      </c>
    </row>
    <row x14ac:dyDescent="0.25" r="15" customHeight="1" ht="18.75">
      <c r="A15" s="1"/>
      <c r="B15" s="22">
        <v>11</v>
      </c>
      <c r="C15" s="30" t="s">
        <v>48</v>
      </c>
      <c r="D15" s="26" t="s">
        <v>49</v>
      </c>
      <c r="E15" s="38" t="s">
        <v>109</v>
      </c>
      <c r="F15" s="38" t="s">
        <v>110</v>
      </c>
      <c r="G15" s="38" t="s">
        <v>111</v>
      </c>
      <c r="H15" s="38" t="s">
        <v>112</v>
      </c>
      <c r="I15" s="38" t="s">
        <v>113</v>
      </c>
    </row>
    <row x14ac:dyDescent="0.25" r="16" customHeight="1" ht="18.75">
      <c r="A16" s="1"/>
      <c r="B16" s="22">
        <v>12</v>
      </c>
      <c r="C16" s="30" t="s">
        <v>50</v>
      </c>
      <c r="D16" s="26" t="s">
        <v>49</v>
      </c>
      <c r="E16" s="38" t="s">
        <v>114</v>
      </c>
      <c r="F16" s="38" t="s">
        <v>115</v>
      </c>
      <c r="G16" s="38" t="s">
        <v>116</v>
      </c>
      <c r="H16" s="38" t="s">
        <v>117</v>
      </c>
      <c r="I16" s="38" t="s">
        <v>118</v>
      </c>
    </row>
    <row x14ac:dyDescent="0.25" r="17" customHeight="1" ht="18.75">
      <c r="A17" s="1"/>
      <c r="B17" s="22">
        <v>13</v>
      </c>
      <c r="C17" s="30" t="s">
        <v>51</v>
      </c>
      <c r="D17" s="26" t="s">
        <v>49</v>
      </c>
      <c r="E17" s="38" t="s">
        <v>119</v>
      </c>
      <c r="F17" s="38" t="s">
        <v>120</v>
      </c>
      <c r="G17" s="38" t="s">
        <v>121</v>
      </c>
      <c r="H17" s="38" t="s">
        <v>122</v>
      </c>
      <c r="I17" s="38" t="s">
        <v>123</v>
      </c>
    </row>
  </sheetData>
  <mergeCells count="1">
    <mergeCell ref="B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27"/>
  <sheetViews>
    <sheetView workbookViewId="0">
      <pane state="frozen" activePane="bottomLeft" topLeftCell="A14" ySplit="13" xSplit="0"/>
    </sheetView>
  </sheetViews>
  <sheetFormatPr defaultRowHeight="15" x14ac:dyDescent="0.25"/>
  <cols>
    <col min="1" max="1" style="9" width="3.005" customWidth="1" bestFit="1"/>
    <col min="2" max="2" style="31" width="4.005" customWidth="1" bestFit="1"/>
    <col min="3" max="3" style="32" width="34.005" customWidth="1" bestFit="1"/>
    <col min="4" max="4" style="10" width="18.005" customWidth="1" bestFit="1"/>
    <col min="5" max="5" style="10" width="16.005" customWidth="1" bestFit="1"/>
    <col min="6" max="6" style="10" width="16.005" customWidth="1" bestFit="1"/>
    <col min="7" max="7" style="32" width="8.005" customWidth="1" bestFit="1"/>
    <col min="8" max="8" style="32" width="44.005" customWidth="1" bestFit="1"/>
    <col min="9" max="9" style="9" width="22.005" customWidth="1" bestFit="1"/>
  </cols>
  <sheetData>
    <row x14ac:dyDescent="0.25" r="1" customHeight="1" ht="18.75">
      <c r="A1" s="1"/>
      <c r="B1" s="11"/>
      <c r="C1" s="12"/>
      <c r="D1" s="2"/>
      <c r="E1" s="2"/>
      <c r="F1" s="2"/>
      <c r="G1" s="12"/>
      <c r="H1" s="12"/>
      <c r="I1" s="1"/>
    </row>
    <row x14ac:dyDescent="0.25" r="2" customHeight="1" ht="18.75">
      <c r="A2" s="1"/>
      <c r="B2" s="13" t="s">
        <v>19</v>
      </c>
      <c r="C2" s="3"/>
      <c r="D2" s="3"/>
      <c r="E2" s="3"/>
      <c r="F2" s="3"/>
      <c r="G2" s="3"/>
      <c r="H2" s="3"/>
      <c r="I2" s="3"/>
    </row>
    <row x14ac:dyDescent="0.25" r="3" customHeight="1" ht="18.75">
      <c r="A3" s="1"/>
      <c r="B3" s="11"/>
      <c r="C3" s="12"/>
      <c r="D3" s="2"/>
      <c r="E3" s="2"/>
      <c r="F3" s="2"/>
      <c r="G3" s="12"/>
      <c r="H3" s="12"/>
      <c r="I3" s="1"/>
    </row>
    <row x14ac:dyDescent="0.25" r="4" customHeight="1" ht="18.75">
      <c r="A4" s="1"/>
      <c r="B4" s="14" t="s">
        <v>20</v>
      </c>
      <c r="C4" s="15"/>
      <c r="D4" s="6"/>
      <c r="E4" s="6"/>
      <c r="F4" s="2"/>
      <c r="G4" s="12"/>
      <c r="H4" s="12"/>
      <c r="I4" s="1"/>
    </row>
    <row x14ac:dyDescent="0.25" r="5" customHeight="1" ht="18.75">
      <c r="A5" s="1"/>
      <c r="B5" s="14" t="s">
        <v>21</v>
      </c>
      <c r="C5" s="15"/>
      <c r="D5" s="6"/>
      <c r="E5" s="6"/>
      <c r="F5" s="2"/>
      <c r="G5" s="12"/>
      <c r="H5" s="12"/>
      <c r="I5" s="1"/>
    </row>
    <row x14ac:dyDescent="0.25" r="6" customHeight="1" ht="18.75">
      <c r="A6" s="1"/>
      <c r="B6" s="14" t="s">
        <v>22</v>
      </c>
      <c r="C6" s="15"/>
      <c r="D6" s="6"/>
      <c r="E6" s="6"/>
      <c r="F6" s="2"/>
      <c r="G6" s="12"/>
      <c r="H6" s="12"/>
      <c r="I6" s="1"/>
    </row>
    <row x14ac:dyDescent="0.25" r="7" customHeight="1" ht="18.75">
      <c r="A7" s="1"/>
      <c r="B7" s="14" t="s">
        <v>23</v>
      </c>
      <c r="C7" s="15"/>
      <c r="D7" s="16"/>
      <c r="E7" s="16"/>
      <c r="F7" s="2"/>
      <c r="G7" s="12"/>
      <c r="H7" s="12"/>
      <c r="I7" s="1"/>
    </row>
    <row x14ac:dyDescent="0.25" r="8" customHeight="1" ht="18.75">
      <c r="A8" s="1"/>
      <c r="B8" s="14" t="s">
        <v>24</v>
      </c>
      <c r="C8" s="15"/>
      <c r="D8" s="6"/>
      <c r="E8" s="6"/>
      <c r="F8" s="2"/>
      <c r="G8" s="12"/>
      <c r="H8" s="12"/>
      <c r="I8" s="1"/>
    </row>
    <row x14ac:dyDescent="0.25" r="9" customHeight="1" ht="18.75">
      <c r="A9" s="1"/>
      <c r="B9" s="11"/>
      <c r="C9" s="12"/>
      <c r="D9" s="2"/>
      <c r="E9" s="2"/>
      <c r="F9" s="2"/>
      <c r="G9" s="12"/>
      <c r="H9" s="12"/>
      <c r="I9" s="1"/>
    </row>
    <row x14ac:dyDescent="0.25" r="10" customHeight="1" ht="18.75">
      <c r="A10" s="1"/>
      <c r="B10" s="17" t="s">
        <v>25</v>
      </c>
      <c r="C10" s="18"/>
      <c r="D10" s="18"/>
      <c r="E10" s="18"/>
      <c r="F10" s="19">
        <f>IFERROR(AVERAGE(E15:E27),"")</f>
      </c>
      <c r="G10" s="12"/>
      <c r="H10" s="12"/>
      <c r="I10" s="1"/>
    </row>
    <row x14ac:dyDescent="0.25" r="11" customHeight="1" ht="18.75">
      <c r="A11" s="1"/>
      <c r="B11" s="11"/>
      <c r="C11" s="12"/>
      <c r="D11" s="2"/>
      <c r="E11" s="2"/>
      <c r="F11" s="2"/>
      <c r="G11" s="12"/>
      <c r="H11" s="12"/>
      <c r="I11" s="1"/>
    </row>
    <row x14ac:dyDescent="0.25" r="12" customHeight="1" ht="18.75">
      <c r="A12" s="1"/>
      <c r="B12" s="11"/>
      <c r="C12" s="12"/>
      <c r="D12" s="2"/>
      <c r="E12" s="2"/>
      <c r="F12" s="2"/>
      <c r="G12" s="12"/>
      <c r="H12" s="12"/>
      <c r="I12" s="1"/>
    </row>
    <row x14ac:dyDescent="0.25" r="13" customHeight="1" ht="18.75">
      <c r="A13" s="1"/>
      <c r="B13" s="20" t="s">
        <v>26</v>
      </c>
      <c r="C13" s="21" t="s">
        <v>27</v>
      </c>
      <c r="D13" s="21" t="s">
        <v>28</v>
      </c>
      <c r="E13" s="21" t="s">
        <v>29</v>
      </c>
      <c r="F13" s="21" t="s">
        <v>30</v>
      </c>
      <c r="G13" s="21" t="s">
        <v>31</v>
      </c>
      <c r="H13" s="21" t="s">
        <v>32</v>
      </c>
      <c r="I13" s="21" t="s">
        <v>33</v>
      </c>
    </row>
    <row x14ac:dyDescent="0.25" r="14" customHeight="1" ht="18.75">
      <c r="A14" s="1"/>
      <c r="B14" s="11"/>
      <c r="C14" s="12"/>
      <c r="D14" s="2"/>
      <c r="E14" s="2"/>
      <c r="F14" s="2"/>
      <c r="G14" s="12"/>
      <c r="H14" s="12"/>
      <c r="I14" s="1"/>
    </row>
    <row x14ac:dyDescent="0.25" r="15" customHeight="1" ht="18.75">
      <c r="A15" s="1"/>
      <c r="B15" s="22">
        <v>1</v>
      </c>
      <c r="C15" s="23" t="s">
        <v>34</v>
      </c>
      <c r="D15" s="7"/>
      <c r="E15" s="7"/>
      <c r="F15" s="24">
        <f>IF(AND(D15&lt;&gt;"",E15&lt;&gt;""),E15-D15,"")</f>
      </c>
      <c r="G15" s="25"/>
      <c r="H15" s="26" t="s">
        <v>35</v>
      </c>
      <c r="I15" s="1"/>
    </row>
    <row x14ac:dyDescent="0.25" r="16" customHeight="1" ht="18.75">
      <c r="A16" s="1"/>
      <c r="B16" s="22">
        <v>2</v>
      </c>
      <c r="C16" s="23" t="s">
        <v>36</v>
      </c>
      <c r="D16" s="7"/>
      <c r="E16" s="7"/>
      <c r="F16" s="24">
        <f>IF(AND(D16&lt;&gt;"",E16&lt;&gt;""),E16-D16,"")</f>
      </c>
      <c r="G16" s="25"/>
      <c r="H16" s="26" t="s">
        <v>35</v>
      </c>
      <c r="I16" s="1"/>
    </row>
    <row x14ac:dyDescent="0.25" r="17" customHeight="1" ht="18.75">
      <c r="A17" s="1"/>
      <c r="B17" s="22">
        <v>3</v>
      </c>
      <c r="C17" s="23" t="s">
        <v>37</v>
      </c>
      <c r="D17" s="7"/>
      <c r="E17" s="7"/>
      <c r="F17" s="24">
        <f>IF(AND(D17&lt;&gt;"",E17&lt;&gt;""),E17-D17,"")</f>
      </c>
      <c r="G17" s="25"/>
      <c r="H17" s="26" t="s">
        <v>35</v>
      </c>
      <c r="I17" s="1"/>
    </row>
    <row x14ac:dyDescent="0.25" r="18" customHeight="1" ht="18.75">
      <c r="A18" s="1"/>
      <c r="B18" s="22">
        <v>4</v>
      </c>
      <c r="C18" s="23" t="s">
        <v>38</v>
      </c>
      <c r="D18" s="7"/>
      <c r="E18" s="7"/>
      <c r="F18" s="24">
        <f>IF(AND(D18&lt;&gt;"",E18&lt;&gt;""),E18-D18,"")</f>
      </c>
      <c r="G18" s="25"/>
      <c r="H18" s="26" t="s">
        <v>35</v>
      </c>
      <c r="I18" s="1"/>
    </row>
    <row x14ac:dyDescent="0.25" r="19" customHeight="1" ht="18.75">
      <c r="A19" s="1"/>
      <c r="B19" s="22">
        <v>5</v>
      </c>
      <c r="C19" s="27" t="s">
        <v>39</v>
      </c>
      <c r="D19" s="7"/>
      <c r="E19" s="7"/>
      <c r="F19" s="24">
        <f>IF(AND(D19&lt;&gt;"",E19&lt;&gt;""),E19-D19,"")</f>
      </c>
      <c r="G19" s="25"/>
      <c r="H19" s="26" t="s">
        <v>40</v>
      </c>
      <c r="I19" s="1"/>
    </row>
    <row x14ac:dyDescent="0.25" r="20" customHeight="1" ht="18.75">
      <c r="A20" s="1"/>
      <c r="B20" s="22">
        <v>6</v>
      </c>
      <c r="C20" s="27" t="s">
        <v>41</v>
      </c>
      <c r="D20" s="7"/>
      <c r="E20" s="7"/>
      <c r="F20" s="24">
        <f>IF(AND(D20&lt;&gt;"",E20&lt;&gt;""),E20-D20,"")</f>
      </c>
      <c r="G20" s="25"/>
      <c r="H20" s="26" t="s">
        <v>40</v>
      </c>
      <c r="I20" s="1"/>
    </row>
    <row x14ac:dyDescent="0.25" r="21" customHeight="1" ht="18.75">
      <c r="A21" s="1"/>
      <c r="B21" s="22">
        <v>7</v>
      </c>
      <c r="C21" s="27" t="s">
        <v>42</v>
      </c>
      <c r="D21" s="7"/>
      <c r="E21" s="7"/>
      <c r="F21" s="24">
        <f>IF(AND(D21&lt;&gt;"",E21&lt;&gt;""),E21-D21,"")</f>
      </c>
      <c r="G21" s="25"/>
      <c r="H21" s="26" t="s">
        <v>40</v>
      </c>
      <c r="I21" s="1"/>
    </row>
    <row x14ac:dyDescent="0.25" r="22" customHeight="1" ht="18.75">
      <c r="A22" s="1"/>
      <c r="B22" s="22">
        <v>8</v>
      </c>
      <c r="C22" s="28" t="s">
        <v>43</v>
      </c>
      <c r="D22" s="7"/>
      <c r="E22" s="7"/>
      <c r="F22" s="24">
        <f>IF(AND(D22&lt;&gt;"",E22&lt;&gt;""),E22-D22,"")</f>
      </c>
      <c r="G22" s="25"/>
      <c r="H22" s="26" t="s">
        <v>44</v>
      </c>
      <c r="I22" s="1"/>
    </row>
    <row x14ac:dyDescent="0.25" r="23" customHeight="1" ht="18.75">
      <c r="A23" s="1"/>
      <c r="B23" s="22">
        <v>9</v>
      </c>
      <c r="C23" s="29" t="s">
        <v>45</v>
      </c>
      <c r="D23" s="7"/>
      <c r="E23" s="7"/>
      <c r="F23" s="24">
        <f>IF(AND(D23&lt;&gt;"",E23&lt;&gt;""),E23-D23,"")</f>
      </c>
      <c r="G23" s="25"/>
      <c r="H23" s="26" t="s">
        <v>46</v>
      </c>
      <c r="I23" s="1"/>
    </row>
    <row x14ac:dyDescent="0.25" r="24" customHeight="1" ht="18.75">
      <c r="A24" s="1"/>
      <c r="B24" s="22">
        <v>10</v>
      </c>
      <c r="C24" s="29" t="s">
        <v>47</v>
      </c>
      <c r="D24" s="7"/>
      <c r="E24" s="7"/>
      <c r="F24" s="24">
        <f>IF(AND(D24&lt;&gt;"",E24&lt;&gt;""),E24-D24,"")</f>
      </c>
      <c r="G24" s="25"/>
      <c r="H24" s="26" t="s">
        <v>46</v>
      </c>
      <c r="I24" s="1"/>
    </row>
    <row x14ac:dyDescent="0.25" r="25" customHeight="1" ht="18.75">
      <c r="A25" s="1"/>
      <c r="B25" s="22">
        <v>11</v>
      </c>
      <c r="C25" s="30" t="s">
        <v>48</v>
      </c>
      <c r="D25" s="7"/>
      <c r="E25" s="7"/>
      <c r="F25" s="24">
        <f>IF(AND(D25&lt;&gt;"",E25&lt;&gt;""),E25-D25,"")</f>
      </c>
      <c r="G25" s="25"/>
      <c r="H25" s="26" t="s">
        <v>49</v>
      </c>
      <c r="I25" s="1"/>
    </row>
    <row x14ac:dyDescent="0.25" r="26" customHeight="1" ht="18.75">
      <c r="A26" s="1"/>
      <c r="B26" s="22">
        <v>12</v>
      </c>
      <c r="C26" s="30" t="s">
        <v>50</v>
      </c>
      <c r="D26" s="7"/>
      <c r="E26" s="7"/>
      <c r="F26" s="24">
        <f>IF(AND(D26&lt;&gt;"",E26&lt;&gt;""),E26-D26,"")</f>
      </c>
      <c r="G26" s="25"/>
      <c r="H26" s="26" t="s">
        <v>49</v>
      </c>
      <c r="I26" s="1"/>
    </row>
    <row x14ac:dyDescent="0.25" r="27" customHeight="1" ht="18.75">
      <c r="A27" s="1"/>
      <c r="B27" s="22">
        <v>13</v>
      </c>
      <c r="C27" s="30" t="s">
        <v>51</v>
      </c>
      <c r="D27" s="7"/>
      <c r="E27" s="7"/>
      <c r="F27" s="24">
        <f>IF(AND(D27&lt;&gt;"",E27&lt;&gt;""),E27-D27,"")</f>
      </c>
      <c r="G27" s="25"/>
      <c r="H27" s="26" t="s">
        <v>49</v>
      </c>
      <c r="I27" s="1"/>
    </row>
  </sheetData>
  <mergeCells count="12">
    <mergeCell ref="B2:I2"/>
    <mergeCell ref="B4:C4"/>
    <mergeCell ref="D4:E4"/>
    <mergeCell ref="B5:C5"/>
    <mergeCell ref="D5:E5"/>
    <mergeCell ref="B6:C6"/>
    <mergeCell ref="D6:E6"/>
    <mergeCell ref="B7:C7"/>
    <mergeCell ref="D7:E7"/>
    <mergeCell ref="B8:C8"/>
    <mergeCell ref="D8:E8"/>
    <mergeCell ref="B10:E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13"/>
  <sheetViews>
    <sheetView workbookViewId="0">
      <pane state="frozen" activePane="bottomLeft" topLeftCell="A6" ySplit="5" xSplit="0"/>
    </sheetView>
  </sheetViews>
  <sheetFormatPr defaultRowHeight="15" x14ac:dyDescent="0.25"/>
  <cols>
    <col min="1" max="1" style="9" width="3.005" customWidth="1" bestFit="1"/>
    <col min="2" max="2" style="9" width="24.005" customWidth="1" bestFit="1"/>
    <col min="3" max="3" style="9" width="16.005" customWidth="1" bestFit="1"/>
    <col min="4" max="4" style="9" width="14.005" customWidth="1" bestFit="1"/>
    <col min="5" max="5" style="10" width="12.005" customWidth="1" bestFit="1"/>
    <col min="6" max="6" style="10" width="12.005" customWidth="1" bestFit="1"/>
    <col min="7" max="7" style="10" width="12.005" customWidth="1" bestFit="1"/>
    <col min="8" max="8" style="10" width="12.005" customWidth="1" bestFit="1"/>
    <col min="9" max="9" style="10" width="12.005" customWidth="1" bestFit="1"/>
    <col min="10" max="10" style="10" width="12.005" customWidth="1" bestFit="1"/>
    <col min="11" max="11" style="10" width="12.005" customWidth="1" bestFit="1"/>
    <col min="12" max="12" style="10" width="12.005" customWidth="1" bestFit="1"/>
    <col min="13" max="13" style="10" width="12.005" customWidth="1" bestFit="1"/>
    <col min="14" max="14" style="10" width="12.005" customWidth="1" bestFit="1"/>
    <col min="15" max="15" style="10" width="12.005" customWidth="1" bestFit="1"/>
    <col min="16" max="16" style="10" width="12.005" customWidth="1" bestFit="1"/>
    <col min="17" max="17" style="10" width="12.005" customWidth="1" bestFit="1"/>
    <col min="18" max="18" style="10" width="12.005" customWidth="1" bestFit="1"/>
  </cols>
  <sheetData>
    <row x14ac:dyDescent="0.25" r="1" customHeight="1" ht="18.7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x14ac:dyDescent="0.25" r="2" customHeight="1" ht="18.75">
      <c r="A2" s="1"/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x14ac:dyDescent="0.25" r="3" customHeight="1" ht="18.75">
      <c r="A3" s="1"/>
      <c r="B3" s="4" t="s">
        <v>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x14ac:dyDescent="0.25" r="4" customHeight="1" ht="18.75">
      <c r="A4" s="1"/>
      <c r="B4" s="1"/>
      <c r="C4" s="1"/>
      <c r="D4" s="1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x14ac:dyDescent="0.25" r="5" customHeight="1" ht="18.75">
      <c r="A5" s="1"/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5" t="s">
        <v>9</v>
      </c>
      <c r="J5" s="5" t="s">
        <v>10</v>
      </c>
      <c r="K5" s="5" t="s">
        <v>11</v>
      </c>
      <c r="L5" s="5" t="s">
        <v>12</v>
      </c>
      <c r="M5" s="5" t="s">
        <v>13</v>
      </c>
      <c r="N5" s="5" t="s">
        <v>14</v>
      </c>
      <c r="O5" s="5" t="s">
        <v>15</v>
      </c>
      <c r="P5" s="5" t="s">
        <v>16</v>
      </c>
      <c r="Q5" s="5" t="s">
        <v>17</v>
      </c>
      <c r="R5" s="5" t="s">
        <v>18</v>
      </c>
    </row>
    <row x14ac:dyDescent="0.25" r="6" customHeight="1" ht="18.75">
      <c r="A6" s="1"/>
      <c r="B6" s="6"/>
      <c r="C6" s="6"/>
      <c r="D6" s="6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8">
        <f>IFERROR(AVERAGE(E6:Q6),"")</f>
      </c>
    </row>
    <row x14ac:dyDescent="0.25" r="7" customHeight="1" ht="18.75">
      <c r="A7" s="1"/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8">
        <f>IFERROR(AVERAGE(E7:Q7),"")</f>
      </c>
    </row>
    <row x14ac:dyDescent="0.25" r="8" customHeight="1" ht="18.75">
      <c r="A8" s="1"/>
      <c r="B8" s="6"/>
      <c r="C8" s="6"/>
      <c r="D8" s="6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f>IFERROR(AVERAGE(E8:Q8),"")</f>
      </c>
    </row>
    <row x14ac:dyDescent="0.25" r="9" customHeight="1" ht="18.75">
      <c r="A9" s="1"/>
      <c r="B9" s="6"/>
      <c r="C9" s="6"/>
      <c r="D9" s="6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8">
        <f>IFERROR(AVERAGE(E9:Q9),"")</f>
      </c>
    </row>
    <row x14ac:dyDescent="0.25" r="10" customHeight="1" ht="18.75">
      <c r="A10" s="1"/>
      <c r="B10" s="6"/>
      <c r="C10" s="6"/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8">
        <f>IFERROR(AVERAGE(E10:Q10),"")</f>
      </c>
    </row>
    <row x14ac:dyDescent="0.25" r="11" customHeight="1" ht="18.75">
      <c r="A11" s="1"/>
      <c r="B11" s="6"/>
      <c r="C11" s="6"/>
      <c r="D11" s="6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f>IFERROR(AVERAGE(E11:Q11),"")</f>
      </c>
    </row>
    <row x14ac:dyDescent="0.25" r="12" customHeight="1" ht="18.75">
      <c r="A12" s="1"/>
      <c r="B12" s="6"/>
      <c r="C12" s="6"/>
      <c r="D12" s="6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8">
        <f>IFERROR(AVERAGE(E12:Q12),"")</f>
      </c>
    </row>
    <row x14ac:dyDescent="0.25" r="13" customHeight="1" ht="18.75">
      <c r="A13" s="1"/>
      <c r="B13" s="6"/>
      <c r="C13" s="6"/>
      <c r="D13" s="6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8">
        <f>IFERROR(AVERAGE(E13:Q13),"")</f>
      </c>
    </row>
  </sheetData>
  <mergeCells count="2">
    <mergeCell ref="B2:R2"/>
    <mergeCell ref="B3:R3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5</vt:i4>
      </vt:variant>
    </vt:vector>
  </HeadingPairs>
  <TitlesOfParts>
    <vt:vector baseType="lpstr" size="5">
      <vt:lpstr>Instrucciones</vt:lpstr>
      <vt:lpstr>Clasificador</vt:lpstr>
      <vt:lpstr>Rúbrica</vt:lpstr>
      <vt:lpstr>Evaluación</vt:lpstr>
      <vt:lpstr>Dashboard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2026-06-30T19:43:07.525Z</dcterms:created>
  <dcterms:modified xsi:type="dcterms:W3CDTF">2026-06-30T19:43:07.525Z</dcterms:modified>
</cp:coreProperties>
</file>