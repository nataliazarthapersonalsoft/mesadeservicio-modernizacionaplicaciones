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9B6F884C-CA97-4612-8390-941BD8B6F323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Instrucciones" sheetId="1" r:id="rId1"/>
    <sheet name="Clasificador" sheetId="2" r:id="rId2"/>
    <sheet name="Rúbrica" sheetId="3" r:id="rId3"/>
    <sheet name="Evaluación" sheetId="4" r:id="rId4"/>
    <sheet name="Dashbo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13" i="5" l="1"/>
  <c r="E13" i="5"/>
  <c r="W12" i="5"/>
  <c r="E12" i="5"/>
  <c r="W11" i="5"/>
  <c r="E11" i="5"/>
  <c r="W10" i="5"/>
  <c r="E10" i="5"/>
  <c r="W9" i="5"/>
  <c r="E9" i="5"/>
  <c r="W8" i="5"/>
  <c r="E8" i="5"/>
  <c r="W7" i="5"/>
  <c r="E7" i="5"/>
  <c r="W6" i="5"/>
  <c r="E6" i="5"/>
  <c r="H36" i="4"/>
  <c r="H35" i="4"/>
  <c r="H34" i="4"/>
  <c r="H33" i="4"/>
  <c r="H31" i="4"/>
  <c r="E31" i="4"/>
  <c r="H30" i="4"/>
  <c r="E30" i="4"/>
  <c r="H29" i="4"/>
  <c r="E29" i="4"/>
  <c r="H28" i="4"/>
  <c r="E28" i="4"/>
  <c r="H27" i="4"/>
  <c r="E27" i="4"/>
  <c r="H25" i="4"/>
  <c r="E25" i="4"/>
  <c r="H24" i="4"/>
  <c r="E24" i="4"/>
  <c r="H23" i="4"/>
  <c r="E23" i="4"/>
  <c r="H21" i="4"/>
  <c r="E21" i="4"/>
  <c r="H20" i="4"/>
  <c r="E20" i="4"/>
  <c r="H19" i="4"/>
  <c r="E19" i="4"/>
  <c r="H17" i="4"/>
  <c r="E17" i="4"/>
  <c r="H16" i="4"/>
  <c r="E16" i="4"/>
  <c r="G12" i="4"/>
  <c r="D12" i="4"/>
  <c r="G11" i="4"/>
  <c r="D11" i="4"/>
  <c r="C18" i="2"/>
  <c r="C17" i="2"/>
</calcChain>
</file>

<file path=xl/sharedStrings.xml><?xml version="1.0" encoding="utf-8"?>
<sst xmlns="http://schemas.openxmlformats.org/spreadsheetml/2006/main" count="296" uniqueCount="218">
  <si>
    <t>PersonalSoft · ITIL v5 · N0 a N5 · 4 dimensiones · 13 prácticas + negocio + capa sectorial</t>
  </si>
  <si>
    <t>Novedades v2.2</t>
  </si>
  <si>
    <t>• Escala ampliada a N0–N5: N0 · Autoservicio (portal + KEDB + IA generativa, sin intervención humana)</t>
  </si>
  <si>
    <t>• Los dropdowns de nivel ahora incluyen N0 como opción válida (0 = N0 · Autoservicio)</t>
  </si>
  <si>
    <t>• La columna 'Nivel mínimo esperado' muestra el texto completo (ej. N2 · Administrado) en lugar del número</t>
  </si>
  <si>
    <t>• La práctica de Gestión de solicitudes ahora referencia N0 correctamente en su nivel 5</t>
  </si>
  <si>
    <t>• El clasificador inicial también verifica si la mesa tiene N0 activo</t>
  </si>
  <si>
    <t>Cómo usar esta plantilla</t>
  </si>
  <si>
    <t>1. Hoja 'Clasificador': selecciona Mesa de Ayuda o Mesa de Soporte e indica si tiene N0 activo</t>
  </si>
  <si>
    <t>2. Duplica la hoja 'Evaluación' por cada mesa (clic derecho → Mover o copiar)</t>
  </si>
  <si>
    <t>3. Diligencia los datos generales arriba</t>
  </si>
  <si>
    <t>4. Selecciona nivel actual (0-5) con el dropdown. Si una celda aparece en ROJO, está bajo el mínimo esperado</t>
  </si>
  <si>
    <t>5. Escribe en 'Evidencia' qué observaste concretamente para sustentar ese nivel</t>
  </si>
  <si>
    <t>6. Evalúa también la sección de negocio (filas en azul oscuro)</t>
  </si>
  <si>
    <t>7. Consulta la hoja 'Rúbrica' para saber qué significa cada nivel en cada práctica</t>
  </si>
  <si>
    <t>8. Ve al 'Dashboard' para comparar todas las mesas en una sola vista con semáforo de colores</t>
  </si>
  <si>
    <t>Clasificador inicial · Mesa de Ayuda vs Mesa de Soporte</t>
  </si>
  <si>
    <t>Aspecto</t>
  </si>
  <si>
    <t>Mesa de Ayuda</t>
  </si>
  <si>
    <t>Mesa de Soporte</t>
  </si>
  <si>
    <t>Nivel de servicio</t>
  </si>
  <si>
    <t>Básico (N1)</t>
  </si>
  <si>
    <t>Avanzado (N2 y N3)</t>
  </si>
  <si>
    <t>Tipo de atención</t>
  </si>
  <si>
    <t>Reactiva</t>
  </si>
  <si>
    <t>Reactiva y proactiva</t>
  </si>
  <si>
    <t>Complejidad</t>
  </si>
  <si>
    <t>Baja</t>
  </si>
  <si>
    <t>Media y alta</t>
  </si>
  <si>
    <t>Perfil del equipo</t>
  </si>
  <si>
    <t>Junior · Atención al usuario</t>
  </si>
  <si>
    <t>Técnico especializado / Senior</t>
  </si>
  <si>
    <t>Enfoque</t>
  </si>
  <si>
    <t>Usuario final</t>
  </si>
  <si>
    <t>Tecnología y continuidad</t>
  </si>
  <si>
    <t>Roles típicos</t>
  </si>
  <si>
    <t>Analista de soporte</t>
  </si>
  <si>
    <t>Coordinador · Líder técnico · Desarrollador</t>
  </si>
  <si>
    <t>¿Incluye causa raíz?</t>
  </si>
  <si>
    <t>No</t>
  </si>
  <si>
    <t>Sí</t>
  </si>
  <si>
    <t>¿KPIs de desempeño?</t>
  </si>
  <si>
    <t>Básicos</t>
  </si>
  <si>
    <t>Completos con tendencias</t>
  </si>
  <si>
    <t>Nivel mínimo esperado</t>
  </si>
  <si>
    <t>N2 · Administrado</t>
  </si>
  <si>
    <t>N3 · Definido</t>
  </si>
  <si>
    <t>▶ Tipo de mesa evaluada (seleccionar):</t>
  </si>
  <si>
    <t>Nivel mínimo esperado:</t>
  </si>
  <si>
    <t>Nivel mínimo (número, para fórmulas):</t>
  </si>
  <si>
    <t>▶ ¿La mesa tiene N0 · Autoservicio activo?</t>
  </si>
  <si>
    <t>N0 = Portal de autoservicio + KEDB + IA generativa activa. Sin esto, el servicio arranca en N1.</t>
  </si>
  <si>
    <t>Rúbrica de evaluación · v2.2 · Escala N0–N5</t>
  </si>
  <si>
    <t>N0·Autoservicio</t>
  </si>
  <si>
    <t>N1·Inicial</t>
  </si>
  <si>
    <t>N2·Administrado</t>
  </si>
  <si>
    <t>N3·Definido</t>
  </si>
  <si>
    <t>N4·Cuantitativo</t>
  </si>
  <si>
    <t>N5·Optimizado</t>
  </si>
  <si>
    <t>#</t>
  </si>
  <si>
    <t>Práctica</t>
  </si>
  <si>
    <t>Origen</t>
  </si>
  <si>
    <t>D1 · Organizaciones y Personas</t>
  </si>
  <si>
    <t>Gobierno de roles (RACI)</t>
  </si>
  <si>
    <t>Feedback operativo</t>
  </si>
  <si>
    <t>No aplica como práctica independiente en N0</t>
  </si>
  <si>
    <t>Héroes aislados</t>
  </si>
  <si>
    <t>Roles informales</t>
  </si>
  <si>
    <t>RACI documentado: Coordinador, Líder Técnico, Especialista</t>
  </si>
  <si>
    <t>Desempeño medido por rol, RACI ajustado con datos</t>
  </si>
  <si>
    <t>IA sugiere reasignación según carga y disponibilidad</t>
  </si>
  <si>
    <t>Capacidad y dimensionamiento del equipo</t>
  </si>
  <si>
    <t>ITIL Foundation</t>
  </si>
  <si>
    <t>Cálculo a ojo, sin datos de carga real</t>
  </si>
  <si>
    <t>Criterio estático que no se revisa</t>
  </si>
  <si>
    <t>Calculadora FTE basada en volumen histórico real</t>
  </si>
  <si>
    <t>Se mide % GAP de tiempo muerto y se ajusta capacidad</t>
  </si>
  <si>
    <t>Dimensionamiento dinámico con IA anticipa picos</t>
  </si>
  <si>
    <t>D2 · Información y Tecnología</t>
  </si>
  <si>
    <t>Herramientas y automatización</t>
  </si>
  <si>
    <t>Dispersas: Excel, correo, chats sin integración</t>
  </si>
  <si>
    <t>Herramienta de tickets solo como bitácora</t>
  </si>
  <si>
    <t>Flujos integrados: escalamiento y notificación automática</t>
  </si>
  <si>
    <t>Se mide % de automatización y su impacto en tiempos</t>
  </si>
  <si>
    <t>Agentes IA clasifican, sugieren y resuelven tickets</t>
  </si>
  <si>
    <t>Gestión del conocimiento (KEDB)</t>
  </si>
  <si>
    <t>Monitor, Support &amp; Fulfill</t>
  </si>
  <si>
    <t>En la cabeza de personas clave (bus factor)</t>
  </si>
  <si>
    <t>Notas aisladas en correos y chats</t>
  </si>
  <si>
    <t>KEDB centralizada, estructurada y con dueño</t>
  </si>
  <si>
    <t>Uso correlacionado con reducción de tiempo de resolución</t>
  </si>
  <si>
    <t>Auto-sugerencia IA antes de que el humano busque</t>
  </si>
  <si>
    <t>Gestión de integraciones y entorno de aplicaciones</t>
  </si>
  <si>
    <t>Sin documentar, conocimiento informal</t>
  </si>
  <si>
    <t>Lista básica de sistemas sin arquitectura</t>
  </si>
  <si>
    <t>Mapa de APIs, dependencias y owner documentado</t>
  </si>
  <si>
    <t>Alertas por criticidad de API afectada</t>
  </si>
  <si>
    <t>Monitoreo AIOps: detecta caídas antes que el usuario</t>
  </si>
  <si>
    <t>D3 · Socios y Proveedores</t>
  </si>
  <si>
    <t>Catálogo de servicios y límites del alcance</t>
  </si>
  <si>
    <t>ITIL Service</t>
  </si>
  <si>
    <t>Informal, solo verbal</t>
  </si>
  <si>
    <t>Firmado y olvidado, desactualizado</t>
  </si>
  <si>
    <t>Catálogo vivo: el equipo lo usa como referencia real</t>
  </si>
  <si>
    <t>Costeo por servicio, identifica rentabilidad de cada módulo</t>
  </si>
  <si>
    <t>Ajuste dinámico según demanda real</t>
  </si>
  <si>
    <t>SLA / ANS por prioridad (Crítico · Alto · Medio · Bajo)</t>
  </si>
  <si>
    <t>No medidos o aspiracionales</t>
  </si>
  <si>
    <t>Medición manual, solo cuando el cliente reclama</t>
  </si>
  <si>
    <t>Tiempos por prioridad: Crítico &lt;1h · Alto &lt;4h · Medio &lt;8h · Bajo &lt;24h. Reporte mensual</t>
  </si>
  <si>
    <t>Análisis de tendencia, ajuste de metas con patrones estacionales</t>
  </si>
  <si>
    <t>Alertas predictivas: avisa ANTES de incumplir el ANS</t>
  </si>
  <si>
    <t>Disponibilidad y cobertura horaria</t>
  </si>
  <si>
    <t>Best effort, sin compromiso formal</t>
  </si>
  <si>
    <t>Horario conocido pero no contractual</t>
  </si>
  <si>
    <t>Horario pactado (ej. L-V 7:30-5PM), GAP administrativo negociado</t>
  </si>
  <si>
    <t>Cumplimiento de cobertura medido y reportado</t>
  </si>
  <si>
    <t>N0/N1 gestionado por IA fuera de horario: 24x7 efectivo</t>
  </si>
  <si>
    <t>D4 · Flujos de Valor y Procesos</t>
  </si>
  <si>
    <t>Gestión de incidentes</t>
  </si>
  <si>
    <t>Reactivo / apagar incendios, sin trazabilidad</t>
  </si>
  <si>
    <t>Registro básico, categorización inconsistente</t>
  </si>
  <si>
    <t>Proceso estándar de registro, triaje y escalamiento N1→N2→N3</t>
  </si>
  <si>
    <t>Tiempos medidos por categoría y nivel con metas claras</t>
  </si>
  <si>
    <t>Auto-resolución IA: clasifica, sugiere, escala solo si confianza es baja</t>
  </si>
  <si>
    <t>Gestión de solicitudes</t>
  </si>
  <si>
    <t>Mezcladas con incidentes, sin distinción ni priorización</t>
  </si>
  <si>
    <t>Flujo completamente manual de principio a fin</t>
  </si>
  <si>
    <t>Catálogo estándar con tiempos de cumplimiento definidos por tipo</t>
  </si>
  <si>
    <t>ANS medido en tiempo real por tipo de solicitud</t>
  </si>
  <si>
    <t>Portal de autoservicio N0 · Autoservicio: resuelve sin intervención humana</t>
  </si>
  <si>
    <t>Gestión de problemas (causa raíz)</t>
  </si>
  <si>
    <t>No existe. Cada incidente se resuelve aislado</t>
  </si>
  <si>
    <t>A voluntad del analista, sin proceso formal</t>
  </si>
  <si>
    <t>Análisis formal cuando incidente se repite más de X veces</t>
  </si>
  <si>
    <t>Se mide reducción de tickets recurrentes tras resolver causa raíz</t>
  </si>
  <si>
    <t>IA detecta patrones ocultos proactivamente, antes del umbral de alerta</t>
  </si>
  <si>
    <t>Transición y onboarding</t>
  </si>
  <si>
    <t>Improvisada, se reinventa con cada cliente</t>
  </si>
  <si>
    <t>Pasos sueltos, no replicables por otra persona</t>
  </si>
  <si>
    <t>Playbook exacto: inducción, documentación, acuerdos, KEDB</t>
  </si>
  <si>
    <t>Métrica 30 días: calidad del arranque medida con datos reales</t>
  </si>
  <si>
    <t>Plantillas IA aceleran la transición (carga automática)</t>
  </si>
  <si>
    <t>Experiencia del cliente (CX / NPS / CSAT)</t>
  </si>
  <si>
    <t>ITIL Experience</t>
  </si>
  <si>
    <t>Cero quejas = todo OK, sin medición real</t>
  </si>
  <si>
    <t>Encuesta anual esporádica sin seguimiento</t>
  </si>
  <si>
    <t>CSAT continuo por ticket con seguimiento a resultados negativos</t>
  </si>
  <si>
    <t>Cruce operacional: CSAT correlacionado con tiempos, reincidencia y NPS</t>
  </si>
  <si>
    <t>CX en tiempo real: ajuste proactivo antes de que la insatisfacción se formalice</t>
  </si>
  <si>
    <t>Dimensión de negocio</t>
  </si>
  <si>
    <t>Salud financiera del contrato</t>
  </si>
  <si>
    <t>Negocio PS</t>
  </si>
  <si>
    <t>—</t>
  </si>
  <si>
    <t>Pérdida oculta: margen real desconocido</t>
  </si>
  <si>
    <t>Rentabilidad plana, sin optimización</t>
  </si>
  <si>
    <t>Margen por FTE identificado y monitoreado</t>
  </si>
  <si>
    <t>Eficiencia de costo medida: costo/ticket</t>
  </si>
  <si>
    <t>Upselling automatizado: IA detecta oportunidades de expansión</t>
  </si>
  <si>
    <t>Retención y crecimiento de cuenta</t>
  </si>
  <si>
    <t>Riesgo de churn no detectado</t>
  </si>
  <si>
    <t>Renovación incierta, sin plan de cuenta</t>
  </si>
  <si>
    <t>Plan de cuenta activo, renovación gestionada proactivamente</t>
  </si>
  <si>
    <t>Expansión medida: servicios adicionales por cliente</t>
  </si>
  <si>
    <t>Expansión automática: modelo detecta señales de crecimiento</t>
  </si>
  <si>
    <t>NPS / CSAT del cliente final</t>
  </si>
  <si>
    <t>Cliente silencioso: no se mide lealtad</t>
  </si>
  <si>
    <t>Reactivo: solo se actúa ante queja formal</t>
  </si>
  <si>
    <t>CSAT sistemático, NPS medido periódicamente</t>
  </si>
  <si>
    <t>Promotor activo: cliente referencia el servicio con datos</t>
  </si>
  <si>
    <t>Predicción de churn: IA detecta señales antes de la queja</t>
  </si>
  <si>
    <t>Eficiencia de costo operativo</t>
  </si>
  <si>
    <t>Costo/ticket alto e invisible</t>
  </si>
  <si>
    <t>GAP de tiempo muerto sin medir</t>
  </si>
  <si>
    <t>Costo/ticket calculado y comparado contra línea base</t>
  </si>
  <si>
    <t>Reducción medida de costo por automatización incremental</t>
  </si>
  <si>
    <t>Automatización escala sola: costo marginal baja con cada ticket IA</t>
  </si>
  <si>
    <t>Evaluación de madurez · Mesa de servicio · v2.2</t>
  </si>
  <si>
    <t>Nombre de la mesa:</t>
  </si>
  <si>
    <t>Tipo (Ayuda/Soporte):</t>
  </si>
  <si>
    <t>¿N0 activo?:</t>
  </si>
  <si>
    <t>Cliente / cuenta:</t>
  </si>
  <si>
    <t>Fecha:</t>
  </si>
  <si>
    <t>Evaluador:</t>
  </si>
  <si>
    <t>Nivel global operativo:</t>
  </si>
  <si>
    <t>Nivel mínimo (número):</t>
  </si>
  <si>
    <t>Nivel global negocio:</t>
  </si>
  <si>
    <t>Nivel mínimo
esperado</t>
  </si>
  <si>
    <t>Nivel actual
(N0-N5)</t>
  </si>
  <si>
    <t>Nivel objetivo
(N0-N5)</t>
  </si>
  <si>
    <t>Brecha</t>
  </si>
  <si>
    <t>Evidencia / observación</t>
  </si>
  <si>
    <t>Dimensión de negocio · Éxito comercial y rentabilidad</t>
  </si>
  <si>
    <t>Dashboard · Todas las mesas evaluadas · Escala N0–N5</t>
  </si>
  <si>
    <t>Rojo = bajo el nivel mínimo esperado · Verde = nivel óptimo · Selecciona tipo en col C para activar validación</t>
  </si>
  <si>
    <t>Mesa</t>
  </si>
  <si>
    <t>Tipo</t>
  </si>
  <si>
    <t>N0 activo</t>
  </si>
  <si>
    <t>Nivel mínimo</t>
  </si>
  <si>
    <t>Gobierno de role</t>
  </si>
  <si>
    <t>Capacidad y dime</t>
  </si>
  <si>
    <t>Herramientas y a</t>
  </si>
  <si>
    <t>Gestión del cono</t>
  </si>
  <si>
    <t>Gestión de integ</t>
  </si>
  <si>
    <t>Catálogo de serv</t>
  </si>
  <si>
    <t>SLA / ANS por pr</t>
  </si>
  <si>
    <t>Disponibilidad y</t>
  </si>
  <si>
    <t>Gestión de incid</t>
  </si>
  <si>
    <t>Gestión de solic</t>
  </si>
  <si>
    <t>Gestión de probl</t>
  </si>
  <si>
    <t>Transición y onb</t>
  </si>
  <si>
    <t xml:space="preserve">Experiencia del </t>
  </si>
  <si>
    <t>Salud financiera</t>
  </si>
  <si>
    <t>Retención y crec</t>
  </si>
  <si>
    <t>NPS / CSAT del c</t>
  </si>
  <si>
    <t>Eficiencia de co</t>
  </si>
  <si>
    <t>Nivel
global</t>
  </si>
  <si>
    <t>Modelo de Madurez de Mesas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</si>
</sst>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47" x14ac:knownFonts="1">
    <font>
      <sz val="11"/>
      <color theme="1"/>
      <name val="Calibri"/>
      <family val="2"/>
      <charset val="1"/>
    </font>
    <font>
      <b/>
      <sz val="18"/>
      <color rgb="FF26215C"/>
      <name val="Calibri"/>
      <charset val="1"/>
    </font>
    <font>
      <i/>
      <sz val="10"/>
      <color rgb="FF5F5E5A"/>
      <name val="Calibri"/>
      <charset val="1"/>
    </font>
    <font>
      <sz val="10.5"/>
      <color rgb="FF2C2C2A"/>
      <name val="Calibri"/>
      <charset val="1"/>
    </font>
    <font>
      <b/>
      <sz val="12"/>
      <color rgb="FF26215C"/>
      <name val="Calibri"/>
      <charset val="1"/>
    </font>
    <font>
      <b/>
      <sz val="14"/>
      <color rgb="FF26215C"/>
      <name val="Calibri"/>
      <charset val="1"/>
    </font>
    <font>
      <b/>
      <sz val="10"/>
      <color rgb="FFFFFFFF"/>
      <name val="Calibri"/>
      <charset val="1"/>
    </font>
    <font>
      <b/>
      <sz val="10"/>
      <color rgb="FF26215C"/>
      <name val="Calibri"/>
      <charset val="1"/>
    </font>
    <font>
      <sz val="10"/>
      <color rgb="FF085041"/>
      <name val="Calibri"/>
      <charset val="1"/>
    </font>
    <font>
      <sz val="10"/>
      <color rgb="FF3C3489"/>
      <name val="Calibri"/>
      <charset val="1"/>
    </font>
    <font>
      <b/>
      <sz val="11"/>
      <name val="Calibri"/>
      <charset val="1"/>
    </font>
    <font>
      <b/>
      <sz val="12"/>
      <color rgb="FF1D9E75"/>
      <name val="Calibri"/>
      <charset val="1"/>
    </font>
    <font>
      <sz val="9"/>
      <color rgb="FF888780"/>
      <name val="Calibri"/>
      <charset val="1"/>
    </font>
    <font>
      <b/>
      <sz val="11"/>
      <color rgb="FF26215C"/>
      <name val="Calibri"/>
      <charset val="1"/>
    </font>
    <font>
      <b/>
      <sz val="9"/>
      <color rgb="FF085041"/>
      <name val="Calibri"/>
      <charset val="1"/>
    </font>
    <font>
      <b/>
      <sz val="9"/>
      <color rgb="FF712B13"/>
      <name val="Calibri"/>
      <charset val="1"/>
    </font>
    <font>
      <b/>
      <sz val="9"/>
      <color rgb="FF633806"/>
      <name val="Calibri"/>
      <charset val="1"/>
    </font>
    <font>
      <b/>
      <sz val="9"/>
      <color rgb="FF0C447C"/>
      <name val="Calibri"/>
      <charset val="1"/>
    </font>
    <font>
      <b/>
      <sz val="9"/>
      <color rgb="FF3C3489"/>
      <name val="Calibri"/>
      <charset val="1"/>
    </font>
    <font>
      <b/>
      <sz val="11"/>
      <color rgb="FF0C447C"/>
      <name val="Calibri"/>
      <charset val="1"/>
    </font>
    <font>
      <b/>
      <sz val="10"/>
      <color rgb="FF0C447C"/>
      <name val="Calibri"/>
      <charset val="1"/>
    </font>
    <font>
      <sz val="9"/>
      <color rgb="FF712B13"/>
      <name val="Calibri"/>
      <charset val="1"/>
    </font>
    <font>
      <i/>
      <sz val="9"/>
      <color rgb="FF888780"/>
      <name val="Calibri"/>
      <charset val="1"/>
    </font>
    <font>
      <sz val="9"/>
      <color rgb="FF2C2C2A"/>
      <name val="Calibri"/>
      <charset val="1"/>
    </font>
    <font>
      <sz val="9"/>
      <color rgb="FF633806"/>
      <name val="Calibri"/>
      <charset val="1"/>
    </font>
    <font>
      <b/>
      <sz val="11"/>
      <color rgb="FF633806"/>
      <name val="Calibri"/>
      <charset val="1"/>
    </font>
    <font>
      <b/>
      <sz val="10"/>
      <color rgb="FF633806"/>
      <name val="Calibri"/>
      <charset val="1"/>
    </font>
    <font>
      <sz val="9"/>
      <color rgb="FF085041"/>
      <name val="Calibri"/>
      <charset val="1"/>
    </font>
    <font>
      <b/>
      <sz val="11"/>
      <color rgb="FF3C3489"/>
      <name val="Calibri"/>
      <charset val="1"/>
    </font>
    <font>
      <b/>
      <sz val="10"/>
      <color rgb="FF3C3489"/>
      <name val="Calibri"/>
      <charset val="1"/>
    </font>
    <font>
      <sz val="9"/>
      <color rgb="FF0C447C"/>
      <name val="Calibri"/>
      <charset val="1"/>
    </font>
    <font>
      <b/>
      <sz val="11"/>
      <color rgb="FF085041"/>
      <name val="Calibri"/>
      <charset val="1"/>
    </font>
    <font>
      <b/>
      <sz val="10"/>
      <color rgb="FF085041"/>
      <name val="Calibri"/>
      <charset val="1"/>
    </font>
    <font>
      <sz val="9"/>
      <color rgb="FF3C3489"/>
      <name val="Calibri"/>
      <charset val="1"/>
    </font>
    <font>
      <b/>
      <sz val="11"/>
      <color rgb="FFCECBF6"/>
      <name val="Calibri"/>
      <charset val="1"/>
    </font>
    <font>
      <b/>
      <sz val="10"/>
      <color rgb="FFCECBF6"/>
      <name val="Calibri"/>
      <charset val="1"/>
    </font>
    <font>
      <sz val="9"/>
      <color rgb="FFCECBF6"/>
      <name val="Calibri"/>
      <charset val="1"/>
    </font>
    <font>
      <i/>
      <sz val="9"/>
      <name val="Calibri"/>
      <charset val="1"/>
    </font>
    <font>
      <sz val="9"/>
      <name val="Calibri"/>
      <charset val="1"/>
    </font>
    <font>
      <b/>
      <sz val="10.5"/>
      <name val="Calibri"/>
      <charset val="1"/>
    </font>
    <font>
      <b/>
      <sz val="11"/>
      <color rgb="FF1D9E75"/>
      <name val="Calibri"/>
      <charset val="1"/>
    </font>
    <font>
      <b/>
      <sz val="10"/>
      <name val="Calibri"/>
      <charset val="1"/>
    </font>
    <font>
      <b/>
      <sz val="13"/>
      <color rgb="FF1D9E75"/>
      <name val="Calibri"/>
      <charset val="1"/>
    </font>
    <font>
      <b/>
      <sz val="13"/>
      <color rgb="FFCECBF6"/>
      <name val="Calibri"/>
      <charset val="1"/>
    </font>
    <font>
      <sz val="9"/>
      <color rgb="FF1D9E75"/>
      <name val="Calibri"/>
      <charset val="1"/>
    </font>
    <font>
      <b/>
      <sz val="8"/>
      <color rgb="FF2C2C2A"/>
      <name val="Calibri"/>
      <charset val="1"/>
    </font>
    <font>
      <b/>
      <sz val="8"/>
      <color rgb="FFFFFFFF"/>
      <name val="Calibri"/>
      <charset val="1"/>
    </font>
  </fonts>
  <fills count="13">
    <fill>
      <patternFill patternType="none"/>
    </fill>
    <fill>
      <patternFill patternType="gray125"/>
    </fill>
    <fill>
      <patternFill patternType="solid">
        <fgColor rgb="FF26215C"/>
        <bgColor rgb="FF2C2C2A"/>
      </patternFill>
    </fill>
    <fill>
      <patternFill patternType="solid">
        <fgColor rgb="FFF8F7F4"/>
        <bgColor rgb="FFFFFFFF"/>
      </patternFill>
    </fill>
    <fill>
      <patternFill patternType="solid">
        <fgColor rgb="FFFFFFFF"/>
        <bgColor rgb="FFF8F7F4"/>
      </patternFill>
    </fill>
    <fill>
      <patternFill patternType="solid">
        <fgColor rgb="FFFFF8CC"/>
        <bgColor rgb="FFFAEEDA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3C3489"/>
        <bgColor rgb="FF26215C"/>
      </patternFill>
    </fill>
    <fill>
      <patternFill patternType="solid">
        <fgColor rgb="FF1D9E75"/>
        <bgColor rgb="FF008080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6" fillId="8" borderId="1" xfId="0" applyFont="1" applyFill="1" applyBorder="1" applyAlignment="1">
      <alignment horizontal="left" vertical="center" wrapText="1"/>
    </xf>
    <xf numFmtId="0" fontId="20" fillId="9" borderId="1" xfId="0" applyFont="1" applyFill="1" applyBorder="1" applyAlignment="1">
      <alignment horizontal="left" vertical="center" wrapText="1"/>
    </xf>
    <xf numFmtId="0" fontId="40" fillId="6" borderId="1" xfId="0" applyFont="1" applyFill="1" applyBorder="1" applyAlignment="1">
      <alignment horizontal="center" vertical="center" wrapText="1"/>
    </xf>
    <xf numFmtId="164" fontId="0" fillId="5" borderId="1" xfId="0" applyNumberFormat="1" applyFill="1" applyBorder="1"/>
    <xf numFmtId="0" fontId="0" fillId="5" borderId="1" xfId="0" applyFill="1" applyBorder="1"/>
    <xf numFmtId="0" fontId="39" fillId="0" borderId="0" xfId="0" applyFont="1"/>
    <xf numFmtId="0" fontId="34" fillId="2" borderId="1" xfId="0" applyFont="1" applyFill="1" applyBorder="1" applyAlignment="1">
      <alignment horizontal="left" vertical="center" wrapText="1"/>
    </xf>
    <xf numFmtId="0" fontId="31" fillId="6" borderId="1" xfId="0" applyFont="1" applyFill="1" applyBorder="1" applyAlignment="1">
      <alignment horizontal="left" vertical="center" wrapText="1"/>
    </xf>
    <xf numFmtId="0" fontId="28" fillId="10" borderId="1" xfId="0" applyFont="1" applyFill="1" applyBorder="1" applyAlignment="1">
      <alignment horizontal="left" vertical="center" wrapText="1"/>
    </xf>
    <xf numFmtId="0" fontId="25" fillId="8" borderId="1" xfId="0" applyFont="1" applyFill="1" applyBorder="1" applyAlignment="1">
      <alignment horizontal="left" vertical="center" wrapText="1"/>
    </xf>
    <xf numFmtId="0" fontId="19" fillId="9" borderId="1" xfId="0" applyFont="1" applyFill="1" applyBorder="1" applyAlignment="1">
      <alignment horizontal="left" vertical="center" wrapText="1"/>
    </xf>
    <xf numFmtId="0" fontId="2" fillId="0" borderId="0" xfId="0" applyFont="1"/>
    <xf numFmtId="0" fontId="11" fillId="6" borderId="1" xfId="0" applyFont="1" applyFill="1" applyBorder="1" applyAlignment="1">
      <alignment horizontal="center" vertical="center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4" fillId="0" borderId="0" xfId="0" applyFont="1"/>
    <xf numFmtId="0" fontId="0" fillId="5" borderId="1" xfId="0" applyFill="1" applyBorder="1" applyAlignment="1">
      <alignment horizontal="center" vertical="center" wrapText="1"/>
    </xf>
    <xf numFmtId="0" fontId="10" fillId="0" borderId="0" xfId="0" applyFont="1"/>
    <xf numFmtId="0" fontId="12" fillId="0" borderId="1" xfId="0" applyFont="1" applyBorder="1" applyAlignment="1">
      <alignment horizontal="center" vertical="center" wrapText="1"/>
    </xf>
    <xf numFmtId="0" fontId="13" fillId="0" borderId="0" xfId="0" applyFont="1"/>
    <xf numFmtId="0" fontId="14" fillId="6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0" fontId="18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0" fillId="9" borderId="1" xfId="0" applyFont="1" applyFill="1" applyBorder="1" applyAlignment="1">
      <alignment horizontal="left" vertical="center" wrapText="1"/>
    </xf>
    <xf numFmtId="0" fontId="21" fillId="7" borderId="1" xfId="0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8" borderId="1" xfId="0" applyFont="1" applyFill="1" applyBorder="1" applyAlignment="1">
      <alignment horizontal="left" vertical="center" wrapText="1"/>
    </xf>
    <xf numFmtId="0" fontId="26" fillId="8" borderId="1" xfId="0" applyFont="1" applyFill="1" applyBorder="1" applyAlignment="1">
      <alignment horizontal="left" vertical="center" wrapText="1"/>
    </xf>
    <xf numFmtId="0" fontId="27" fillId="6" borderId="1" xfId="0" applyFont="1" applyFill="1" applyBorder="1" applyAlignment="1">
      <alignment horizontal="left" vertical="center" wrapText="1"/>
    </xf>
    <xf numFmtId="0" fontId="29" fillId="10" borderId="1" xfId="0" applyFont="1" applyFill="1" applyBorder="1" applyAlignment="1">
      <alignment horizontal="left" vertical="center" wrapText="1"/>
    </xf>
    <xf numFmtId="0" fontId="30" fillId="9" borderId="1" xfId="0" applyFont="1" applyFill="1" applyBorder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  <xf numFmtId="0" fontId="33" fillId="10" borderId="1" xfId="0" applyFont="1" applyFill="1" applyBorder="1" applyAlignment="1">
      <alignment horizontal="left" vertical="center" wrapText="1"/>
    </xf>
    <xf numFmtId="0" fontId="35" fillId="2" borderId="1" xfId="0" applyFont="1" applyFill="1" applyBorder="1" applyAlignment="1">
      <alignment horizontal="left" vertical="center" wrapText="1"/>
    </xf>
    <xf numFmtId="0" fontId="36" fillId="11" borderId="1" xfId="0" applyFont="1" applyFill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left" vertical="center" wrapText="1"/>
    </xf>
    <xf numFmtId="0" fontId="0" fillId="5" borderId="1" xfId="0" applyFill="1" applyBorder="1"/>
    <xf numFmtId="0" fontId="41" fillId="0" borderId="0" xfId="0" applyFont="1"/>
    <xf numFmtId="165" fontId="42" fillId="6" borderId="1" xfId="0" applyNumberFormat="1" applyFont="1" applyFill="1" applyBorder="1" applyAlignment="1">
      <alignment horizontal="center" vertical="center" wrapText="1"/>
    </xf>
    <xf numFmtId="165" fontId="43" fillId="2" borderId="1" xfId="0" applyNumberFormat="1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5" fillId="9" borderId="1" xfId="0" applyFont="1" applyFill="1" applyBorder="1" applyAlignment="1">
      <alignment horizontal="center" vertical="center" wrapText="1"/>
    </xf>
    <xf numFmtId="0" fontId="45" fillId="8" borderId="1" xfId="0" applyFont="1" applyFill="1" applyBorder="1" applyAlignment="1">
      <alignment horizontal="center" vertical="center" wrapText="1"/>
    </xf>
    <xf numFmtId="0" fontId="45" fillId="10" borderId="1" xfId="0" applyFont="1" applyFill="1" applyBorder="1" applyAlignment="1">
      <alignment horizontal="center" vertical="center" wrapText="1"/>
    </xf>
    <xf numFmtId="0" fontId="45" fillId="6" borderId="1" xfId="0" applyFont="1" applyFill="1" applyBorder="1" applyAlignment="1">
      <alignment horizontal="center" vertical="center" wrapText="1"/>
    </xf>
    <xf numFmtId="0" fontId="46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165" fontId="40" fillId="6" borderId="1" xfId="0" applyNumberFormat="1" applyFont="1" applyFill="1" applyBorder="1" applyAlignment="1">
      <alignment horizontal="center" vertical="center" wrapText="1"/>
    </xf>
    <xf numFmtId="0" fontId="29" fillId="10" borderId="1" xfId="0" applyFont="1" applyFill="1" applyBorder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  <xf numFmtId="0" fontId="35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ill>
        <patternFill>
          <bgColor rgb="FFFFD0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12B13"/>
      <rgbColor rgb="FF008000"/>
      <rgbColor rgb="FF26215C"/>
      <rgbColor rgb="FF808000"/>
      <rgbColor rgb="FF800080"/>
      <rgbColor rgb="FF008080"/>
      <rgbColor rgb="FFD3D1C7"/>
      <rgbColor rgb="FF888780"/>
      <rgbColor rgb="FFEEEDFE"/>
      <rgbColor rgb="FFCE3A36"/>
      <rgbColor rgb="FFFFF8CC"/>
      <rgbColor rgb="FFE1F5EE"/>
      <rgbColor rgb="FF660066"/>
      <rgbColor rgb="FFFF8080"/>
      <rgbColor rgb="FF2E5F99"/>
      <rgbColor rgb="FFCECB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F8F7F4"/>
      <rgbColor rgb="FFFAEEDA"/>
      <rgbColor rgb="FF99CCFF"/>
      <rgbColor rgb="FFFAECE7"/>
      <rgbColor rgb="FFD9D9D9"/>
      <rgbColor rgb="FFFFD0CC"/>
      <rgbColor rgb="FF397BCA"/>
      <rgbColor rgb="FF33CCCC"/>
      <rgbColor rgb="FF99CC00"/>
      <rgbColor rgb="FFFFCC00"/>
      <rgbColor rgb="FFFF9900"/>
      <rgbColor rgb="FFFF6600"/>
      <rgbColor rgb="FF5F5E5A"/>
      <rgbColor rgb="FF878787"/>
      <rgbColor rgb="FF0C447C"/>
      <rgbColor rgb="FF1D9E75"/>
      <rgbColor rgb="FF085041"/>
      <rgbColor rgb="FF633806"/>
      <rgbColor rgb="FF9C2F2C"/>
      <rgbColor rgb="FF993366"/>
      <rgbColor rgb="FF3C3489"/>
      <rgbColor rgb="FF2C2C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Perfil de madurez operativo (N0–N5)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Evaluación!$F$14</c:f>
              <c:strCache>
                <c:ptCount val="1"/>
                <c:pt idx="0">
                  <c:v>Nivel actual
(N0-N5)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Evaluación!$C$16:$C$28</c:f>
              <c:strCache>
                <c:ptCount val="13"/>
                <c:pt idx="0">
                  <c:v>Gobierno de roles (RACI)</c:v>
                </c:pt>
                <c:pt idx="1">
                  <c:v>Capacidad y dimensionamiento del equipo</c:v>
                </c:pt>
                <c:pt idx="3">
                  <c:v>Herramientas y automatización</c:v>
                </c:pt>
                <c:pt idx="4">
                  <c:v>Gestión del conocimiento (KEDB)</c:v>
                </c:pt>
                <c:pt idx="5">
                  <c:v>Gestión de integraciones y entorno de aplicaciones</c:v>
                </c:pt>
                <c:pt idx="7">
                  <c:v>Catálogo de servicios y límites del alcance</c:v>
                </c:pt>
                <c:pt idx="8">
                  <c:v>SLA / ANS por prioridad (Crítico · Alto · Medio · Bajo)</c:v>
                </c:pt>
                <c:pt idx="9">
                  <c:v>Disponibilidad y cobertura horaria</c:v>
                </c:pt>
                <c:pt idx="11">
                  <c:v>Gestión de incidentes</c:v>
                </c:pt>
                <c:pt idx="12">
                  <c:v>Gestión de solicitudes</c:v>
                </c:pt>
              </c:strCache>
            </c:strRef>
          </c:cat>
          <c:val>
            <c:numRef>
              <c:f>Evaluación!$F$15:$F$28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5B01-4C41-9D08-DD6A5B0483C6}"/>
            </c:ext>
          </c:extLst>
        </c:ser>
        <c:ser>
          <c:idx val="1"/>
          <c:order val="1"/>
          <c:tx>
            <c:strRef>
              <c:f>Evaluación!$G$14</c:f>
              <c:strCache>
                <c:ptCount val="1"/>
                <c:pt idx="0">
                  <c:v>Nivel objetivo
(N0-N5)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Evaluación!$C$16:$C$28</c:f>
              <c:strCache>
                <c:ptCount val="13"/>
                <c:pt idx="0">
                  <c:v>Gobierno de roles (RACI)</c:v>
                </c:pt>
                <c:pt idx="1">
                  <c:v>Capacidad y dimensionamiento del equipo</c:v>
                </c:pt>
                <c:pt idx="3">
                  <c:v>Herramientas y automatización</c:v>
                </c:pt>
                <c:pt idx="4">
                  <c:v>Gestión del conocimiento (KEDB)</c:v>
                </c:pt>
                <c:pt idx="5">
                  <c:v>Gestión de integraciones y entorno de aplicaciones</c:v>
                </c:pt>
                <c:pt idx="7">
                  <c:v>Catálogo de servicios y límites del alcance</c:v>
                </c:pt>
                <c:pt idx="8">
                  <c:v>SLA / ANS por prioridad (Crítico · Alto · Medio · Bajo)</c:v>
                </c:pt>
                <c:pt idx="9">
                  <c:v>Disponibilidad y cobertura horaria</c:v>
                </c:pt>
                <c:pt idx="11">
                  <c:v>Gestión de incidentes</c:v>
                </c:pt>
                <c:pt idx="12">
                  <c:v>Gestión de solicitudes</c:v>
                </c:pt>
              </c:strCache>
            </c:strRef>
          </c:cat>
          <c:val>
            <c:numRef>
              <c:f>Evaluación!$G$15:$G$28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5B01-4C41-9D08-DD6A5B048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61345"/>
        <c:axId val="41411500"/>
      </c:radarChart>
      <c:catAx>
        <c:axId val="9436134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1411500"/>
        <c:crosses val="autoZero"/>
        <c:auto val="1"/>
        <c:lblAlgn val="ctr"/>
        <c:lblOffset val="100"/>
        <c:noMultiLvlLbl val="0"/>
      </c:catAx>
      <c:valAx>
        <c:axId val="414115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436134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37</xdr:row>
      <xdr:rowOff>131400</xdr:rowOff>
    </xdr:from>
    <xdr:to>
      <xdr:col>6</xdr:col>
      <xdr:colOff>714960</xdr:colOff>
      <xdr:row>64</xdr:row>
      <xdr:rowOff>27360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3"/>
  <sheetViews>
    <sheetView showGridLines="0" tabSelected="1" zoomScaleNormal="100" workbookViewId="0">
      <selection activeCell="B5" sqref="B5"/>
    </sheetView>
  </sheetViews>
  <sheetFormatPr baseColWidth="10" defaultColWidth="8.6328125" defaultRowHeight="14.5" x14ac:dyDescent="0.35"/>
  <cols>
    <col min="1" max="1" width="3" customWidth="1"/>
    <col min="2" max="2" width="100" customWidth="1"/>
  </cols>
  <sheetData>
    <row r="2" spans="2:2" ht="23.5" x14ac:dyDescent="0.55000000000000004">
      <c r="B2" s="15" t="s">
        <v>217</v>
      </c>
    </row>
    <row r="3" spans="2:2" x14ac:dyDescent="0.35">
      <c r="B3" s="16" t="s">
        <v>0</v>
      </c>
    </row>
    <row r="5" spans="2:2" x14ac:dyDescent="0.35">
      <c r="B5" s="17"/>
    </row>
    <row r="6" spans="2:2" ht="15.5" x14ac:dyDescent="0.35">
      <c r="B6" s="18" t="s">
        <v>1</v>
      </c>
    </row>
    <row r="7" spans="2:2" x14ac:dyDescent="0.35">
      <c r="B7" s="17"/>
    </row>
    <row r="8" spans="2:2" x14ac:dyDescent="0.35">
      <c r="B8" s="17" t="s">
        <v>2</v>
      </c>
    </row>
    <row r="9" spans="2:2" x14ac:dyDescent="0.35">
      <c r="B9" s="17" t="s">
        <v>3</v>
      </c>
    </row>
    <row r="10" spans="2:2" x14ac:dyDescent="0.35">
      <c r="B10" s="17" t="s">
        <v>4</v>
      </c>
    </row>
    <row r="11" spans="2:2" x14ac:dyDescent="0.35">
      <c r="B11" s="17" t="s">
        <v>5</v>
      </c>
    </row>
    <row r="12" spans="2:2" x14ac:dyDescent="0.35">
      <c r="B12" s="17" t="s">
        <v>6</v>
      </c>
    </row>
    <row r="13" spans="2:2" x14ac:dyDescent="0.35">
      <c r="B13" s="17"/>
    </row>
    <row r="14" spans="2:2" ht="15.5" x14ac:dyDescent="0.35">
      <c r="B14" s="18" t="s">
        <v>7</v>
      </c>
    </row>
    <row r="15" spans="2:2" x14ac:dyDescent="0.35">
      <c r="B15" s="17"/>
    </row>
    <row r="16" spans="2:2" x14ac:dyDescent="0.35">
      <c r="B16" s="17" t="s">
        <v>8</v>
      </c>
    </row>
    <row r="17" spans="2:2" x14ac:dyDescent="0.35">
      <c r="B17" s="17" t="s">
        <v>9</v>
      </c>
    </row>
    <row r="18" spans="2:2" x14ac:dyDescent="0.35">
      <c r="B18" s="17" t="s">
        <v>10</v>
      </c>
    </row>
    <row r="19" spans="2:2" x14ac:dyDescent="0.35">
      <c r="B19" s="17" t="s">
        <v>11</v>
      </c>
    </row>
    <row r="20" spans="2:2" x14ac:dyDescent="0.35">
      <c r="B20" s="17" t="s">
        <v>12</v>
      </c>
    </row>
    <row r="21" spans="2:2" x14ac:dyDescent="0.35">
      <c r="B21" s="17" t="s">
        <v>13</v>
      </c>
    </row>
    <row r="22" spans="2:2" x14ac:dyDescent="0.35">
      <c r="B22" s="17" t="s">
        <v>14</v>
      </c>
    </row>
    <row r="23" spans="2:2" x14ac:dyDescent="0.35">
      <c r="B23" s="17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21"/>
  <sheetViews>
    <sheetView showGridLines="0" zoomScaleNormal="100" workbookViewId="0"/>
  </sheetViews>
  <sheetFormatPr baseColWidth="10" defaultColWidth="8.6328125" defaultRowHeight="14.5" x14ac:dyDescent="0.35"/>
  <cols>
    <col min="1" max="1" width="3" customWidth="1"/>
    <col min="2" max="2" width="34" customWidth="1"/>
    <col min="3" max="4" width="36" customWidth="1"/>
  </cols>
  <sheetData>
    <row r="2" spans="2:4" ht="18.5" x14ac:dyDescent="0.45">
      <c r="B2" s="14" t="s">
        <v>16</v>
      </c>
      <c r="C2" s="14"/>
      <c r="D2" s="14"/>
    </row>
    <row r="4" spans="2:4" x14ac:dyDescent="0.35">
      <c r="B4" s="19" t="s">
        <v>17</v>
      </c>
      <c r="C4" s="19" t="s">
        <v>18</v>
      </c>
      <c r="D4" s="19" t="s">
        <v>19</v>
      </c>
    </row>
    <row r="5" spans="2:4" ht="27.75" customHeight="1" x14ac:dyDescent="0.35">
      <c r="B5" s="20" t="s">
        <v>20</v>
      </c>
      <c r="C5" s="21" t="s">
        <v>21</v>
      </c>
      <c r="D5" s="22" t="s">
        <v>22</v>
      </c>
    </row>
    <row r="6" spans="2:4" ht="27.75" customHeight="1" x14ac:dyDescent="0.35">
      <c r="B6" s="23" t="s">
        <v>23</v>
      </c>
      <c r="C6" s="24" t="s">
        <v>24</v>
      </c>
      <c r="D6" s="25" t="s">
        <v>25</v>
      </c>
    </row>
    <row r="7" spans="2:4" ht="27.75" customHeight="1" x14ac:dyDescent="0.35">
      <c r="B7" s="20" t="s">
        <v>26</v>
      </c>
      <c r="C7" s="21" t="s">
        <v>27</v>
      </c>
      <c r="D7" s="22" t="s">
        <v>28</v>
      </c>
    </row>
    <row r="8" spans="2:4" ht="27.75" customHeight="1" x14ac:dyDescent="0.35">
      <c r="B8" s="23" t="s">
        <v>29</v>
      </c>
      <c r="C8" s="24" t="s">
        <v>30</v>
      </c>
      <c r="D8" s="25" t="s">
        <v>31</v>
      </c>
    </row>
    <row r="9" spans="2:4" ht="27.75" customHeight="1" x14ac:dyDescent="0.35">
      <c r="B9" s="20" t="s">
        <v>32</v>
      </c>
      <c r="C9" s="21" t="s">
        <v>33</v>
      </c>
      <c r="D9" s="22" t="s">
        <v>34</v>
      </c>
    </row>
    <row r="10" spans="2:4" ht="27.75" customHeight="1" x14ac:dyDescent="0.35">
      <c r="B10" s="23" t="s">
        <v>35</v>
      </c>
      <c r="C10" s="24" t="s">
        <v>36</v>
      </c>
      <c r="D10" s="25" t="s">
        <v>37</v>
      </c>
    </row>
    <row r="11" spans="2:4" ht="27.75" customHeight="1" x14ac:dyDescent="0.35">
      <c r="B11" s="20" t="s">
        <v>38</v>
      </c>
      <c r="C11" s="21" t="s">
        <v>39</v>
      </c>
      <c r="D11" s="22" t="s">
        <v>40</v>
      </c>
    </row>
    <row r="12" spans="2:4" ht="27.75" customHeight="1" x14ac:dyDescent="0.35">
      <c r="B12" s="23" t="s">
        <v>41</v>
      </c>
      <c r="C12" s="24" t="s">
        <v>42</v>
      </c>
      <c r="D12" s="25" t="s">
        <v>43</v>
      </c>
    </row>
    <row r="13" spans="2:4" ht="27.75" customHeight="1" x14ac:dyDescent="0.35">
      <c r="B13" s="20" t="s">
        <v>44</v>
      </c>
      <c r="C13" s="21" t="s">
        <v>45</v>
      </c>
      <c r="D13" s="22" t="s">
        <v>46</v>
      </c>
    </row>
    <row r="15" spans="2:4" ht="31.5" customHeight="1" x14ac:dyDescent="0.35">
      <c r="B15" s="26" t="s">
        <v>47</v>
      </c>
      <c r="C15" s="27"/>
    </row>
    <row r="17" spans="2:4" ht="15.5" x14ac:dyDescent="0.35">
      <c r="B17" s="28" t="s">
        <v>48</v>
      </c>
      <c r="C17" s="13" t="str">
        <f>IF(C15="Mesa de Ayuda","N2 · Administrado",IF(C15="Mesa de Soporte","N3 · Definido","—"))</f>
        <v>—</v>
      </c>
      <c r="D17" s="13"/>
    </row>
    <row r="18" spans="2:4" x14ac:dyDescent="0.35">
      <c r="B18" s="16" t="s">
        <v>49</v>
      </c>
      <c r="C18" s="29">
        <f>IF(C15="Mesa de Ayuda",2,IF(C15="Mesa de Soporte",3,0))</f>
        <v>0</v>
      </c>
    </row>
    <row r="20" spans="2:4" ht="31.5" customHeight="1" x14ac:dyDescent="0.35">
      <c r="B20" s="30" t="s">
        <v>50</v>
      </c>
      <c r="C20" s="27"/>
    </row>
    <row r="21" spans="2:4" x14ac:dyDescent="0.35">
      <c r="B21" s="12" t="s">
        <v>51</v>
      </c>
      <c r="C21" s="12"/>
      <c r="D21" s="12"/>
    </row>
  </sheetData>
  <mergeCells count="3">
    <mergeCell ref="B2:D2"/>
    <mergeCell ref="C17:D17"/>
    <mergeCell ref="B21:D21"/>
  </mergeCells>
  <dataValidations count="2">
    <dataValidation type="list" allowBlank="1" sqref="C15" xr:uid="{00000000-0002-0000-0100-000000000000}">
      <formula1>"Mesa de Ayuda,Mesa de Soporte"</formula1>
      <formula2>0</formula2>
    </dataValidation>
    <dataValidation type="list" allowBlank="1" sqref="C20" xr:uid="{00000000-0002-0000-0100-000001000000}">
      <formula1>"Sí,No,En construcción"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26"/>
  <sheetViews>
    <sheetView showGridLines="0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baseColWidth="10" defaultColWidth="8.6328125" defaultRowHeight="14.5" x14ac:dyDescent="0.35"/>
  <cols>
    <col min="1" max="1" width="3" customWidth="1"/>
    <col min="2" max="2" width="4" customWidth="1"/>
    <col min="3" max="3" width="30" customWidth="1"/>
    <col min="4" max="4" width="22" customWidth="1"/>
    <col min="5" max="11" width="26" customWidth="1"/>
  </cols>
  <sheetData>
    <row r="2" spans="2:11" ht="18.5" x14ac:dyDescent="0.45">
      <c r="B2" s="14" t="s">
        <v>52</v>
      </c>
      <c r="C2" s="14"/>
      <c r="D2" s="14"/>
      <c r="E2" s="14"/>
      <c r="F2" s="14"/>
      <c r="G2" s="14"/>
      <c r="H2" s="14"/>
      <c r="I2" s="14"/>
      <c r="J2" s="14"/>
      <c r="K2" s="14"/>
    </row>
    <row r="3" spans="2:11" ht="27.75" customHeight="1" x14ac:dyDescent="0.35">
      <c r="F3" s="31" t="s">
        <v>53</v>
      </c>
      <c r="G3" s="32" t="s">
        <v>54</v>
      </c>
      <c r="H3" s="33" t="s">
        <v>55</v>
      </c>
      <c r="I3" s="34" t="s">
        <v>56</v>
      </c>
      <c r="J3" s="35" t="s">
        <v>57</v>
      </c>
      <c r="K3" s="31" t="s">
        <v>58</v>
      </c>
    </row>
    <row r="4" spans="2:11" ht="27.75" customHeight="1" x14ac:dyDescent="0.35">
      <c r="B4" s="19" t="s">
        <v>59</v>
      </c>
      <c r="C4" s="19" t="s">
        <v>60</v>
      </c>
      <c r="D4" s="19" t="s">
        <v>61</v>
      </c>
      <c r="E4" s="19" t="s">
        <v>53</v>
      </c>
      <c r="F4" s="19" t="s">
        <v>54</v>
      </c>
      <c r="G4" s="19" t="s">
        <v>55</v>
      </c>
      <c r="H4" s="19" t="s">
        <v>56</v>
      </c>
      <c r="I4" s="19" t="s">
        <v>57</v>
      </c>
      <c r="J4" s="19" t="s">
        <v>58</v>
      </c>
    </row>
    <row r="5" spans="2:11" ht="21.75" customHeight="1" x14ac:dyDescent="0.35">
      <c r="B5" s="11" t="s">
        <v>62</v>
      </c>
      <c r="C5" s="11"/>
      <c r="D5" s="11"/>
      <c r="E5" s="11"/>
      <c r="F5" s="11"/>
      <c r="G5" s="11"/>
      <c r="H5" s="11"/>
      <c r="I5" s="11"/>
      <c r="J5" s="11"/>
      <c r="K5" s="11"/>
    </row>
    <row r="6" spans="2:11" ht="64.5" customHeight="1" x14ac:dyDescent="0.35">
      <c r="B6" s="36">
        <v>1</v>
      </c>
      <c r="C6" s="37" t="s">
        <v>63</v>
      </c>
      <c r="D6" s="38" t="s">
        <v>64</v>
      </c>
      <c r="E6" s="39" t="s">
        <v>65</v>
      </c>
      <c r="F6" s="40" t="s">
        <v>66</v>
      </c>
      <c r="G6" s="40" t="s">
        <v>67</v>
      </c>
      <c r="H6" s="40" t="s">
        <v>68</v>
      </c>
      <c r="I6" s="40" t="s">
        <v>69</v>
      </c>
      <c r="J6" s="40" t="s">
        <v>70</v>
      </c>
    </row>
    <row r="7" spans="2:11" ht="64.5" customHeight="1" x14ac:dyDescent="0.35">
      <c r="B7" s="36">
        <v>2</v>
      </c>
      <c r="C7" s="37" t="s">
        <v>71</v>
      </c>
      <c r="D7" s="41" t="s">
        <v>72</v>
      </c>
      <c r="E7" s="39" t="s">
        <v>65</v>
      </c>
      <c r="F7" s="40" t="s">
        <v>73</v>
      </c>
      <c r="G7" s="40" t="s">
        <v>74</v>
      </c>
      <c r="H7" s="40" t="s">
        <v>75</v>
      </c>
      <c r="I7" s="40" t="s">
        <v>76</v>
      </c>
      <c r="J7" s="40" t="s">
        <v>77</v>
      </c>
    </row>
    <row r="8" spans="2:11" ht="21.75" customHeight="1" x14ac:dyDescent="0.35">
      <c r="B8" s="10" t="s">
        <v>78</v>
      </c>
      <c r="C8" s="10"/>
      <c r="D8" s="10"/>
      <c r="E8" s="10"/>
      <c r="F8" s="10"/>
      <c r="G8" s="10"/>
      <c r="H8" s="10"/>
      <c r="I8" s="10"/>
      <c r="J8" s="10"/>
      <c r="K8" s="10"/>
    </row>
    <row r="9" spans="2:11" ht="64.5" customHeight="1" x14ac:dyDescent="0.35">
      <c r="B9" s="36">
        <v>3</v>
      </c>
      <c r="C9" s="42" t="s">
        <v>79</v>
      </c>
      <c r="D9" s="41" t="s">
        <v>72</v>
      </c>
      <c r="E9" s="39" t="s">
        <v>65</v>
      </c>
      <c r="F9" s="40" t="s">
        <v>80</v>
      </c>
      <c r="G9" s="40" t="s">
        <v>81</v>
      </c>
      <c r="H9" s="40" t="s">
        <v>82</v>
      </c>
      <c r="I9" s="40" t="s">
        <v>83</v>
      </c>
      <c r="J9" s="40" t="s">
        <v>84</v>
      </c>
    </row>
    <row r="10" spans="2:11" ht="64.5" customHeight="1" x14ac:dyDescent="0.35">
      <c r="B10" s="36">
        <v>4</v>
      </c>
      <c r="C10" s="42" t="s">
        <v>85</v>
      </c>
      <c r="D10" s="43" t="s">
        <v>86</v>
      </c>
      <c r="E10" s="39" t="s">
        <v>65</v>
      </c>
      <c r="F10" s="40" t="s">
        <v>87</v>
      </c>
      <c r="G10" s="40" t="s">
        <v>88</v>
      </c>
      <c r="H10" s="40" t="s">
        <v>89</v>
      </c>
      <c r="I10" s="40" t="s">
        <v>90</v>
      </c>
      <c r="J10" s="40" t="s">
        <v>91</v>
      </c>
    </row>
    <row r="11" spans="2:11" ht="64.5" customHeight="1" x14ac:dyDescent="0.35">
      <c r="B11" s="36">
        <v>5</v>
      </c>
      <c r="C11" s="42" t="s">
        <v>92</v>
      </c>
      <c r="D11" s="38" t="s">
        <v>64</v>
      </c>
      <c r="E11" s="39" t="s">
        <v>65</v>
      </c>
      <c r="F11" s="40" t="s">
        <v>93</v>
      </c>
      <c r="G11" s="40" t="s">
        <v>94</v>
      </c>
      <c r="H11" s="40" t="s">
        <v>95</v>
      </c>
      <c r="I11" s="40" t="s">
        <v>96</v>
      </c>
      <c r="J11" s="40" t="s">
        <v>97</v>
      </c>
    </row>
    <row r="12" spans="2:11" ht="21.75" customHeight="1" x14ac:dyDescent="0.35">
      <c r="B12" s="9" t="s">
        <v>98</v>
      </c>
      <c r="C12" s="9"/>
      <c r="D12" s="9"/>
      <c r="E12" s="9"/>
      <c r="F12" s="9"/>
      <c r="G12" s="9"/>
      <c r="H12" s="9"/>
      <c r="I12" s="9"/>
      <c r="J12" s="9"/>
      <c r="K12" s="9"/>
    </row>
    <row r="13" spans="2:11" ht="64.5" customHeight="1" x14ac:dyDescent="0.35">
      <c r="B13" s="36">
        <v>6</v>
      </c>
      <c r="C13" s="44" t="s">
        <v>99</v>
      </c>
      <c r="D13" s="45" t="s">
        <v>100</v>
      </c>
      <c r="E13" s="39" t="s">
        <v>65</v>
      </c>
      <c r="F13" s="40" t="s">
        <v>101</v>
      </c>
      <c r="G13" s="40" t="s">
        <v>102</v>
      </c>
      <c r="H13" s="40" t="s">
        <v>103</v>
      </c>
      <c r="I13" s="40" t="s">
        <v>104</v>
      </c>
      <c r="J13" s="40" t="s">
        <v>105</v>
      </c>
    </row>
    <row r="14" spans="2:11" ht="64.5" customHeight="1" x14ac:dyDescent="0.35">
      <c r="B14" s="36">
        <v>7</v>
      </c>
      <c r="C14" s="44" t="s">
        <v>106</v>
      </c>
      <c r="D14" s="45" t="s">
        <v>100</v>
      </c>
      <c r="E14" s="39" t="s">
        <v>65</v>
      </c>
      <c r="F14" s="40" t="s">
        <v>107</v>
      </c>
      <c r="G14" s="40" t="s">
        <v>108</v>
      </c>
      <c r="H14" s="40" t="s">
        <v>109</v>
      </c>
      <c r="I14" s="40" t="s">
        <v>110</v>
      </c>
      <c r="J14" s="40" t="s">
        <v>111</v>
      </c>
    </row>
    <row r="15" spans="2:11" ht="64.5" customHeight="1" x14ac:dyDescent="0.35">
      <c r="B15" s="36">
        <v>8</v>
      </c>
      <c r="C15" s="44" t="s">
        <v>112</v>
      </c>
      <c r="D15" s="38" t="s">
        <v>64</v>
      </c>
      <c r="E15" s="39" t="s">
        <v>65</v>
      </c>
      <c r="F15" s="40" t="s">
        <v>113</v>
      </c>
      <c r="G15" s="40" t="s">
        <v>114</v>
      </c>
      <c r="H15" s="40" t="s">
        <v>115</v>
      </c>
      <c r="I15" s="40" t="s">
        <v>116</v>
      </c>
      <c r="J15" s="40" t="s">
        <v>117</v>
      </c>
    </row>
    <row r="16" spans="2:11" ht="21.75" customHeight="1" x14ac:dyDescent="0.35">
      <c r="B16" s="8" t="s">
        <v>118</v>
      </c>
      <c r="C16" s="8"/>
      <c r="D16" s="8"/>
      <c r="E16" s="8"/>
      <c r="F16" s="8"/>
      <c r="G16" s="8"/>
      <c r="H16" s="8"/>
      <c r="I16" s="8"/>
      <c r="J16" s="8"/>
      <c r="K16" s="8"/>
    </row>
    <row r="17" spans="2:11" ht="64.5" customHeight="1" x14ac:dyDescent="0.35">
      <c r="B17" s="36">
        <v>9</v>
      </c>
      <c r="C17" s="46" t="s">
        <v>119</v>
      </c>
      <c r="D17" s="43" t="s">
        <v>86</v>
      </c>
      <c r="E17" s="39" t="s">
        <v>65</v>
      </c>
      <c r="F17" s="40" t="s">
        <v>120</v>
      </c>
      <c r="G17" s="40" t="s">
        <v>121</v>
      </c>
      <c r="H17" s="40" t="s">
        <v>122</v>
      </c>
      <c r="I17" s="40" t="s">
        <v>123</v>
      </c>
      <c r="J17" s="40" t="s">
        <v>124</v>
      </c>
    </row>
    <row r="18" spans="2:11" ht="64.5" customHeight="1" x14ac:dyDescent="0.35">
      <c r="B18" s="36">
        <v>10</v>
      </c>
      <c r="C18" s="46" t="s">
        <v>125</v>
      </c>
      <c r="D18" s="43" t="s">
        <v>86</v>
      </c>
      <c r="E18" s="39" t="s">
        <v>65</v>
      </c>
      <c r="F18" s="40" t="s">
        <v>126</v>
      </c>
      <c r="G18" s="40" t="s">
        <v>127</v>
      </c>
      <c r="H18" s="40" t="s">
        <v>128</v>
      </c>
      <c r="I18" s="40" t="s">
        <v>129</v>
      </c>
      <c r="J18" s="40" t="s">
        <v>130</v>
      </c>
    </row>
    <row r="19" spans="2:11" ht="64.5" customHeight="1" x14ac:dyDescent="0.35">
      <c r="B19" s="36">
        <v>11</v>
      </c>
      <c r="C19" s="46" t="s">
        <v>131</v>
      </c>
      <c r="D19" s="43" t="s">
        <v>86</v>
      </c>
      <c r="E19" s="39" t="s">
        <v>65</v>
      </c>
      <c r="F19" s="40" t="s">
        <v>132</v>
      </c>
      <c r="G19" s="40" t="s">
        <v>133</v>
      </c>
      <c r="H19" s="40" t="s">
        <v>134</v>
      </c>
      <c r="I19" s="40" t="s">
        <v>135</v>
      </c>
      <c r="J19" s="40" t="s">
        <v>136</v>
      </c>
    </row>
    <row r="20" spans="2:11" ht="64.5" customHeight="1" x14ac:dyDescent="0.35">
      <c r="B20" s="36">
        <v>12</v>
      </c>
      <c r="C20" s="46" t="s">
        <v>137</v>
      </c>
      <c r="D20" s="45" t="s">
        <v>100</v>
      </c>
      <c r="E20" s="39" t="s">
        <v>65</v>
      </c>
      <c r="F20" s="40" t="s">
        <v>138</v>
      </c>
      <c r="G20" s="40" t="s">
        <v>139</v>
      </c>
      <c r="H20" s="40" t="s">
        <v>140</v>
      </c>
      <c r="I20" s="40" t="s">
        <v>141</v>
      </c>
      <c r="J20" s="40" t="s">
        <v>142</v>
      </c>
    </row>
    <row r="21" spans="2:11" ht="64.5" customHeight="1" x14ac:dyDescent="0.35">
      <c r="B21" s="36">
        <v>13</v>
      </c>
      <c r="C21" s="46" t="s">
        <v>143</v>
      </c>
      <c r="D21" s="47" t="s">
        <v>144</v>
      </c>
      <c r="E21" s="39" t="s">
        <v>65</v>
      </c>
      <c r="F21" s="40" t="s">
        <v>145</v>
      </c>
      <c r="G21" s="40" t="s">
        <v>146</v>
      </c>
      <c r="H21" s="40" t="s">
        <v>147</v>
      </c>
      <c r="I21" s="40" t="s">
        <v>148</v>
      </c>
      <c r="J21" s="40" t="s">
        <v>149</v>
      </c>
    </row>
    <row r="22" spans="2:11" ht="21.75" customHeight="1" x14ac:dyDescent="0.35">
      <c r="B22" s="7" t="s">
        <v>150</v>
      </c>
      <c r="C22" s="7"/>
      <c r="D22" s="7"/>
      <c r="E22" s="7"/>
      <c r="F22" s="7"/>
      <c r="G22" s="7"/>
      <c r="H22" s="7"/>
      <c r="I22" s="7"/>
      <c r="J22" s="7"/>
      <c r="K22" s="7"/>
    </row>
    <row r="23" spans="2:11" ht="64.5" customHeight="1" x14ac:dyDescent="0.35">
      <c r="B23" s="36">
        <v>14</v>
      </c>
      <c r="C23" s="48" t="s">
        <v>151</v>
      </c>
      <c r="D23" s="49" t="s">
        <v>152</v>
      </c>
      <c r="E23" s="50" t="s">
        <v>153</v>
      </c>
      <c r="F23" s="51" t="s">
        <v>154</v>
      </c>
      <c r="G23" s="51" t="s">
        <v>155</v>
      </c>
      <c r="H23" s="51" t="s">
        <v>156</v>
      </c>
      <c r="I23" s="51" t="s">
        <v>157</v>
      </c>
      <c r="J23" s="51" t="s">
        <v>158</v>
      </c>
    </row>
    <row r="24" spans="2:11" ht="64.5" customHeight="1" x14ac:dyDescent="0.35">
      <c r="B24" s="36">
        <v>15</v>
      </c>
      <c r="C24" s="48" t="s">
        <v>159</v>
      </c>
      <c r="D24" s="49" t="s">
        <v>152</v>
      </c>
      <c r="E24" s="50" t="s">
        <v>153</v>
      </c>
      <c r="F24" s="51" t="s">
        <v>160</v>
      </c>
      <c r="G24" s="51" t="s">
        <v>161</v>
      </c>
      <c r="H24" s="51" t="s">
        <v>162</v>
      </c>
      <c r="I24" s="51" t="s">
        <v>163</v>
      </c>
      <c r="J24" s="51" t="s">
        <v>164</v>
      </c>
    </row>
    <row r="25" spans="2:11" ht="64.5" customHeight="1" x14ac:dyDescent="0.35">
      <c r="B25" s="36">
        <v>16</v>
      </c>
      <c r="C25" s="48" t="s">
        <v>165</v>
      </c>
      <c r="D25" s="49" t="s">
        <v>152</v>
      </c>
      <c r="E25" s="50" t="s">
        <v>153</v>
      </c>
      <c r="F25" s="51" t="s">
        <v>166</v>
      </c>
      <c r="G25" s="51" t="s">
        <v>167</v>
      </c>
      <c r="H25" s="51" t="s">
        <v>168</v>
      </c>
      <c r="I25" s="51" t="s">
        <v>169</v>
      </c>
      <c r="J25" s="51" t="s">
        <v>170</v>
      </c>
    </row>
    <row r="26" spans="2:11" ht="64.5" customHeight="1" x14ac:dyDescent="0.35">
      <c r="B26" s="36">
        <v>17</v>
      </c>
      <c r="C26" s="48" t="s">
        <v>171</v>
      </c>
      <c r="D26" s="49" t="s">
        <v>152</v>
      </c>
      <c r="E26" s="50" t="s">
        <v>153</v>
      </c>
      <c r="F26" s="51" t="s">
        <v>172</v>
      </c>
      <c r="G26" s="51" t="s">
        <v>173</v>
      </c>
      <c r="H26" s="51" t="s">
        <v>174</v>
      </c>
      <c r="I26" s="51" t="s">
        <v>175</v>
      </c>
      <c r="J26" s="51" t="s">
        <v>176</v>
      </c>
    </row>
  </sheetData>
  <mergeCells count="6">
    <mergeCell ref="B22:K22"/>
    <mergeCell ref="B2:K2"/>
    <mergeCell ref="B5:K5"/>
    <mergeCell ref="B8:K8"/>
    <mergeCell ref="B12:K12"/>
    <mergeCell ref="B16:K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36"/>
  <sheetViews>
    <sheetView showGridLines="0" zoomScaleNormal="100" workbookViewId="0">
      <pane xSplit="1" ySplit="14" topLeftCell="B15" activePane="bottomRight" state="frozen"/>
      <selection pane="topRight" activeCell="B1" sqref="B1"/>
      <selection pane="bottomLeft" activeCell="A15" sqref="A15"/>
      <selection pane="bottomRight"/>
    </sheetView>
  </sheetViews>
  <sheetFormatPr baseColWidth="10" defaultColWidth="8.6328125" defaultRowHeight="14.5" x14ac:dyDescent="0.35"/>
  <cols>
    <col min="1" max="1" width="3" customWidth="1"/>
    <col min="2" max="2" width="4" customWidth="1"/>
    <col min="3" max="3" width="34" customWidth="1"/>
    <col min="4" max="4" width="22" customWidth="1"/>
    <col min="5" max="5" width="18" customWidth="1"/>
    <col min="6" max="7" width="14" customWidth="1"/>
    <col min="8" max="8" width="8" customWidth="1"/>
    <col min="9" max="9" width="44" customWidth="1"/>
  </cols>
  <sheetData>
    <row r="2" spans="2:9" ht="18.5" x14ac:dyDescent="0.45">
      <c r="B2" s="14" t="s">
        <v>177</v>
      </c>
      <c r="C2" s="14"/>
      <c r="D2" s="14"/>
      <c r="E2" s="14"/>
      <c r="F2" s="14"/>
      <c r="G2" s="14"/>
      <c r="H2" s="14"/>
      <c r="I2" s="14"/>
    </row>
    <row r="4" spans="2:9" x14ac:dyDescent="0.35">
      <c r="B4" s="6" t="s">
        <v>178</v>
      </c>
      <c r="C4" s="6"/>
      <c r="D4" s="5"/>
      <c r="E4" s="5"/>
    </row>
    <row r="5" spans="2:9" x14ac:dyDescent="0.35">
      <c r="B5" s="6" t="s">
        <v>179</v>
      </c>
      <c r="C5" s="6"/>
      <c r="D5" s="5"/>
      <c r="E5" s="5"/>
    </row>
    <row r="6" spans="2:9" x14ac:dyDescent="0.35">
      <c r="B6" s="6" t="s">
        <v>180</v>
      </c>
      <c r="C6" s="6"/>
      <c r="D6" s="5"/>
      <c r="E6" s="5"/>
    </row>
    <row r="7" spans="2:9" x14ac:dyDescent="0.35">
      <c r="B7" s="6" t="s">
        <v>181</v>
      </c>
      <c r="C7" s="6"/>
      <c r="D7" s="5"/>
      <c r="E7" s="5"/>
    </row>
    <row r="8" spans="2:9" x14ac:dyDescent="0.35">
      <c r="B8" s="6" t="s">
        <v>182</v>
      </c>
      <c r="C8" s="6"/>
      <c r="D8" s="4"/>
      <c r="E8" s="4"/>
    </row>
    <row r="9" spans="2:9" x14ac:dyDescent="0.35">
      <c r="B9" s="6" t="s">
        <v>183</v>
      </c>
      <c r="C9" s="6"/>
      <c r="D9" s="5"/>
      <c r="E9" s="5"/>
    </row>
    <row r="11" spans="2:9" ht="17" x14ac:dyDescent="0.35">
      <c r="B11" s="6" t="s">
        <v>48</v>
      </c>
      <c r="C11" s="6"/>
      <c r="D11" s="3" t="str">
        <f>IF(D5="Mesa de Ayuda","N2 · Administrado",IF(D5="Mesa de Soporte","N3 · Definido","—"))</f>
        <v>—</v>
      </c>
      <c r="E11" s="3"/>
      <c r="F11" s="53" t="s">
        <v>184</v>
      </c>
      <c r="G11" s="54" t="str">
        <f>IFERROR(AVERAGE(F16:F28),"")</f>
        <v/>
      </c>
    </row>
    <row r="12" spans="2:9" ht="17" x14ac:dyDescent="0.35">
      <c r="B12" s="12" t="s">
        <v>185</v>
      </c>
      <c r="C12" s="12"/>
      <c r="D12" s="29">
        <f>IF(D5="Mesa de Ayuda",2,IF(D5="Mesa de Soporte",3,0))</f>
        <v>0</v>
      </c>
      <c r="F12" s="53" t="s">
        <v>186</v>
      </c>
      <c r="G12" s="55" t="str">
        <f>IFERROR(AVERAGE(F30:F33),"")</f>
        <v/>
      </c>
    </row>
    <row r="14" spans="2:9" ht="36" customHeight="1" x14ac:dyDescent="0.35">
      <c r="B14" s="19" t="s">
        <v>59</v>
      </c>
      <c r="C14" s="19" t="s">
        <v>60</v>
      </c>
      <c r="D14" s="19" t="s">
        <v>61</v>
      </c>
      <c r="E14" s="19" t="s">
        <v>187</v>
      </c>
      <c r="F14" s="19" t="s">
        <v>188</v>
      </c>
      <c r="G14" s="19" t="s">
        <v>189</v>
      </c>
      <c r="H14" s="19" t="s">
        <v>190</v>
      </c>
      <c r="I14" s="19" t="s">
        <v>191</v>
      </c>
    </row>
    <row r="15" spans="2:9" ht="19.5" customHeight="1" x14ac:dyDescent="0.35">
      <c r="B15" s="2" t="s">
        <v>62</v>
      </c>
      <c r="C15" s="2"/>
      <c r="D15" s="2"/>
      <c r="E15" s="2"/>
      <c r="F15" s="2"/>
      <c r="G15" s="2"/>
      <c r="H15" s="2"/>
      <c r="I15" s="2"/>
    </row>
    <row r="16" spans="2:9" ht="31.5" customHeight="1" x14ac:dyDescent="0.35">
      <c r="B16" s="36">
        <v>1</v>
      </c>
      <c r="C16" s="37" t="s">
        <v>63</v>
      </c>
      <c r="D16" s="38" t="s">
        <v>64</v>
      </c>
      <c r="E16" s="56" t="str">
        <f>IF($D$5="Mesa de Ayuda","N2 · Administrado",IF($D$5="Mesa de Soporte","N3 · Definido","—"))</f>
        <v>—</v>
      </c>
      <c r="F16" s="27"/>
      <c r="G16" s="27"/>
      <c r="H16" s="57" t="str">
        <f>IF(AND(F16&lt;&gt;"",G16&lt;&gt;""),G16-F16,"")</f>
        <v/>
      </c>
      <c r="I16" s="58"/>
    </row>
    <row r="17" spans="2:9" ht="31.5" customHeight="1" x14ac:dyDescent="0.35">
      <c r="B17" s="36">
        <v>2</v>
      </c>
      <c r="C17" s="37" t="s">
        <v>71</v>
      </c>
      <c r="D17" s="41" t="s">
        <v>72</v>
      </c>
      <c r="E17" s="56" t="str">
        <f>IF($D$5="Mesa de Ayuda","N2 · Administrado",IF($D$5="Mesa de Soporte","N3 · Definido","—"))</f>
        <v>—</v>
      </c>
      <c r="F17" s="27"/>
      <c r="G17" s="27"/>
      <c r="H17" s="57" t="str">
        <f>IF(AND(F17&lt;&gt;"",G17&lt;&gt;""),G17-F17,"")</f>
        <v/>
      </c>
      <c r="I17" s="58"/>
    </row>
    <row r="18" spans="2:9" ht="19.5" customHeight="1" x14ac:dyDescent="0.35">
      <c r="B18" s="1" t="s">
        <v>78</v>
      </c>
      <c r="C18" s="1"/>
      <c r="D18" s="1"/>
      <c r="E18" s="1"/>
      <c r="F18" s="1"/>
      <c r="G18" s="1"/>
      <c r="H18" s="1"/>
      <c r="I18" s="1"/>
    </row>
    <row r="19" spans="2:9" ht="31.5" customHeight="1" x14ac:dyDescent="0.35">
      <c r="B19" s="36">
        <v>3</v>
      </c>
      <c r="C19" s="42" t="s">
        <v>79</v>
      </c>
      <c r="D19" s="41" t="s">
        <v>72</v>
      </c>
      <c r="E19" s="56" t="str">
        <f>IF($D$5="Mesa de Ayuda","N2 · Administrado",IF($D$5="Mesa de Soporte","N3 · Definido","—"))</f>
        <v>—</v>
      </c>
      <c r="F19" s="27"/>
      <c r="G19" s="27"/>
      <c r="H19" s="57" t="str">
        <f>IF(AND(F19&lt;&gt;"",G19&lt;&gt;""),G19-F19,"")</f>
        <v/>
      </c>
      <c r="I19" s="58"/>
    </row>
    <row r="20" spans="2:9" ht="31.5" customHeight="1" x14ac:dyDescent="0.35">
      <c r="B20" s="36">
        <v>4</v>
      </c>
      <c r="C20" s="42" t="s">
        <v>85</v>
      </c>
      <c r="D20" s="43" t="s">
        <v>86</v>
      </c>
      <c r="E20" s="56" t="str">
        <f>IF($D$5="Mesa de Ayuda","N2 · Administrado",IF($D$5="Mesa de Soporte","N3 · Definido","—"))</f>
        <v>—</v>
      </c>
      <c r="F20" s="27"/>
      <c r="G20" s="27"/>
      <c r="H20" s="57" t="str">
        <f>IF(AND(F20&lt;&gt;"",G20&lt;&gt;""),G20-F20,"")</f>
        <v/>
      </c>
      <c r="I20" s="58"/>
    </row>
    <row r="21" spans="2:9" ht="31.5" customHeight="1" x14ac:dyDescent="0.35">
      <c r="B21" s="36">
        <v>5</v>
      </c>
      <c r="C21" s="42" t="s">
        <v>92</v>
      </c>
      <c r="D21" s="38" t="s">
        <v>64</v>
      </c>
      <c r="E21" s="56" t="str">
        <f>IF($D$5="Mesa de Ayuda","N2 · Administrado",IF($D$5="Mesa de Soporte","N3 · Definido","—"))</f>
        <v>—</v>
      </c>
      <c r="F21" s="27"/>
      <c r="G21" s="27"/>
      <c r="H21" s="57" t="str">
        <f>IF(AND(F21&lt;&gt;"",G21&lt;&gt;""),G21-F21,"")</f>
        <v/>
      </c>
      <c r="I21" s="58"/>
    </row>
    <row r="22" spans="2:9" ht="19.5" customHeight="1" x14ac:dyDescent="0.35">
      <c r="B22" s="66" t="s">
        <v>98</v>
      </c>
      <c r="C22" s="66"/>
      <c r="D22" s="66"/>
      <c r="E22" s="66"/>
      <c r="F22" s="66"/>
      <c r="G22" s="66"/>
      <c r="H22" s="66"/>
      <c r="I22" s="66"/>
    </row>
    <row r="23" spans="2:9" ht="31.5" customHeight="1" x14ac:dyDescent="0.35">
      <c r="B23" s="36">
        <v>6</v>
      </c>
      <c r="C23" s="44" t="s">
        <v>99</v>
      </c>
      <c r="D23" s="45" t="s">
        <v>100</v>
      </c>
      <c r="E23" s="56" t="str">
        <f>IF($D$5="Mesa de Ayuda","N2 · Administrado",IF($D$5="Mesa de Soporte","N3 · Definido","—"))</f>
        <v>—</v>
      </c>
      <c r="F23" s="27"/>
      <c r="G23" s="27"/>
      <c r="H23" s="57" t="str">
        <f>IF(AND(F23&lt;&gt;"",G23&lt;&gt;""),G23-F23,"")</f>
        <v/>
      </c>
      <c r="I23" s="58"/>
    </row>
    <row r="24" spans="2:9" ht="31.5" customHeight="1" x14ac:dyDescent="0.35">
      <c r="B24" s="36">
        <v>7</v>
      </c>
      <c r="C24" s="44" t="s">
        <v>106</v>
      </c>
      <c r="D24" s="45" t="s">
        <v>100</v>
      </c>
      <c r="E24" s="56" t="str">
        <f>IF($D$5="Mesa de Ayuda","N2 · Administrado",IF($D$5="Mesa de Soporte","N3 · Definido","—"))</f>
        <v>—</v>
      </c>
      <c r="F24" s="27"/>
      <c r="G24" s="27"/>
      <c r="H24" s="57" t="str">
        <f>IF(AND(F24&lt;&gt;"",G24&lt;&gt;""),G24-F24,"")</f>
        <v/>
      </c>
      <c r="I24" s="58"/>
    </row>
    <row r="25" spans="2:9" ht="31.5" customHeight="1" x14ac:dyDescent="0.35">
      <c r="B25" s="36">
        <v>8</v>
      </c>
      <c r="C25" s="44" t="s">
        <v>112</v>
      </c>
      <c r="D25" s="38" t="s">
        <v>64</v>
      </c>
      <c r="E25" s="56" t="str">
        <f>IF($D$5="Mesa de Ayuda","N2 · Administrado",IF($D$5="Mesa de Soporte","N3 · Definido","—"))</f>
        <v>—</v>
      </c>
      <c r="F25" s="27"/>
      <c r="G25" s="27"/>
      <c r="H25" s="57" t="str">
        <f>IF(AND(F25&lt;&gt;"",G25&lt;&gt;""),G25-F25,"")</f>
        <v/>
      </c>
      <c r="I25" s="58"/>
    </row>
    <row r="26" spans="2:9" ht="19.5" customHeight="1" x14ac:dyDescent="0.35">
      <c r="B26" s="67" t="s">
        <v>118</v>
      </c>
      <c r="C26" s="67"/>
      <c r="D26" s="67"/>
      <c r="E26" s="67"/>
      <c r="F26" s="67"/>
      <c r="G26" s="67"/>
      <c r="H26" s="67"/>
      <c r="I26" s="67"/>
    </row>
    <row r="27" spans="2:9" ht="31.5" customHeight="1" x14ac:dyDescent="0.35">
      <c r="B27" s="36">
        <v>9</v>
      </c>
      <c r="C27" s="46" t="s">
        <v>119</v>
      </c>
      <c r="D27" s="43" t="s">
        <v>86</v>
      </c>
      <c r="E27" s="56" t="str">
        <f>IF($D$5="Mesa de Ayuda","N2 · Administrado",IF($D$5="Mesa de Soporte","N3 · Definido","—"))</f>
        <v>—</v>
      </c>
      <c r="F27" s="27"/>
      <c r="G27" s="27"/>
      <c r="H27" s="57" t="str">
        <f>IF(AND(F27&lt;&gt;"",G27&lt;&gt;""),G27-F27,"")</f>
        <v/>
      </c>
      <c r="I27" s="58"/>
    </row>
    <row r="28" spans="2:9" ht="31.5" customHeight="1" x14ac:dyDescent="0.35">
      <c r="B28" s="36">
        <v>10</v>
      </c>
      <c r="C28" s="46" t="s">
        <v>125</v>
      </c>
      <c r="D28" s="43" t="s">
        <v>86</v>
      </c>
      <c r="E28" s="56" t="str">
        <f>IF($D$5="Mesa de Ayuda","N2 · Administrado",IF($D$5="Mesa de Soporte","N3 · Definido","—"))</f>
        <v>—</v>
      </c>
      <c r="F28" s="27"/>
      <c r="G28" s="27"/>
      <c r="H28" s="57" t="str">
        <f>IF(AND(F28&lt;&gt;"",G28&lt;&gt;""),G28-F28,"")</f>
        <v/>
      </c>
      <c r="I28" s="58"/>
    </row>
    <row r="29" spans="2:9" ht="31.5" customHeight="1" x14ac:dyDescent="0.35">
      <c r="B29" s="36">
        <v>11</v>
      </c>
      <c r="C29" s="46" t="s">
        <v>131</v>
      </c>
      <c r="D29" s="43" t="s">
        <v>86</v>
      </c>
      <c r="E29" s="56" t="str">
        <f>IF($D$5="Mesa de Ayuda","N2 · Administrado",IF($D$5="Mesa de Soporte","N3 · Definido","—"))</f>
        <v>—</v>
      </c>
      <c r="F29" s="27"/>
      <c r="G29" s="27"/>
      <c r="H29" s="57" t="str">
        <f>IF(AND(F29&lt;&gt;"",G29&lt;&gt;""),G29-F29,"")</f>
        <v/>
      </c>
      <c r="I29" s="58"/>
    </row>
    <row r="30" spans="2:9" ht="31.5" customHeight="1" x14ac:dyDescent="0.35">
      <c r="B30" s="36">
        <v>12</v>
      </c>
      <c r="C30" s="46" t="s">
        <v>137</v>
      </c>
      <c r="D30" s="45" t="s">
        <v>100</v>
      </c>
      <c r="E30" s="56" t="str">
        <f>IF($D$5="Mesa de Ayuda","N2 · Administrado",IF($D$5="Mesa de Soporte","N3 · Definido","—"))</f>
        <v>—</v>
      </c>
      <c r="F30" s="27"/>
      <c r="G30" s="27"/>
      <c r="H30" s="57" t="str">
        <f>IF(AND(F30&lt;&gt;"",G30&lt;&gt;""),G30-F30,"")</f>
        <v/>
      </c>
      <c r="I30" s="58"/>
    </row>
    <row r="31" spans="2:9" ht="31.5" customHeight="1" x14ac:dyDescent="0.35">
      <c r="B31" s="36">
        <v>13</v>
      </c>
      <c r="C31" s="46" t="s">
        <v>143</v>
      </c>
      <c r="D31" s="47" t="s">
        <v>144</v>
      </c>
      <c r="E31" s="56" t="str">
        <f>IF($D$5="Mesa de Ayuda","N2 · Administrado",IF($D$5="Mesa de Soporte","N3 · Definido","—"))</f>
        <v>—</v>
      </c>
      <c r="F31" s="27"/>
      <c r="G31" s="27"/>
      <c r="H31" s="57" t="str">
        <f>IF(AND(F31&lt;&gt;"",G31&lt;&gt;""),G31-F31,"")</f>
        <v/>
      </c>
      <c r="I31" s="58"/>
    </row>
    <row r="32" spans="2:9" ht="19.5" customHeight="1" x14ac:dyDescent="0.35">
      <c r="B32" s="68" t="s">
        <v>192</v>
      </c>
      <c r="C32" s="68"/>
      <c r="D32" s="68"/>
      <c r="E32" s="68"/>
      <c r="F32" s="68"/>
      <c r="G32" s="68"/>
      <c r="H32" s="68"/>
      <c r="I32" s="68"/>
    </row>
    <row r="33" spans="2:9" ht="31.5" customHeight="1" x14ac:dyDescent="0.35">
      <c r="B33" s="36">
        <v>14</v>
      </c>
      <c r="C33" s="48" t="s">
        <v>151</v>
      </c>
      <c r="D33" s="49" t="s">
        <v>152</v>
      </c>
      <c r="E33" s="36" t="s">
        <v>153</v>
      </c>
      <c r="F33" s="27"/>
      <c r="G33" s="27"/>
      <c r="H33" s="57" t="str">
        <f>IF(AND(F33&lt;&gt;"",G33&lt;&gt;""),G33-F33,"")</f>
        <v/>
      </c>
      <c r="I33" s="58"/>
    </row>
    <row r="34" spans="2:9" ht="31.5" customHeight="1" x14ac:dyDescent="0.35">
      <c r="B34" s="36">
        <v>15</v>
      </c>
      <c r="C34" s="48" t="s">
        <v>159</v>
      </c>
      <c r="D34" s="49" t="s">
        <v>152</v>
      </c>
      <c r="E34" s="36" t="s">
        <v>153</v>
      </c>
      <c r="F34" s="27"/>
      <c r="G34" s="27"/>
      <c r="H34" s="57" t="str">
        <f>IF(AND(F34&lt;&gt;"",G34&lt;&gt;""),G34-F34,"")</f>
        <v/>
      </c>
      <c r="I34" s="58"/>
    </row>
    <row r="35" spans="2:9" ht="31.5" customHeight="1" x14ac:dyDescent="0.35">
      <c r="B35" s="36">
        <v>16</v>
      </c>
      <c r="C35" s="48" t="s">
        <v>165</v>
      </c>
      <c r="D35" s="49" t="s">
        <v>152</v>
      </c>
      <c r="E35" s="36" t="s">
        <v>153</v>
      </c>
      <c r="F35" s="27"/>
      <c r="G35" s="27"/>
      <c r="H35" s="57" t="str">
        <f>IF(AND(F35&lt;&gt;"",G35&lt;&gt;""),G35-F35,"")</f>
        <v/>
      </c>
      <c r="I35" s="58"/>
    </row>
    <row r="36" spans="2:9" ht="31.5" customHeight="1" x14ac:dyDescent="0.35">
      <c r="B36" s="36">
        <v>17</v>
      </c>
      <c r="C36" s="48" t="s">
        <v>171</v>
      </c>
      <c r="D36" s="49" t="s">
        <v>152</v>
      </c>
      <c r="E36" s="36" t="s">
        <v>153</v>
      </c>
      <c r="F36" s="27"/>
      <c r="G36" s="27"/>
      <c r="H36" s="57" t="str">
        <f>IF(AND(F36&lt;&gt;"",G36&lt;&gt;""),G36-F36,"")</f>
        <v/>
      </c>
      <c r="I36" s="58"/>
    </row>
  </sheetData>
  <mergeCells count="21">
    <mergeCell ref="B15:I15"/>
    <mergeCell ref="B18:I18"/>
    <mergeCell ref="B22:I22"/>
    <mergeCell ref="B26:I26"/>
    <mergeCell ref="B32:I32"/>
    <mergeCell ref="B9:C9"/>
    <mergeCell ref="D9:E9"/>
    <mergeCell ref="B11:C11"/>
    <mergeCell ref="D11:E11"/>
    <mergeCell ref="B12:C12"/>
    <mergeCell ref="B6:C6"/>
    <mergeCell ref="D6:E6"/>
    <mergeCell ref="B7:C7"/>
    <mergeCell ref="D7:E7"/>
    <mergeCell ref="B8:C8"/>
    <mergeCell ref="D8:E8"/>
    <mergeCell ref="B2:I2"/>
    <mergeCell ref="B4:C4"/>
    <mergeCell ref="D4:E4"/>
    <mergeCell ref="B5:C5"/>
    <mergeCell ref="D5:E5"/>
  </mergeCells>
  <conditionalFormatting sqref="F16:F37">
    <cfRule type="expression" dxfId="0" priority="2">
      <formula>AND(F16&lt;&gt;"",$D$12&gt;0,F16&lt;$D$12)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dataValidations count="3">
    <dataValidation type="list" allowBlank="1" sqref="D5" xr:uid="{00000000-0002-0000-0300-000000000000}">
      <formula1>"Mesa de Ayuda,Mesa de Soporte"</formula1>
      <formula2>0</formula2>
    </dataValidation>
    <dataValidation type="list" allowBlank="1" sqref="D6" xr:uid="{00000000-0002-0000-0300-000001000000}">
      <formula1>"Sí,No,En construcción"</formula1>
      <formula2>0</formula2>
    </dataValidation>
    <dataValidation type="list" allowBlank="1" sqref="F16:G17 F19:G21 F23:G25 F27:G31 F33:G36" xr:uid="{00000000-0002-0000-0300-000002000000}">
      <formula1>"0,1,2,3,4,5"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W13"/>
  <sheetViews>
    <sheetView showGridLines="0" zoomScaleNormal="100" workbookViewId="0">
      <pane xSplit="5" ySplit="5" topLeftCell="F6" activePane="bottomRight" state="frozen"/>
      <selection pane="topRight" activeCell="F1" sqref="F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3" customWidth="1"/>
    <col min="2" max="2" width="24" customWidth="1"/>
    <col min="3" max="5" width="14" customWidth="1"/>
    <col min="6" max="22" width="12" customWidth="1"/>
    <col min="23" max="23" width="13" customWidth="1"/>
  </cols>
  <sheetData>
    <row r="2" spans="2:23" ht="18.5" x14ac:dyDescent="0.45">
      <c r="B2" s="14" t="s">
        <v>193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</row>
    <row r="3" spans="2:23" x14ac:dyDescent="0.35">
      <c r="B3" s="12" t="s">
        <v>194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</row>
    <row r="5" spans="2:23" ht="54.75" customHeight="1" x14ac:dyDescent="0.35">
      <c r="B5" s="19" t="s">
        <v>195</v>
      </c>
      <c r="C5" s="19" t="s">
        <v>196</v>
      </c>
      <c r="D5" s="19" t="s">
        <v>197</v>
      </c>
      <c r="E5" s="19" t="s">
        <v>198</v>
      </c>
      <c r="F5" s="59" t="s">
        <v>199</v>
      </c>
      <c r="G5" s="59" t="s">
        <v>200</v>
      </c>
      <c r="H5" s="60" t="s">
        <v>201</v>
      </c>
      <c r="I5" s="60" t="s">
        <v>202</v>
      </c>
      <c r="J5" s="60" t="s">
        <v>203</v>
      </c>
      <c r="K5" s="61" t="s">
        <v>204</v>
      </c>
      <c r="L5" s="61" t="s">
        <v>205</v>
      </c>
      <c r="M5" s="61" t="s">
        <v>206</v>
      </c>
      <c r="N5" s="62" t="s">
        <v>207</v>
      </c>
      <c r="O5" s="62" t="s">
        <v>208</v>
      </c>
      <c r="P5" s="62" t="s">
        <v>209</v>
      </c>
      <c r="Q5" s="62" t="s">
        <v>210</v>
      </c>
      <c r="R5" s="62" t="s">
        <v>211</v>
      </c>
      <c r="S5" s="63" t="s">
        <v>212</v>
      </c>
      <c r="T5" s="63" t="s">
        <v>213</v>
      </c>
      <c r="U5" s="63" t="s">
        <v>214</v>
      </c>
      <c r="V5" s="63" t="s">
        <v>215</v>
      </c>
      <c r="W5" s="64" t="s">
        <v>216</v>
      </c>
    </row>
    <row r="6" spans="2:23" x14ac:dyDescent="0.35">
      <c r="B6" s="52"/>
      <c r="C6" s="52"/>
      <c r="D6" s="52"/>
      <c r="E6" s="56" t="str">
        <f t="shared" ref="E6:E13" si="0">IF(C6="Mesa de Ayuda","N2 · Admin.",IF(C6="Mesa de Soporte","N3 · Def.","—"))</f>
        <v>—</v>
      </c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65" t="str">
        <f t="shared" ref="W6:W13" si="1">IFERROR(AVERAGE(F6:V6),"")</f>
        <v/>
      </c>
    </row>
    <row r="7" spans="2:23" x14ac:dyDescent="0.35">
      <c r="B7" s="52"/>
      <c r="C7" s="52"/>
      <c r="D7" s="52"/>
      <c r="E7" s="56" t="str">
        <f t="shared" si="0"/>
        <v>—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65" t="str">
        <f t="shared" si="1"/>
        <v/>
      </c>
    </row>
    <row r="8" spans="2:23" x14ac:dyDescent="0.35">
      <c r="B8" s="52"/>
      <c r="C8" s="52"/>
      <c r="D8" s="52"/>
      <c r="E8" s="56" t="str">
        <f t="shared" si="0"/>
        <v>—</v>
      </c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65" t="str">
        <f t="shared" si="1"/>
        <v/>
      </c>
    </row>
    <row r="9" spans="2:23" x14ac:dyDescent="0.35">
      <c r="B9" s="52"/>
      <c r="C9" s="52"/>
      <c r="D9" s="52"/>
      <c r="E9" s="56" t="str">
        <f t="shared" si="0"/>
        <v>—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65" t="str">
        <f t="shared" si="1"/>
        <v/>
      </c>
    </row>
    <row r="10" spans="2:23" x14ac:dyDescent="0.35">
      <c r="B10" s="52"/>
      <c r="C10" s="52"/>
      <c r="D10" s="52"/>
      <c r="E10" s="56" t="str">
        <f t="shared" si="0"/>
        <v>—</v>
      </c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65" t="str">
        <f t="shared" si="1"/>
        <v/>
      </c>
    </row>
    <row r="11" spans="2:23" x14ac:dyDescent="0.35">
      <c r="B11" s="52"/>
      <c r="C11" s="52"/>
      <c r="D11" s="52"/>
      <c r="E11" s="56" t="str">
        <f t="shared" si="0"/>
        <v>—</v>
      </c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65" t="str">
        <f t="shared" si="1"/>
        <v/>
      </c>
    </row>
    <row r="12" spans="2:23" x14ac:dyDescent="0.35">
      <c r="B12" s="52"/>
      <c r="C12" s="52"/>
      <c r="D12" s="52"/>
      <c r="E12" s="56" t="str">
        <f t="shared" si="0"/>
        <v>—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65" t="str">
        <f t="shared" si="1"/>
        <v/>
      </c>
    </row>
    <row r="13" spans="2:23" x14ac:dyDescent="0.35">
      <c r="B13" s="52"/>
      <c r="C13" s="52"/>
      <c r="D13" s="52"/>
      <c r="E13" s="56" t="str">
        <f t="shared" si="0"/>
        <v>—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65" t="str">
        <f t="shared" si="1"/>
        <v/>
      </c>
    </row>
  </sheetData>
  <mergeCells count="2">
    <mergeCell ref="B2:W2"/>
    <mergeCell ref="B3:W3"/>
  </mergeCells>
  <conditionalFormatting sqref="F6:W13">
    <cfRule type="colorScale" priority="2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dataValidations count="2">
    <dataValidation type="list" allowBlank="1" sqref="C6:C13" xr:uid="{00000000-0002-0000-0400-000000000000}">
      <formula1>"Mesa de Ayuda,Mesa de Soporte"</formula1>
      <formula2>0</formula2>
    </dataValidation>
    <dataValidation type="list" allowBlank="1" sqref="D6:D13" xr:uid="{00000000-0002-0000-0400-000001000000}">
      <formula1>"Sí,No,En construcción"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Clasificador</vt:lpstr>
      <vt:lpstr>Rúbrica</vt:lpstr>
      <vt:lpstr>Evaluación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Natalia Zartha Suarez</cp:lastModifiedBy>
  <cp:revision>1</cp:revision>
  <dcterms:created xsi:type="dcterms:W3CDTF">2026-06-30T20:47:16Z</dcterms:created>
  <dcterms:modified xsi:type="dcterms:W3CDTF">2026-07-01T13:17:17Z</dcterms:modified>
  <dc:language>en-US</dc:language>
</cp:coreProperties>
</file>