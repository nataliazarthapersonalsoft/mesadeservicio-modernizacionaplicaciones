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4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Listas" sheetId="2" state="visible" r:id="rId2"/>
    <sheet xmlns:r="http://schemas.openxmlformats.org/officeDocument/2006/relationships" name="Rúbrica" sheetId="3" state="visible" r:id="rId3"/>
    <sheet xmlns:r="http://schemas.openxmlformats.org/officeDocument/2006/relationships" name="SURA_Cotizadores" sheetId="4" state="visible" r:id="rId4"/>
    <sheet xmlns:r="http://schemas.openxmlformats.org/officeDocument/2006/relationships" name="SURA_VentaDigital" sheetId="5" state="visible" r:id="rId5"/>
    <sheet xmlns:r="http://schemas.openxmlformats.org/officeDocument/2006/relationships" name="SURA_TorreControl" sheetId="6" state="visible" r:id="rId6"/>
    <sheet xmlns:r="http://schemas.openxmlformats.org/officeDocument/2006/relationships" name="SURA_Mesa4" sheetId="7" state="visible" r:id="rId7"/>
    <sheet xmlns:r="http://schemas.openxmlformats.org/officeDocument/2006/relationships" name="BCO_GIOTI_1" sheetId="8" state="visible" r:id="rId8"/>
    <sheet xmlns:r="http://schemas.openxmlformats.org/officeDocument/2006/relationships" name="BCO_GIOTI_2" sheetId="9" state="visible" r:id="rId9"/>
    <sheet xmlns:r="http://schemas.openxmlformats.org/officeDocument/2006/relationships" name="BCO_GIOTI_3" sheetId="10" state="visible" r:id="rId10"/>
    <sheet xmlns:r="http://schemas.openxmlformats.org/officeDocument/2006/relationships" name="BCO_GIOTI_4" sheetId="11" state="visible" r:id="rId11"/>
    <sheet xmlns:r="http://schemas.openxmlformats.org/officeDocument/2006/relationships" name="Dashboard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"/>
  </numFmts>
  <fonts count="10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FFFFFF"/>
      <sz val="11"/>
    </font>
    <font>
      <name val="Calibri"/>
      <charset val="1"/>
      <family val="0"/>
      <color rgb="FF000000"/>
      <sz val="11"/>
    </font>
    <font>
      <name val="Calibri"/>
      <charset val="1"/>
      <family val="0"/>
      <b val="1"/>
      <color rgb="FFFFFFFF"/>
      <sz val="13"/>
    </font>
    <font>
      <name val="Calibri"/>
      <charset val="1"/>
      <family val="0"/>
      <i val="1"/>
      <color rgb="FF1F4E78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085041"/>
      <sz val="12"/>
    </font>
    <font>
      <name val="Calibri"/>
      <charset val="1"/>
      <family val="0"/>
      <color rgb="FF085041"/>
      <sz val="10"/>
    </font>
    <font>
      <name val="Calibri"/>
      <charset val="1"/>
      <family val="0"/>
      <b val="1"/>
      <color rgb="FFC00000"/>
      <sz val="12"/>
    </font>
    <font>
      <name val="Calibri"/>
      <charset val="1"/>
      <family val="0"/>
      <color rgb="FFC00000"/>
      <sz val="10"/>
    </font>
    <font>
      <name val="Calibri"/>
      <charset val="1"/>
      <family val="0"/>
      <b val="1"/>
      <color rgb="FF633806"/>
      <sz val="12"/>
    </font>
    <font>
      <name val="Calibri"/>
      <charset val="1"/>
      <family val="0"/>
      <color rgb="FF633806"/>
      <sz val="10"/>
    </font>
    <font>
      <name val="Calibri"/>
      <charset val="1"/>
      <family val="0"/>
      <b val="1"/>
      <color rgb="FF1D4ED8"/>
      <sz val="12"/>
    </font>
    <font>
      <name val="Calibri"/>
      <charset val="1"/>
      <family val="0"/>
      <color rgb="FF1D4ED8"/>
      <sz val="10"/>
    </font>
    <font>
      <name val="Calibri"/>
      <charset val="1"/>
      <family val="0"/>
      <b val="1"/>
      <color rgb="FF5B21B6"/>
      <sz val="12"/>
    </font>
    <font>
      <name val="Calibri"/>
      <charset val="1"/>
      <family val="0"/>
      <color rgb="FF5B21B6"/>
      <sz val="10"/>
    </font>
    <font>
      <name val="Calibri"/>
      <charset val="1"/>
      <family val="0"/>
      <b val="1"/>
      <color rgb="FF065F46"/>
      <sz val="12"/>
    </font>
    <font>
      <name val="Calibri"/>
      <charset val="1"/>
      <family val="0"/>
      <color rgb="FF065F46"/>
      <sz val="10"/>
    </font>
    <font>
      <name val="Calibri"/>
      <charset val="1"/>
      <family val="0"/>
      <b val="1"/>
      <color rgb="FF1F4E78"/>
      <sz val="10"/>
    </font>
    <font>
      <name val="Calibri"/>
      <charset val="1"/>
      <family val="0"/>
      <i val="1"/>
      <color rgb="FF666666"/>
      <sz val="9"/>
    </font>
    <font>
      <name val="Calibri"/>
      <charset val="1"/>
      <family val="0"/>
      <color rgb="FF1F4E78"/>
      <sz val="10"/>
    </font>
    <font>
      <name val="Calibri"/>
      <charset val="1"/>
      <family val="0"/>
      <b val="1"/>
      <color rgb="FF085041"/>
      <sz val="10"/>
    </font>
    <font>
      <name val="Calibri"/>
      <charset val="1"/>
      <family val="0"/>
      <b val="1"/>
      <color rgb="FF633806"/>
      <sz val="10"/>
    </font>
    <font>
      <name val="Calibri"/>
      <charset val="1"/>
      <family val="0"/>
      <b val="1"/>
      <color rgb="FF5B21B6"/>
      <sz val="10"/>
    </font>
    <font>
      <name val="Calibri"/>
      <charset val="1"/>
      <family val="0"/>
      <b val="1"/>
      <color rgb="FF9D174D"/>
      <sz val="10"/>
    </font>
    <font>
      <name val="Calibri"/>
      <charset val="1"/>
      <family val="0"/>
      <color rgb="FF9D174D"/>
      <sz val="10"/>
    </font>
    <font>
      <name val="Calibri"/>
      <charset val="1"/>
      <family val="0"/>
      <b val="1"/>
      <color rgb="FF26215C"/>
      <sz val="14"/>
    </font>
    <font>
      <name val="Calibri"/>
      <charset val="1"/>
      <family val="0"/>
      <i val="1"/>
      <color rgb="FF5F5E5A"/>
      <sz val="10"/>
    </font>
    <font>
      <name val="Calibri"/>
      <charset val="1"/>
      <family val="0"/>
      <color rgb="FF2C2C2A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b val="1"/>
      <color rgb="FF085041"/>
      <sz val="9"/>
    </font>
    <font>
      <name val="Calibri"/>
      <charset val="1"/>
      <family val="0"/>
      <b val="1"/>
      <color rgb="FF712B13"/>
      <sz val="9"/>
    </font>
    <font>
      <name val="Calibri"/>
      <charset val="1"/>
      <family val="0"/>
      <b val="1"/>
      <color rgb="FF633806"/>
      <sz val="9"/>
    </font>
    <font>
      <name val="Calibri"/>
      <charset val="1"/>
      <family val="0"/>
      <b val="1"/>
      <color rgb="FF0C447C"/>
      <sz val="9"/>
    </font>
    <font>
      <name val="Calibri"/>
      <charset val="1"/>
      <family val="0"/>
      <b val="1"/>
      <color rgb="FF3C3489"/>
      <sz val="9"/>
    </font>
    <font>
      <name val="Calibri"/>
      <charset val="1"/>
      <family val="0"/>
      <b val="1"/>
      <color rgb="FF0C447C"/>
      <sz val="11"/>
    </font>
    <font>
      <name val="Calibri"/>
      <charset val="1"/>
      <family val="0"/>
      <b val="1"/>
      <color rgb="FF0C447C"/>
      <sz val="10"/>
    </font>
    <font>
      <name val="Calibri"/>
      <charset val="1"/>
      <family val="0"/>
      <color rgb="FF712B13"/>
      <sz val="9"/>
    </font>
    <font>
      <name val="Calibri"/>
      <charset val="1"/>
      <family val="0"/>
      <i val="1"/>
      <color rgb="FF2C2C2A"/>
      <sz val="9"/>
    </font>
    <font>
      <name val="Calibri"/>
      <charset val="1"/>
      <family val="0"/>
      <color rgb="FF2C2C2A"/>
      <sz val="9"/>
    </font>
    <font>
      <name val="Calibri"/>
      <charset val="1"/>
      <family val="0"/>
      <color rgb="FF633806"/>
      <sz val="9"/>
    </font>
    <font>
      <name val="Calibri"/>
      <charset val="1"/>
      <family val="0"/>
      <b val="1"/>
      <color rgb="FF633806"/>
      <sz val="11"/>
    </font>
    <font>
      <name val="Calibri"/>
      <charset val="1"/>
      <family val="0"/>
      <color rgb="FF085041"/>
      <sz val="9"/>
    </font>
    <font>
      <name val="Calibri"/>
      <charset val="1"/>
      <family val="0"/>
      <b val="1"/>
      <color rgb="FF3C3489"/>
      <sz val="11"/>
    </font>
    <font>
      <name val="Calibri"/>
      <charset val="1"/>
      <family val="0"/>
      <b val="1"/>
      <color rgb="FF3C3489"/>
      <sz val="10"/>
    </font>
    <font>
      <name val="Calibri"/>
      <charset val="1"/>
      <family val="0"/>
      <color rgb="FF0C447C"/>
      <sz val="9"/>
    </font>
    <font>
      <name val="Calibri"/>
      <charset val="1"/>
      <family val="0"/>
      <b val="1"/>
      <color rgb="FF085041"/>
      <sz val="11"/>
    </font>
    <font>
      <name val="Calibri"/>
      <charset val="1"/>
      <family val="0"/>
      <color rgb="FF3C3489"/>
      <sz val="9"/>
    </font>
    <font>
      <name val="Calibri"/>
      <charset val="1"/>
      <family val="0"/>
      <b val="1"/>
      <color rgb="FFCECBF6"/>
      <sz val="11"/>
    </font>
    <font>
      <name val="Calibri"/>
      <charset val="1"/>
      <family val="0"/>
      <b val="1"/>
      <color rgb="FFCECBF6"/>
      <sz val="10"/>
    </font>
    <font>
      <name val="Calibri"/>
      <charset val="1"/>
      <family val="0"/>
      <color rgb="FFCECBF6"/>
      <sz val="9"/>
    </font>
    <font>
      <name val="Calibri"/>
      <charset val="1"/>
      <family val="0"/>
      <b val="1"/>
      <color rgb="FF712B13"/>
      <sz val="14"/>
    </font>
    <font>
      <name val="Calibri"/>
      <charset val="1"/>
      <family val="0"/>
      <b val="1"/>
      <color rgb="FF26215C"/>
      <sz val="10"/>
    </font>
    <font>
      <name val="Calibri"/>
      <charset val="1"/>
      <family val="0"/>
      <b val="1"/>
      <color rgb="FF1D9E75"/>
      <sz val="11"/>
    </font>
    <font>
      <name val="Calibri"/>
      <charset val="1"/>
      <family val="0"/>
      <b val="1"/>
      <color rgb="FF1D9E75"/>
      <sz val="13"/>
    </font>
    <font>
      <name val="Calibri"/>
      <charset val="1"/>
      <family val="0"/>
      <color rgb="FF888780"/>
      <sz val="9"/>
    </font>
    <font>
      <name val="Calibri"/>
      <charset val="1"/>
      <family val="0"/>
      <b val="1"/>
      <color rgb="FFFFFFFF"/>
      <sz val="8"/>
    </font>
    <font>
      <name val="Calibri"/>
      <charset val="1"/>
      <family val="0"/>
      <color rgb="FF1D9E75"/>
      <sz val="9"/>
    </font>
    <font>
      <name val="Calibri"/>
      <charset val="1"/>
      <family val="0"/>
      <b val="1"/>
      <color rgb="FF2C2C2A"/>
      <sz val="11"/>
    </font>
    <font>
      <name val="Calibri"/>
      <charset val="1"/>
      <family val="0"/>
      <color rgb="FF374151"/>
      <sz val="9"/>
    </font>
    <font>
      <name val="Calibri"/>
      <charset val="1"/>
      <family val="0"/>
      <i val="1"/>
      <color rgb="FF6B7280"/>
      <sz val="9"/>
    </font>
    <font>
      <name val="Calibri"/>
      <charset val="1"/>
      <family val="0"/>
      <color rgb="FF6B7280"/>
      <sz val="9"/>
    </font>
    <font>
      <name val="Calibri"/>
      <charset val="1"/>
      <family val="0"/>
      <b val="1"/>
      <color rgb="FF0C447C"/>
      <sz val="14"/>
    </font>
    <font>
      <name val="Calibri"/>
      <charset val="1"/>
      <family val="0"/>
      <b val="1"/>
      <color rgb="FF26215C"/>
      <sz val="16"/>
    </font>
    <font>
      <name val="Calibri"/>
      <charset val="1"/>
      <family val="0"/>
      <b val="1"/>
      <color rgb="FF0C447C"/>
      <sz val="8"/>
    </font>
    <font>
      <name val="Calibri"/>
      <charset val="1"/>
      <family val="0"/>
      <b val="1"/>
      <color rgb="FF633806"/>
      <sz val="8"/>
    </font>
    <font>
      <name val="Calibri"/>
      <charset val="1"/>
      <family val="0"/>
      <b val="1"/>
      <color rgb="FF3C3489"/>
      <sz val="8"/>
    </font>
    <font>
      <name val="Calibri"/>
      <charset val="1"/>
      <family val="0"/>
      <b val="1"/>
      <color rgb="FF085041"/>
      <sz val="8"/>
    </font>
    <font>
      <name val="Calibri"/>
      <charset val="1"/>
      <family val="0"/>
      <b val="1"/>
      <color rgb="FFCECBF6"/>
      <sz val="8"/>
    </font>
    <font>
      <name val="Calibri"/>
      <charset val="1"/>
      <family val="0"/>
      <b val="1"/>
      <color rgb="FF991B1B"/>
      <sz val="10"/>
    </font>
    <font>
      <name val="Calibri"/>
      <charset val="1"/>
      <family val="0"/>
      <b val="1"/>
      <color rgb="FFFFFFFF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 Light"/>
      <color rgb="001A1A2E"/>
      <sz val="11"/>
    </font>
    <font>
      <name val="Calibri Light"/>
      <b val="1"/>
      <color rgb="00F2F2F2"/>
      <sz val="18"/>
    </font>
    <font>
      <name val="Calibri Light"/>
      <color rgb="00F2F2F2"/>
      <sz val="11"/>
    </font>
    <font>
      <name val="Calibri Light"/>
      <b val="1"/>
      <color rgb="00F2F2F2"/>
      <sz val="13"/>
    </font>
    <font>
      <name val="Calibri Light"/>
      <color rgb="001A1A2E"/>
      <sz val="10"/>
    </font>
    <font>
      <name val="Calibri Light"/>
      <b val="1"/>
      <color rgb="00F2F2F2"/>
      <sz val="10"/>
    </font>
    <font>
      <name val="Calibri Light"/>
      <color rgb="001A1A2E"/>
      <sz val="12"/>
    </font>
    <font>
      <name val="Calibri Light"/>
      <b val="1"/>
      <color rgb="001A1A2E"/>
      <sz val="12"/>
    </font>
    <font>
      <name val="Calibri Light"/>
      <b val="1"/>
      <color rgb="001A1A2E"/>
      <sz val="10"/>
    </font>
    <font>
      <name val="Calibri Light"/>
      <color rgb="001A1A2E"/>
      <sz val="9"/>
    </font>
    <font>
      <name val="Calibri Light"/>
      <b val="1"/>
      <color rgb="001A1A2E"/>
      <sz val="14"/>
    </font>
    <font>
      <name val="Calibri Light"/>
      <b val="1"/>
      <color rgb="00F2F2F2"/>
      <sz val="9"/>
    </font>
    <font>
      <name val="Calibri Light"/>
      <b val="1"/>
      <color rgb="001A1A2E"/>
      <sz val="9"/>
    </font>
    <font>
      <name val="Calibri Light"/>
      <b val="1"/>
      <color rgb="001A1A2E"/>
      <sz val="11"/>
    </font>
    <font>
      <name val="Calibri Light"/>
      <b val="1"/>
      <color rgb="00F2F2F2"/>
      <sz val="11"/>
    </font>
    <font>
      <name val="Calibri Light"/>
      <color rgb="001A1A2E"/>
      <sz val="13"/>
    </font>
    <font>
      <name val="Calibri Light"/>
      <b val="1"/>
      <color rgb="00F2F2F2"/>
      <sz val="8"/>
    </font>
    <font>
      <name val="Calibri Light"/>
      <b val="1"/>
      <color rgb="001A1A2E"/>
      <sz val="16"/>
    </font>
    <font>
      <name val="Calibri Light"/>
      <color rgb="001A1A2E"/>
      <sz val="8"/>
    </font>
    <font>
      <name val="Calibri Light"/>
      <b val="1"/>
      <color rgb="001A1A2E"/>
      <sz val="8"/>
    </font>
    <font>
      <name val="Calibri Light"/>
      <b val="1"/>
      <color rgb="00F2F2F2"/>
      <sz val="14"/>
    </font>
    <font>
      <name val="Calibri Light"/>
      <color rgb="00AAAACC"/>
      <sz val="10"/>
    </font>
  </fonts>
  <fills count="34">
    <fill>
      <patternFill/>
    </fill>
    <fill>
      <patternFill patternType="gray125"/>
    </fill>
    <fill>
      <patternFill patternType="solid">
        <fgColor rgb="FF1F4E78"/>
        <bgColor rgb="FF0C447C"/>
      </patternFill>
    </fill>
    <fill>
      <patternFill patternType="solid">
        <fgColor rgb="FF3076B2"/>
        <bgColor rgb="FF1D4ED8"/>
      </patternFill>
    </fill>
    <fill>
      <patternFill patternType="solid">
        <fgColor rgb="FF0C447C"/>
        <bgColor rgb="FF1F4E78"/>
      </patternFill>
    </fill>
    <fill>
      <patternFill patternType="solid">
        <fgColor rgb="FFEBF3FB"/>
        <bgColor rgb="FFE6F1FB"/>
      </patternFill>
    </fill>
    <fill>
      <patternFill patternType="solid">
        <fgColor rgb="FFE1F5EE"/>
        <bgColor rgb="FFE6F1FB"/>
      </patternFill>
    </fill>
    <fill>
      <patternFill patternType="solid">
        <fgColor rgb="FFFAECE7"/>
        <bgColor rgb="FFFAEEDA"/>
      </patternFill>
    </fill>
    <fill>
      <patternFill patternType="solid">
        <fgColor rgb="FFFAEEDA"/>
        <bgColor rgb="FFFAECE7"/>
      </patternFill>
    </fill>
    <fill>
      <patternFill patternType="solid">
        <fgColor rgb="FFDBEAFE"/>
        <bgColor rgb="FFD6E4F7"/>
      </patternFill>
    </fill>
    <fill>
      <patternFill patternType="solid">
        <fgColor rgb="FFEDE9FE"/>
        <bgColor rgb="FFEEEDFE"/>
      </patternFill>
    </fill>
    <fill>
      <patternFill patternType="solid">
        <fgColor rgb="FFD1FAE5"/>
        <bgColor rgb="FFDCFCE7"/>
      </patternFill>
    </fill>
    <fill>
      <patternFill patternType="solid">
        <fgColor rgb="FFF8FAFF"/>
        <bgColor rgb="FFF8F7F4"/>
      </patternFill>
    </fill>
    <fill>
      <patternFill patternType="solid">
        <fgColor rgb="FFBDD7EE"/>
        <bgColor rgb="FFCECBF6"/>
      </patternFill>
    </fill>
    <fill>
      <patternFill patternType="solid">
        <fgColor rgb="FFFCE7F3"/>
        <bgColor rgb="FFFAECE7"/>
      </patternFill>
    </fill>
    <fill>
      <patternFill patternType="solid">
        <fgColor rgb="FF26215C"/>
        <bgColor rgb="FF2C2C2A"/>
      </patternFill>
    </fill>
    <fill>
      <patternFill patternType="solid">
        <fgColor rgb="FFF8F7F4"/>
        <bgColor rgb="FFF3F4F6"/>
      </patternFill>
    </fill>
    <fill>
      <patternFill patternType="solid">
        <fgColor rgb="FFFFFFFF"/>
        <bgColor rgb="FFF8FAFF"/>
      </patternFill>
    </fill>
    <fill>
      <patternFill patternType="solid">
        <fgColor rgb="FFE6F1FB"/>
        <bgColor rgb="FFEBF3FB"/>
      </patternFill>
    </fill>
    <fill>
      <patternFill patternType="solid">
        <fgColor rgb="FFEEEDFE"/>
        <bgColor rgb="FFEDE9FE"/>
      </patternFill>
    </fill>
    <fill>
      <patternFill patternType="solid">
        <fgColor rgb="FF3C3489"/>
        <bgColor rgb="FF374151"/>
      </patternFill>
    </fill>
    <fill>
      <patternFill patternType="solid">
        <fgColor rgb="FFFFF8CC"/>
        <bgColor rgb="FFFAEEDA"/>
      </patternFill>
    </fill>
    <fill>
      <patternFill patternType="solid">
        <fgColor rgb="FF085041"/>
        <bgColor rgb="FF065F46"/>
      </patternFill>
    </fill>
    <fill>
      <patternFill patternType="solid">
        <fgColor rgb="FF712B13"/>
        <bgColor rgb="FF633806"/>
      </patternFill>
    </fill>
    <fill>
      <patternFill patternType="solid">
        <fgColor rgb="FF991B1B"/>
        <bgColor rgb="FF9D174D"/>
      </patternFill>
    </fill>
    <fill>
      <patternFill patternType="solid">
        <fgColor rgb="FFF0F8FF"/>
        <bgColor rgb="FFF3F4F6"/>
      </patternFill>
    </fill>
    <fill>
      <patternFill patternType="solid">
        <fgColor rgb="FF1E9E7C"/>
        <bgColor rgb="FF3076B2"/>
      </patternFill>
    </fill>
    <fill>
      <patternFill patternType="solid">
        <fgColor rgb="FFFEE2E2"/>
        <bgColor rgb="FFFCE7F3"/>
      </patternFill>
    </fill>
    <fill>
      <patternFill patternType="solid">
        <fgColor rgb="FF01696F"/>
        <bgColor rgb="FF065F46"/>
      </patternFill>
    </fill>
    <fill>
      <patternFill patternType="solid">
        <fgColor rgb="FF1B3A5C"/>
        <bgColor rgb="FF0C447C"/>
      </patternFill>
    </fill>
    <fill>
      <patternFill patternType="solid">
        <fgColor rgb="FFF3F4F6"/>
        <bgColor rgb="FFF8F7F4"/>
      </patternFill>
    </fill>
    <fill>
      <patternFill patternType="solid">
        <fgColor rgb="000072BC"/>
      </patternFill>
    </fill>
    <fill>
      <patternFill patternType="solid">
        <fgColor rgb="00DCE6F1"/>
      </patternFill>
    </fill>
    <fill>
      <patternFill patternType="solid">
        <fgColor rgb="00132346"/>
      </patternFill>
    </fill>
  </fills>
  <borders count="6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/>
      <top style="thin">
        <color rgb="FFD3D1C7"/>
      </top>
      <bottom/>
      <diagonal/>
    </border>
    <border>
      <left/>
      <right style="thin">
        <color rgb="FFD3D1C7"/>
      </right>
      <top style="thin">
        <color rgb="FFD3D1C7"/>
      </top>
      <bottom/>
      <diagonal/>
    </border>
    <border>
      <left/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/>
      <top style="thin">
        <color rgb="FFD3D1C7"/>
      </top>
      <bottom style="thin">
        <color rgb="FFD3D1C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center" wrapText="1"/>
    </xf>
    <xf numFmtId="0" fontId="14" fillId="8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left" vertical="center" wrapText="1"/>
    </xf>
    <xf numFmtId="0" fontId="20" fillId="11" borderId="1" applyAlignment="1" pivotButton="0" quotePrefix="0" xfId="0">
      <alignment horizontal="center" vertical="center" wrapText="1"/>
    </xf>
    <xf numFmtId="0" fontId="21" fillId="11" borderId="1" applyAlignment="1" pivotButton="0" quotePrefix="0" xfId="0">
      <alignment horizontal="left" vertical="center" wrapText="1"/>
    </xf>
    <xf numFmtId="0" fontId="22" fillId="5" borderId="1" applyAlignment="1" pivotButton="0" quotePrefix="0" xfId="0">
      <alignment horizontal="left" vertical="center" wrapText="1"/>
    </xf>
    <xf numFmtId="0" fontId="23" fillId="12" borderId="1" applyAlignment="1" pivotButton="0" quotePrefix="0" xfId="0">
      <alignment horizontal="left" vertical="center" wrapText="1"/>
    </xf>
    <xf numFmtId="0" fontId="22" fillId="13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left" vertical="center" wrapText="1"/>
    </xf>
    <xf numFmtId="0" fontId="26" fillId="8" borderId="1" applyAlignment="1" pivotButton="0" quotePrefix="0" xfId="0">
      <alignment horizontal="left" vertical="center" wrapText="1"/>
    </xf>
    <xf numFmtId="0" fontId="27" fillId="10" borderId="1" applyAlignment="1" pivotButton="0" quotePrefix="0" xfId="0">
      <alignment horizontal="left" vertical="center" wrapText="1"/>
    </xf>
    <xf numFmtId="0" fontId="28" fillId="14" borderId="1" applyAlignment="1" pivotButton="0" quotePrefix="0" xfId="0">
      <alignment horizontal="left" vertical="center" wrapText="1"/>
    </xf>
    <xf numFmtId="0" fontId="29" fillId="14" borderId="1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9" fillId="15" borderId="1" applyAlignment="1" pivotButton="0" quotePrefix="0" xfId="0">
      <alignment horizontal="center" vertical="center" wrapText="1"/>
    </xf>
    <xf numFmtId="0" fontId="32" fillId="16" borderId="1" applyAlignment="1" pivotButton="0" quotePrefix="0" xfId="0">
      <alignment horizontal="left" vertical="center" wrapText="1"/>
    </xf>
    <xf numFmtId="0" fontId="32" fillId="17" borderId="1" applyAlignment="1" pivotButton="0" quotePrefix="0" xfId="0">
      <alignment horizontal="left" vertical="center" wrapText="1"/>
    </xf>
    <xf numFmtId="0" fontId="33" fillId="15" borderId="1" applyAlignment="1" pivotButton="0" quotePrefix="0" xfId="0">
      <alignment horizontal="center" vertical="center" wrapText="1"/>
    </xf>
    <xf numFmtId="0" fontId="34" fillId="6" borderId="1" applyAlignment="1" pivotButton="0" quotePrefix="0" xfId="0">
      <alignment horizontal="center" vertical="center" wrapText="1"/>
    </xf>
    <xf numFmtId="0" fontId="35" fillId="7" borderId="1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 wrapText="1"/>
    </xf>
    <xf numFmtId="0" fontId="37" fillId="18" borderId="1" applyAlignment="1" pivotButton="0" quotePrefix="0" xfId="0">
      <alignment horizontal="center" vertical="center" wrapText="1"/>
    </xf>
    <xf numFmtId="0" fontId="38" fillId="19" borderId="1" applyAlignment="1" pivotButton="0" quotePrefix="0" xfId="0">
      <alignment horizontal="center" vertical="center" wrapText="1"/>
    </xf>
    <xf numFmtId="0" fontId="39" fillId="18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40" fillId="18" borderId="1" applyAlignment="1" pivotButton="0" quotePrefix="0" xfId="0">
      <alignment horizontal="left" vertical="center" wrapText="1"/>
    </xf>
    <xf numFmtId="0" fontId="41" fillId="7" borderId="1" applyAlignment="1" pivotButton="0" quotePrefix="0" xfId="0">
      <alignment horizontal="left" vertical="center" wrapText="1"/>
    </xf>
    <xf numFmtId="0" fontId="42" fillId="0" borderId="1" applyAlignment="1" pivotButton="0" quotePrefix="0" xfId="0">
      <alignment horizontal="left" vertical="center" wrapText="1"/>
    </xf>
    <xf numFmtId="0" fontId="43" fillId="0" borderId="1" applyAlignment="1" pivotButton="0" quotePrefix="0" xfId="0">
      <alignment horizontal="left" vertical="center" wrapText="1"/>
    </xf>
    <xf numFmtId="0" fontId="44" fillId="8" borderId="1" applyAlignment="1" pivotButton="0" quotePrefix="0" xfId="0">
      <alignment horizontal="left" vertical="center" wrapText="1"/>
    </xf>
    <xf numFmtId="0" fontId="45" fillId="8" borderId="1" applyAlignment="1" pivotButton="0" quotePrefix="0" xfId="0">
      <alignment horizontal="left" vertical="center" wrapText="1"/>
    </xf>
    <xf numFmtId="0" fontId="46" fillId="6" borderId="1" applyAlignment="1" pivotButton="0" quotePrefix="0" xfId="0">
      <alignment horizontal="left" vertical="center" wrapText="1"/>
    </xf>
    <xf numFmtId="0" fontId="47" fillId="19" borderId="1" applyAlignment="1" pivotButton="0" quotePrefix="0" xfId="0">
      <alignment horizontal="left" vertical="center" wrapText="1"/>
    </xf>
    <xf numFmtId="0" fontId="48" fillId="19" borderId="1" applyAlignment="1" pivotButton="0" quotePrefix="0" xfId="0">
      <alignment horizontal="left" vertical="center" wrapText="1"/>
    </xf>
    <xf numFmtId="0" fontId="49" fillId="18" borderId="1" applyAlignment="1" pivotButton="0" quotePrefix="0" xfId="0">
      <alignment horizontal="left" vertical="center" wrapText="1"/>
    </xf>
    <xf numFmtId="0" fontId="50" fillId="6" borderId="1" applyAlignment="1" pivotButton="0" quotePrefix="0" xfId="0">
      <alignment horizontal="left" vertical="center" wrapText="1"/>
    </xf>
    <xf numFmtId="0" fontId="51" fillId="19" borderId="1" applyAlignment="1" pivotButton="0" quotePrefix="0" xfId="0">
      <alignment horizontal="left" vertical="center" wrapText="1"/>
    </xf>
    <xf numFmtId="0" fontId="52" fillId="15" borderId="1" applyAlignment="1" pivotButton="0" quotePrefix="0" xfId="0">
      <alignment horizontal="left" vertical="center" wrapText="1"/>
    </xf>
    <xf numFmtId="0" fontId="53" fillId="15" borderId="1" applyAlignment="1" pivotButton="0" quotePrefix="0" xfId="0">
      <alignment horizontal="left" vertical="center" wrapText="1"/>
    </xf>
    <xf numFmtId="0" fontId="54" fillId="20" borderId="1" applyAlignment="1" pivotButton="0" quotePrefix="0" xfId="0">
      <alignment horizontal="left" vertical="center" wrapText="1"/>
    </xf>
    <xf numFmtId="0" fontId="55" fillId="0" borderId="0" applyAlignment="1" pivotButton="0" quotePrefix="0" xfId="0">
      <alignment horizontal="general" vertical="bottom"/>
    </xf>
    <xf numFmtId="0" fontId="56" fillId="0" borderId="0" applyAlignment="1" pivotButton="0" quotePrefix="0" xfId="0">
      <alignment horizontal="left" vertical="center" wrapText="1"/>
    </xf>
    <xf numFmtId="0" fontId="0" fillId="21" borderId="1" applyAlignment="1" pivotButton="0" quotePrefix="0" xfId="0">
      <alignment horizontal="left" vertical="center" wrapText="1"/>
    </xf>
    <xf numFmtId="164" fontId="0" fillId="21" borderId="1" applyAlignment="1" pivotButton="0" quotePrefix="0" xfId="0">
      <alignment horizontal="left" vertical="center" wrapText="1"/>
    </xf>
    <xf numFmtId="0" fontId="56" fillId="0" borderId="0" applyAlignment="1" pivotButton="0" quotePrefix="0" xfId="0">
      <alignment horizontal="general" vertical="bottom"/>
    </xf>
    <xf numFmtId="0" fontId="57" fillId="6" borderId="1" applyAlignment="1" pivotButton="0" quotePrefix="0" xfId="0">
      <alignment horizontal="center" vertical="center" wrapText="1"/>
    </xf>
    <xf numFmtId="0" fontId="58" fillId="6" borderId="1" applyAlignment="1" pivotButton="0" quotePrefix="0" xfId="0">
      <alignment horizontal="center" vertical="center" wrapText="1"/>
    </xf>
    <xf numFmtId="0" fontId="59" fillId="0" borderId="0" applyAlignment="1" pivotButton="0" quotePrefix="0" xfId="0">
      <alignment horizontal="general" vertical="bottom"/>
    </xf>
    <xf numFmtId="0" fontId="59" fillId="0" borderId="1" applyAlignment="1" pivotButton="0" quotePrefix="0" xfId="0">
      <alignment horizontal="center" vertical="center" wrapText="1"/>
    </xf>
    <xf numFmtId="0" fontId="33" fillId="22" borderId="1" applyAlignment="1" pivotButton="0" quotePrefix="0" xfId="0">
      <alignment horizontal="center" vertical="center" wrapText="1"/>
    </xf>
    <xf numFmtId="0" fontId="60" fillId="22" borderId="1" applyAlignment="1" pivotButton="0" quotePrefix="0" xfId="0">
      <alignment horizontal="center" vertical="center" wrapText="1"/>
    </xf>
    <xf numFmtId="0" fontId="33" fillId="20" borderId="1" applyAlignment="1" pivotButton="0" quotePrefix="0" xfId="0">
      <alignment horizontal="center" vertical="center" wrapText="1"/>
    </xf>
    <xf numFmtId="0" fontId="33" fillId="23" borderId="1" applyAlignment="1" pivotButton="0" quotePrefix="0" xfId="0">
      <alignment horizontal="center" vertical="center" wrapText="1"/>
    </xf>
    <xf numFmtId="0" fontId="60" fillId="24" borderId="0" applyAlignment="1" pivotButton="0" quotePrefix="0" xfId="0">
      <alignment horizontal="center" vertical="center" wrapText="1"/>
    </xf>
    <xf numFmtId="0" fontId="61" fillId="6" borderId="1" applyAlignment="1" pivotButton="0" quotePrefix="0" xfId="0">
      <alignment horizontal="center" vertical="center" wrapText="1"/>
    </xf>
    <xf numFmtId="0" fontId="0" fillId="21" borderId="1" applyAlignment="1" pivotButton="0" quotePrefix="0" xfId="0">
      <alignment horizontal="center" vertical="center" wrapText="1"/>
    </xf>
    <xf numFmtId="0" fontId="0" fillId="25" borderId="1" applyAlignment="1" pivotButton="0" quotePrefix="0" xfId="0">
      <alignment horizontal="center" vertical="center" wrapText="1"/>
    </xf>
    <xf numFmtId="0" fontId="62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63" fillId="0" borderId="0" applyAlignment="1" pivotButton="0" quotePrefix="0" xfId="0">
      <alignment horizontal="center" vertical="center" wrapText="1"/>
    </xf>
    <xf numFmtId="0" fontId="64" fillId="0" borderId="1" applyAlignment="1" pivotButton="0" quotePrefix="0" xfId="0">
      <alignment horizontal="center" vertical="center" wrapText="1"/>
    </xf>
    <xf numFmtId="0" fontId="65" fillId="0" borderId="0" applyAlignment="1" pivotButton="0" quotePrefix="0" xfId="0">
      <alignment horizontal="center" vertical="center" wrapText="1"/>
    </xf>
    <xf numFmtId="0" fontId="66" fillId="0" borderId="0" applyAlignment="1" pivotButton="0" quotePrefix="0" xfId="0">
      <alignment horizontal="general" vertical="bottom"/>
    </xf>
    <xf numFmtId="0" fontId="67" fillId="0" borderId="0" applyAlignment="1" pivotButton="0" quotePrefix="0" xfId="0">
      <alignment horizontal="general" vertical="bottom"/>
    </xf>
    <xf numFmtId="0" fontId="33" fillId="26" borderId="1" applyAlignment="1" pivotButton="0" quotePrefix="0" xfId="0">
      <alignment horizontal="center" vertical="center" wrapText="1"/>
    </xf>
    <xf numFmtId="0" fontId="68" fillId="18" borderId="1" applyAlignment="1" pivotButton="0" quotePrefix="0" xfId="0">
      <alignment horizontal="center" vertical="center" wrapText="1"/>
    </xf>
    <xf numFmtId="0" fontId="69" fillId="8" borderId="1" applyAlignment="1" pivotButton="0" quotePrefix="0" xfId="0">
      <alignment horizontal="center" vertical="center" wrapText="1"/>
    </xf>
    <xf numFmtId="0" fontId="70" fillId="19" borderId="1" applyAlignment="1" pivotButton="0" quotePrefix="0" xfId="0">
      <alignment horizontal="center" vertical="center" wrapText="1"/>
    </xf>
    <xf numFmtId="0" fontId="71" fillId="6" borderId="1" applyAlignment="1" pivotButton="0" quotePrefix="0" xfId="0">
      <alignment horizontal="center" vertical="center" wrapText="1"/>
    </xf>
    <xf numFmtId="0" fontId="72" fillId="15" borderId="1" applyAlignment="1" pivotButton="0" quotePrefix="0" xfId="0">
      <alignment horizontal="center" vertical="center" wrapText="1"/>
    </xf>
    <xf numFmtId="0" fontId="33" fillId="24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165" fontId="57" fillId="6" borderId="1" applyAlignment="1" pivotButton="0" quotePrefix="0" xfId="0">
      <alignment horizontal="center" vertical="center" wrapText="1"/>
    </xf>
    <xf numFmtId="165" fontId="52" fillId="15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 wrapText="1"/>
    </xf>
    <xf numFmtId="0" fontId="73" fillId="27" borderId="0" applyAlignment="1" pivotButton="0" quotePrefix="0" xfId="0">
      <alignment horizontal="center" vertical="center"/>
    </xf>
    <xf numFmtId="0" fontId="73" fillId="17" borderId="0" applyAlignment="1" pivotButton="0" quotePrefix="0" xfId="0">
      <alignment horizontal="center" vertical="center"/>
    </xf>
    <xf numFmtId="165" fontId="0" fillId="0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74" fillId="28" borderId="0" applyAlignment="1" pivotButton="0" quotePrefix="0" xfId="0">
      <alignment horizontal="left" vertical="center"/>
    </xf>
    <xf numFmtId="0" fontId="33" fillId="29" borderId="0" applyAlignment="1" pivotButton="0" quotePrefix="0" xfId="0">
      <alignment horizontal="center" vertical="center" wrapText="1"/>
    </xf>
    <xf numFmtId="0" fontId="63" fillId="30" borderId="0" applyAlignment="1" pivotButton="0" quotePrefix="0" xfId="0">
      <alignment horizontal="left" vertical="center"/>
    </xf>
    <xf numFmtId="0" fontId="63" fillId="30" borderId="0" applyAlignment="1" pivotButton="0" quotePrefix="0" xfId="0">
      <alignment horizontal="left" vertical="center" wrapText="1"/>
    </xf>
    <xf numFmtId="0" fontId="63" fillId="17" borderId="0" applyAlignment="1" pivotButton="0" quotePrefix="0" xfId="0">
      <alignment horizontal="left" vertical="center"/>
    </xf>
    <xf numFmtId="0" fontId="63" fillId="17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78" fillId="2" borderId="0" applyAlignment="1" pivotButton="0" quotePrefix="0" xfId="0">
      <alignment horizontal="general" vertical="bottom"/>
    </xf>
    <xf numFmtId="0" fontId="78" fillId="0" borderId="0" pivotButton="0" quotePrefix="0" xfId="0"/>
    <xf numFmtId="0" fontId="79" fillId="2" borderId="0" applyAlignment="1" pivotButton="0" quotePrefix="0" xfId="0">
      <alignment horizontal="center" vertical="center" wrapText="1"/>
    </xf>
    <xf numFmtId="0" fontId="80" fillId="3" borderId="0" applyAlignment="1" pivotButton="0" quotePrefix="0" xfId="0">
      <alignment horizontal="center" vertical="center" wrapText="1"/>
    </xf>
    <xf numFmtId="0" fontId="78" fillId="2" borderId="0" applyAlignment="1" pivotButton="0" quotePrefix="0" xfId="0">
      <alignment horizontal="center" vertical="center" wrapText="1"/>
    </xf>
    <xf numFmtId="0" fontId="81" fillId="31" borderId="0" applyAlignment="1" pivotButton="0" quotePrefix="0" xfId="0">
      <alignment horizontal="center" vertical="center" wrapText="1"/>
    </xf>
    <xf numFmtId="0" fontId="82" fillId="5" borderId="0" applyAlignment="1" pivotButton="0" quotePrefix="0" xfId="0">
      <alignment horizontal="center" vertical="center" wrapText="1"/>
    </xf>
    <xf numFmtId="0" fontId="83" fillId="2" borderId="1" applyAlignment="1" pivotButton="0" quotePrefix="0" xfId="0">
      <alignment horizontal="center" vertical="center" wrapText="1"/>
    </xf>
    <xf numFmtId="0" fontId="84" fillId="32" borderId="1" applyAlignment="1" pivotButton="0" quotePrefix="0" xfId="0">
      <alignment horizontal="center" vertical="center" wrapText="1"/>
    </xf>
    <xf numFmtId="0" fontId="82" fillId="32" borderId="1" applyAlignment="1" pivotButton="0" quotePrefix="0" xfId="0">
      <alignment horizontal="left" vertical="center" wrapText="1"/>
    </xf>
    <xf numFmtId="0" fontId="85" fillId="7" borderId="1" applyAlignment="1" pivotButton="0" quotePrefix="0" xfId="0">
      <alignment horizontal="center" vertical="center" wrapText="1"/>
    </xf>
    <xf numFmtId="0" fontId="82" fillId="7" borderId="1" applyAlignment="1" pivotButton="0" quotePrefix="0" xfId="0">
      <alignment horizontal="left" vertical="center" wrapText="1"/>
    </xf>
    <xf numFmtId="0" fontId="85" fillId="8" borderId="1" applyAlignment="1" pivotButton="0" quotePrefix="0" xfId="0">
      <alignment horizontal="center" vertical="center" wrapText="1"/>
    </xf>
    <xf numFmtId="0" fontId="82" fillId="8" borderId="1" applyAlignment="1" pivotButton="0" quotePrefix="0" xfId="0">
      <alignment horizontal="left" vertical="center" wrapText="1"/>
    </xf>
    <xf numFmtId="0" fontId="85" fillId="9" borderId="1" applyAlignment="1" pivotButton="0" quotePrefix="0" xfId="0">
      <alignment horizontal="center" vertical="center" wrapText="1"/>
    </xf>
    <xf numFmtId="0" fontId="78" fillId="0" borderId="4" pivotButton="0" quotePrefix="0" xfId="0"/>
    <xf numFmtId="0" fontId="85" fillId="10" borderId="1" applyAlignment="1" pivotButton="0" quotePrefix="0" xfId="0">
      <alignment horizontal="center" vertical="center" wrapText="1"/>
    </xf>
    <xf numFmtId="0" fontId="82" fillId="10" borderId="1" applyAlignment="1" pivotButton="0" quotePrefix="0" xfId="0">
      <alignment horizontal="left" vertical="center" wrapText="1"/>
    </xf>
    <xf numFmtId="0" fontId="85" fillId="11" borderId="1" applyAlignment="1" pivotButton="0" quotePrefix="0" xfId="0">
      <alignment horizontal="center" vertical="center" wrapText="1"/>
    </xf>
    <xf numFmtId="0" fontId="82" fillId="11" borderId="1" applyAlignment="1" pivotButton="0" quotePrefix="0" xfId="0">
      <alignment horizontal="left" vertical="center" wrapText="1"/>
    </xf>
    <xf numFmtId="0" fontId="86" fillId="5" borderId="1" applyAlignment="1" pivotButton="0" quotePrefix="0" xfId="0">
      <alignment horizontal="left" vertical="center" wrapText="1"/>
    </xf>
    <xf numFmtId="0" fontId="87" fillId="12" borderId="1" applyAlignment="1" pivotButton="0" quotePrefix="0" xfId="0">
      <alignment horizontal="left" vertical="center" wrapText="1"/>
    </xf>
    <xf numFmtId="0" fontId="86" fillId="8" borderId="1" applyAlignment="1" pivotButton="0" quotePrefix="0" xfId="0">
      <alignment horizontal="left" vertical="center" wrapText="1"/>
    </xf>
    <xf numFmtId="0" fontId="86" fillId="10" borderId="1" applyAlignment="1" pivotButton="0" quotePrefix="0" xfId="0">
      <alignment horizontal="left" vertical="center" wrapText="1"/>
    </xf>
    <xf numFmtId="0" fontId="86" fillId="14" borderId="1" applyAlignment="1" pivotButton="0" quotePrefix="0" xfId="0">
      <alignment horizontal="left" vertical="center" wrapText="1"/>
    </xf>
    <xf numFmtId="0" fontId="82" fillId="14" borderId="1" applyAlignment="1" pivotButton="0" quotePrefix="0" xfId="0">
      <alignment horizontal="left" vertical="center" wrapText="1"/>
    </xf>
    <xf numFmtId="0" fontId="98" fillId="33" borderId="0" applyAlignment="1" pivotButton="0" quotePrefix="0" xfId="0">
      <alignment horizontal="left" vertical="center"/>
    </xf>
    <xf numFmtId="0" fontId="99" fillId="33" borderId="0" applyAlignment="1" pivotButton="0" quotePrefix="0" xfId="0">
      <alignment horizontal="left" vertical="center"/>
    </xf>
    <xf numFmtId="0" fontId="83" fillId="33" borderId="1" applyAlignment="1" pivotButton="0" quotePrefix="0" xfId="0">
      <alignment horizontal="center" vertical="center" wrapText="1"/>
    </xf>
    <xf numFmtId="0" fontId="82" fillId="16" borderId="1" applyAlignment="1" pivotButton="0" quotePrefix="0" xfId="0">
      <alignment horizontal="left" vertical="center" wrapText="1"/>
    </xf>
    <xf numFmtId="0" fontId="82" fillId="17" borderId="1" applyAlignment="1" pivotButton="0" quotePrefix="0" xfId="0">
      <alignment horizontal="left" vertical="center" wrapText="1"/>
    </xf>
    <xf numFmtId="0" fontId="89" fillId="33" borderId="1" applyAlignment="1" pivotButton="0" quotePrefix="0" xfId="0">
      <alignment horizontal="center" vertical="center" wrapText="1"/>
    </xf>
    <xf numFmtId="0" fontId="87" fillId="32" borderId="1" applyAlignment="1" pivotButton="0" quotePrefix="0" xfId="0">
      <alignment horizontal="center" vertical="center" wrapText="1"/>
    </xf>
    <xf numFmtId="0" fontId="90" fillId="7" borderId="1" applyAlignment="1" pivotButton="0" quotePrefix="0" xfId="0">
      <alignment horizontal="center" vertical="center" wrapText="1"/>
    </xf>
    <xf numFmtId="0" fontId="90" fillId="8" borderId="1" applyAlignment="1" pivotButton="0" quotePrefix="0" xfId="0">
      <alignment horizontal="center" vertical="center" wrapText="1"/>
    </xf>
    <xf numFmtId="0" fontId="90" fillId="19" borderId="1" applyAlignment="1" pivotButton="0" quotePrefix="0" xfId="0">
      <alignment horizontal="center" vertical="center" wrapText="1"/>
    </xf>
    <xf numFmtId="0" fontId="78" fillId="32" borderId="1" applyAlignment="1" pivotButton="0" quotePrefix="0" xfId="0">
      <alignment horizontal="left" vertical="center" wrapText="1"/>
    </xf>
    <xf numFmtId="0" fontId="78" fillId="0" borderId="5" pivotButton="0" quotePrefix="0" xfId="0"/>
    <xf numFmtId="0" fontId="78" fillId="0" borderId="1" applyAlignment="1" pivotButton="0" quotePrefix="0" xfId="0">
      <alignment horizontal="center" vertical="center" wrapText="1"/>
    </xf>
    <xf numFmtId="0" fontId="87" fillId="7" borderId="1" applyAlignment="1" pivotButton="0" quotePrefix="0" xfId="0">
      <alignment horizontal="left" vertical="center" wrapText="1"/>
    </xf>
    <xf numFmtId="0" fontId="87" fillId="0" borderId="1" applyAlignment="1" pivotButton="0" quotePrefix="0" xfId="0">
      <alignment horizontal="left" vertical="center" wrapText="1"/>
    </xf>
    <xf numFmtId="0" fontId="87" fillId="8" borderId="1" applyAlignment="1" pivotButton="0" quotePrefix="0" xfId="0">
      <alignment horizontal="left" vertical="center" wrapText="1"/>
    </xf>
    <xf numFmtId="0" fontId="91" fillId="8" borderId="1" applyAlignment="1" pivotButton="0" quotePrefix="0" xfId="0">
      <alignment horizontal="left" vertical="center" wrapText="1"/>
    </xf>
    <xf numFmtId="0" fontId="87" fillId="32" borderId="1" applyAlignment="1" pivotButton="0" quotePrefix="0" xfId="0">
      <alignment horizontal="left" vertical="center" wrapText="1"/>
    </xf>
    <xf numFmtId="0" fontId="91" fillId="19" borderId="1" applyAlignment="1" pivotButton="0" quotePrefix="0" xfId="0">
      <alignment horizontal="left" vertical="center" wrapText="1"/>
    </xf>
    <xf numFmtId="0" fontId="86" fillId="19" borderId="1" applyAlignment="1" pivotButton="0" quotePrefix="0" xfId="0">
      <alignment horizontal="left" vertical="center" wrapText="1"/>
    </xf>
    <xf numFmtId="0" fontId="87" fillId="19" borderId="1" applyAlignment="1" pivotButton="0" quotePrefix="0" xfId="0">
      <alignment horizontal="left" vertical="center" wrapText="1"/>
    </xf>
    <xf numFmtId="0" fontId="92" fillId="33" borderId="1" applyAlignment="1" pivotButton="0" quotePrefix="0" xfId="0">
      <alignment horizontal="left" vertical="center" wrapText="1"/>
    </xf>
    <xf numFmtId="0" fontId="83" fillId="33" borderId="1" applyAlignment="1" pivotButton="0" quotePrefix="0" xfId="0">
      <alignment horizontal="left" vertical="center" wrapText="1"/>
    </xf>
    <xf numFmtId="0" fontId="89" fillId="33" borderId="1" applyAlignment="1" pivotButton="0" quotePrefix="0" xfId="0">
      <alignment horizontal="left" vertical="center" wrapText="1"/>
    </xf>
    <xf numFmtId="0" fontId="86" fillId="0" borderId="0" applyAlignment="1" pivotButton="0" quotePrefix="0" xfId="0">
      <alignment horizontal="left" vertical="center" wrapText="1"/>
    </xf>
    <xf numFmtId="0" fontId="78" fillId="21" borderId="1" applyAlignment="1" pivotButton="0" quotePrefix="0" xfId="0">
      <alignment horizontal="left" vertical="center" wrapText="1"/>
    </xf>
    <xf numFmtId="164" fontId="78" fillId="21" borderId="1" applyAlignment="1" pivotButton="0" quotePrefix="0" xfId="0">
      <alignment horizontal="left" vertical="center" wrapText="1"/>
    </xf>
    <xf numFmtId="0" fontId="86" fillId="0" borderId="0" applyAlignment="1" pivotButton="0" quotePrefix="0" xfId="0">
      <alignment horizontal="general" vertical="bottom"/>
    </xf>
    <xf numFmtId="0" fontId="78" fillId="32" borderId="1" applyAlignment="1" pivotButton="0" quotePrefix="0" xfId="0">
      <alignment horizontal="center" vertical="center" wrapText="1"/>
    </xf>
    <xf numFmtId="0" fontId="93" fillId="32" borderId="1" applyAlignment="1" pivotButton="0" quotePrefix="0" xfId="0">
      <alignment horizontal="center" vertical="center" wrapText="1"/>
    </xf>
    <xf numFmtId="0" fontId="87" fillId="0" borderId="0" applyAlignment="1" pivotButton="0" quotePrefix="0" xfId="0">
      <alignment horizontal="general" vertical="bottom"/>
    </xf>
    <xf numFmtId="0" fontId="87" fillId="0" borderId="1" applyAlignment="1" pivotButton="0" quotePrefix="0" xfId="0">
      <alignment horizontal="center" vertical="center" wrapText="1"/>
    </xf>
    <xf numFmtId="0" fontId="94" fillId="33" borderId="1" applyAlignment="1" pivotButton="0" quotePrefix="0" xfId="0">
      <alignment horizontal="center" vertical="center" wrapText="1"/>
    </xf>
    <xf numFmtId="0" fontId="89" fillId="23" borderId="1" applyAlignment="1" pivotButton="0" quotePrefix="0" xfId="0">
      <alignment horizontal="center" vertical="center" wrapText="1"/>
    </xf>
    <xf numFmtId="0" fontId="94" fillId="24" borderId="0" applyAlignment="1" pivotButton="0" quotePrefix="0" xfId="0">
      <alignment horizontal="center" vertical="center" wrapText="1"/>
    </xf>
    <xf numFmtId="0" fontId="78" fillId="21" borderId="1" applyAlignment="1" pivotButton="0" quotePrefix="0" xfId="0">
      <alignment horizontal="center" vertical="center" wrapText="1"/>
    </xf>
    <xf numFmtId="0" fontId="78" fillId="25" borderId="1" applyAlignment="1" pivotButton="0" quotePrefix="0" xfId="0">
      <alignment horizontal="center" vertical="center" wrapText="1"/>
    </xf>
    <xf numFmtId="0" fontId="91" fillId="0" borderId="1" applyAlignment="1" pivotButton="0" quotePrefix="0" xfId="0">
      <alignment horizontal="center" vertical="center" wrapText="1"/>
    </xf>
    <xf numFmtId="0" fontId="78" fillId="0" borderId="1" applyAlignment="1" pivotButton="0" quotePrefix="0" xfId="0">
      <alignment horizontal="left" vertical="center" wrapText="1"/>
    </xf>
    <xf numFmtId="0" fontId="87" fillId="0" borderId="0" applyAlignment="1" pivotButton="0" quotePrefix="0" xfId="0">
      <alignment horizontal="center" vertical="center" wrapText="1"/>
    </xf>
    <xf numFmtId="0" fontId="89" fillId="31" borderId="1" applyAlignment="1" pivotButton="0" quotePrefix="0" xfId="0">
      <alignment horizontal="center" vertical="center" wrapText="1"/>
    </xf>
    <xf numFmtId="0" fontId="96" fillId="32" borderId="1" applyAlignment="1" pivotButton="0" quotePrefix="0" xfId="0">
      <alignment horizontal="center" vertical="center" wrapText="1"/>
    </xf>
    <xf numFmtId="0" fontId="97" fillId="8" borderId="1" applyAlignment="1" pivotButton="0" quotePrefix="0" xfId="0">
      <alignment horizontal="center" vertical="center" wrapText="1"/>
    </xf>
    <xf numFmtId="0" fontId="97" fillId="19" borderId="1" applyAlignment="1" pivotButton="0" quotePrefix="0" xfId="0">
      <alignment horizontal="center" vertical="center" wrapText="1"/>
    </xf>
    <xf numFmtId="0" fontId="89" fillId="24" borderId="0" applyAlignment="1" pivotButton="0" quotePrefix="0" xfId="0">
      <alignment horizontal="center" vertical="center" wrapText="1"/>
    </xf>
    <xf numFmtId="0" fontId="78" fillId="0" borderId="1" applyAlignment="1" pivotButton="0" quotePrefix="0" xfId="0">
      <alignment horizontal="general" vertical="bottom"/>
    </xf>
    <xf numFmtId="165" fontId="78" fillId="32" borderId="1" applyAlignment="1" pivotButton="0" quotePrefix="0" xfId="0">
      <alignment horizontal="center" vertical="center" wrapText="1"/>
    </xf>
    <xf numFmtId="165" fontId="92" fillId="33" borderId="1" applyAlignment="1" pivotButton="0" quotePrefix="0" xfId="0">
      <alignment horizontal="center" vertical="center" wrapText="1"/>
    </xf>
    <xf numFmtId="1" fontId="78" fillId="0" borderId="1" applyAlignment="1" pivotButton="0" quotePrefix="0" xfId="0">
      <alignment horizontal="center" vertical="center" wrapText="1"/>
    </xf>
    <xf numFmtId="0" fontId="86" fillId="27" borderId="0" applyAlignment="1" pivotButton="0" quotePrefix="0" xfId="0">
      <alignment horizontal="center" vertical="center"/>
    </xf>
    <xf numFmtId="0" fontId="86" fillId="17" borderId="0" applyAlignment="1" pivotButton="0" quotePrefix="0" xfId="0">
      <alignment horizontal="center" vertical="center"/>
    </xf>
    <xf numFmtId="0" fontId="78" fillId="0" borderId="0" applyAlignment="1" pivotButton="0" quotePrefix="0" xfId="0">
      <alignment horizontal="general" vertical="bottom"/>
    </xf>
    <xf numFmtId="165" fontId="78" fillId="0" borderId="1" applyAlignment="1" pivotButton="0" quotePrefix="0" xfId="0">
      <alignment horizontal="general" vertical="bottom"/>
    </xf>
    <xf numFmtId="165" fontId="78" fillId="0" borderId="0" applyAlignment="1" pivotButton="0" quotePrefix="0" xfId="0">
      <alignment horizontal="general" vertical="bottom"/>
    </xf>
    <xf numFmtId="0" fontId="92" fillId="31" borderId="0" applyAlignment="1" pivotButton="0" quotePrefix="0" xfId="0">
      <alignment horizontal="left" vertical="center"/>
    </xf>
    <xf numFmtId="0" fontId="89" fillId="33" borderId="0" applyAlignment="1" pivotButton="0" quotePrefix="0" xfId="0">
      <alignment horizontal="center" vertical="center" wrapText="1"/>
    </xf>
    <xf numFmtId="0" fontId="87" fillId="32" borderId="0" applyAlignment="1" pivotButton="0" quotePrefix="0" xfId="0">
      <alignment horizontal="left" vertical="center"/>
    </xf>
    <xf numFmtId="0" fontId="87" fillId="32" borderId="0" applyAlignment="1" pivotButton="0" quotePrefix="0" xfId="0">
      <alignment horizontal="left" vertical="center" wrapText="1"/>
    </xf>
    <xf numFmtId="0" fontId="87" fillId="17" borderId="0" applyAlignment="1" pivotButton="0" quotePrefix="0" xfId="0">
      <alignment horizontal="left" vertical="center"/>
    </xf>
    <xf numFmtId="0" fontId="87" fillId="17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>
          <bgColor rgb="FFFFD0CC"/>
        </patternFill>
      </fill>
    </dxf>
    <dxf>
      <fill>
        <patternFill>
          <bgColor rgb="FFE1F5EE"/>
        </patternFill>
      </fill>
    </dxf>
    <dxf>
      <font>
        <name val="Calibri"/>
        <charset val="1"/>
        <family val="0"/>
        <b val="1"/>
        <color rgb="FF991B1B"/>
      </font>
      <fill>
        <patternFill>
          <bgColor rgb="FFFEE2E2"/>
        </patternFill>
      </fill>
    </dxf>
    <dxf>
      <font>
        <name val="Calibri"/>
        <charset val="1"/>
        <family val="0"/>
        <b val="1"/>
        <color rgb="FF166534"/>
      </font>
      <fill>
        <patternFill>
          <bgColor rgb="FFDCFCE7"/>
        </patternFill>
      </fill>
    </dxf>
    <dxf>
      <fill>
        <patternFill>
          <bgColor rgb="FFD6E4F7"/>
        </patternFill>
      </fill>
    </dxf>
  </dxfs>
  <colors>
    <indexedColors>
      <rgbColor rgb="FF000000"/>
      <rgbColor rgb="FFFFFFFF"/>
      <rgbColor rgb="FFC00000"/>
      <rgbColor rgb="FFEBF3FB"/>
      <rgbColor rgb="FF1F4E78"/>
      <rgbColor rgb="FFFAECE7"/>
      <rgbColor rgb="FFEEEDFE"/>
      <rgbColor rgb="FFDBEAFE"/>
      <rgbColor rgb="FF712B13"/>
      <rgbColor rgb="FF166534"/>
      <rgbColor rgb="FF26215C"/>
      <rgbColor rgb="FF666666"/>
      <rgbColor rgb="FF5B21B6"/>
      <rgbColor rgb="FF01696F"/>
      <rgbColor rgb="FFBCB2C2"/>
      <rgbColor rgb="FF8A8688"/>
      <rgbColor rgb="FF7DA7CB"/>
      <rgbColor rgb="FFAD4845"/>
      <rgbColor rgb="FFFFF8CC"/>
      <rgbColor rgb="FFDCFCE7"/>
      <rgbColor rgb="FF374151"/>
      <rgbColor rgb="FFC97642"/>
      <rgbColor rgb="FF1D4ED8"/>
      <rgbColor rgb="FFCECBF6"/>
      <rgbColor rgb="FF0C447C"/>
      <rgbColor rgb="FFF3F4F6"/>
      <rgbColor rgb="FFF8F7F4"/>
      <rgbColor rgb="FFE6F1FB"/>
      <rgbColor rgb="FF5F5E5A"/>
      <rgbColor rgb="FFF0F8FF"/>
      <rgbColor rgb="FF065F46"/>
      <rgbColor rgb="FFF8FAFF"/>
      <rgbColor rgb="FFEDE9FE"/>
      <rgbColor rgb="FFE1F5EE"/>
      <rgbColor rgb="FFD1FAE5"/>
      <rgbColor rgb="FFFAEEDA"/>
      <rgbColor rgb="FFBDD7EE"/>
      <rgbColor rgb="FFFEE2E2"/>
      <rgbColor rgb="FFD3D1C7"/>
      <rgbColor rgb="FFFFD0CC"/>
      <rgbColor rgb="FF3076B2"/>
      <rgbColor rgb="FF6B7280"/>
      <rgbColor rgb="FFD6E4F7"/>
      <rgbColor rgb="FFFDB92D"/>
      <rgbColor rgb="FFEB8638"/>
      <rgbColor rgb="FFFCE7F3"/>
      <rgbColor rgb="FF735A91"/>
      <rgbColor rgb="FF84AA4E"/>
      <rgbColor rgb="FF1B3A5C"/>
      <rgbColor rgb="FF1E9E7C"/>
      <rgbColor rgb="FF085041"/>
      <rgbColor rgb="FF633806"/>
      <rgbColor rgb="FF991B1B"/>
      <rgbColor rgb="FF9D174D"/>
      <rgbColor rgb="FF3C3489"/>
      <rgbColor rgb="FF2C2C2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Nivel de Madurez Global por Mesa (0-5)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8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Dashboard!$C$61</f>
              <numCache>
                <formatCode>General</formatCode>
                <ptCount val="1"/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ab4744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Dashboard!$D$61</f>
              <numCache>
                <formatCode>General</formatCode>
                <ptCount val="1"/>
              </numCache>
            </numRef>
          </val>
        </ser>
        <ser>
          <idx val="2"/>
          <order val="2"/>
          <spPr>
            <a:solidFill xmlns:a="http://schemas.openxmlformats.org/drawingml/2006/main">
              <a:srgbClr val="8aa64f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Dashboard!$E$61</f>
              <numCache>
                <formatCode>General</formatCode>
                <ptCount val="1"/>
              </numCache>
            </numRef>
          </val>
        </ser>
        <ser>
          <idx val="3"/>
          <order val="3"/>
          <spPr>
            <a:solidFill xmlns:a="http://schemas.openxmlformats.org/drawingml/2006/main">
              <a:srgbClr val="725990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Dashboard!$F$61</f>
              <numCache>
                <formatCode>General</formatCode>
                <ptCount val="1"/>
              </numCache>
            </numRef>
          </val>
        </ser>
        <ser>
          <idx val="4"/>
          <order val="4"/>
          <spPr>
            <a:solidFill xmlns:a="http://schemas.openxmlformats.org/drawingml/2006/main">
              <a:srgbClr val="4299b0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Dashboard!$G$61</f>
              <numCache>
                <formatCode>General</formatCode>
                <ptCount val="1"/>
              </numCache>
            </numRef>
          </val>
        </ser>
        <ser>
          <idx val="5"/>
          <order val="5"/>
          <spPr>
            <a:solidFill xmlns:a="http://schemas.openxmlformats.org/drawingml/2006/main">
              <a:srgbClr val="dc853e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Dashboard!$H$61</f>
              <numCache>
                <formatCode>General</formatCode>
                <ptCount val="1"/>
              </numCache>
            </numRef>
          </val>
        </ser>
        <ser>
          <idx val="6"/>
          <order val="6"/>
          <spPr>
            <a:solidFill xmlns:a="http://schemas.openxmlformats.org/drawingml/2006/main">
              <a:srgbClr val="93a9ce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Dashboard!$I$61</f>
              <numCache>
                <formatCode>General</formatCode>
                <ptCount val="1"/>
              </numCache>
            </numRef>
          </val>
        </ser>
        <ser>
          <idx val="7"/>
          <order val="7"/>
          <spPr>
            <a:solidFill xmlns:a="http://schemas.openxmlformats.org/drawingml/2006/main">
              <a:srgbClr val="d09493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Dashboard!$J$61</f>
              <numCache>
                <formatCode>General</formatCode>
                <ptCount val="1"/>
              </numCache>
            </numRef>
          </val>
        </ser>
        <gapWidth val="150"/>
        <overlap val="0"/>
        <axId val="99606174"/>
        <axId val="18248411"/>
      </barChart>
      <catAx>
        <axId val="99606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18248411"/>
        <crosses val="autoZero"/>
        <auto val="1"/>
        <lblAlgn val="ctr"/>
        <lblOffset val="100"/>
        <noMultiLvlLbl val="0"/>
      </catAx>
      <valAx>
        <axId val="18248411"/>
        <scaling>
          <orientation val="minMax"/>
          <max val="5"/>
          <min val="0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Nivel promedio (0=N0 · 5=N5)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9960617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Madurez por Dimensión ITIL v5 por Mesa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2e75b6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Dashboard!$C$62</f>
              <numCache>
                <formatCode>General</formatCode>
                <ptCount val="1"/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ed7d31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Dashboard!$D$62</f>
              <numCache>
                <formatCode>General</formatCode>
                <ptCount val="1"/>
              </numCache>
            </numRef>
          </val>
        </ser>
        <ser>
          <idx val="2"/>
          <order val="2"/>
          <spPr>
            <a:solidFill xmlns:a="http://schemas.openxmlformats.org/drawingml/2006/main">
              <a:srgbClr val="70ad47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Dashboard!$E$62</f>
              <numCache>
                <formatCode>General</formatCode>
                <ptCount val="1"/>
              </numCache>
            </numRef>
          </val>
        </ser>
        <ser>
          <idx val="3"/>
          <order val="3"/>
          <spPr>
            <a:solidFill xmlns:a="http://schemas.openxmlformats.org/drawingml/2006/main">
              <a:srgbClr val="ffc000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Dashboard!$F$62</f>
              <numCache>
                <formatCode>General</formatCode>
                <ptCount val="1"/>
              </numCache>
            </numRef>
          </val>
        </ser>
        <ser>
          <idx val="4"/>
          <order val="4"/>
          <spPr>
            <a:solidFill xmlns:a="http://schemas.openxmlformats.org/drawingml/2006/main">
              <a:srgbClr val="377f92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Dashboard!$G$62</f>
              <numCache>
                <formatCode>General</formatCode>
                <ptCount val="1"/>
              </numCache>
            </numRef>
          </val>
        </ser>
        <ser>
          <idx val="5"/>
          <order val="5"/>
          <spPr>
            <a:solidFill xmlns:a="http://schemas.openxmlformats.org/drawingml/2006/main">
              <a:srgbClr val="b66e33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Dashboard!$H$62</f>
              <numCache>
                <formatCode>General</formatCode>
                <ptCount val="1"/>
              </numCache>
            </numRef>
          </val>
        </ser>
        <ser>
          <idx val="6"/>
          <order val="6"/>
          <spPr>
            <a:solidFill xmlns:a="http://schemas.openxmlformats.org/drawingml/2006/main">
              <a:srgbClr val="436ea1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Dashboard!$I$62</f>
              <numCache>
                <formatCode>General</formatCode>
                <ptCount val="1"/>
              </numCache>
            </numRef>
          </val>
        </ser>
        <ser>
          <idx val="7"/>
          <order val="7"/>
          <spPr>
            <a:solidFill xmlns:a="http://schemas.openxmlformats.org/drawingml/2006/main">
              <a:srgbClr val="a44441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Dashboard!$J$62</f>
              <numCache>
                <formatCode>General</formatCode>
                <ptCount val="1"/>
              </numCache>
            </numRef>
          </val>
        </ser>
        <ser>
          <idx val="8"/>
          <order val="8"/>
          <spPr>
            <a:solidFill xmlns:a="http://schemas.openxmlformats.org/drawingml/2006/main">
              <a:srgbClr val="84a04c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Dashboard!$C$63</f>
              <numCache>
                <formatCode>General</formatCode>
                <ptCount val="1"/>
              </numCache>
            </numRef>
          </val>
        </ser>
        <ser>
          <idx val="9"/>
          <order val="9"/>
          <spPr>
            <a:solidFill xmlns:a="http://schemas.openxmlformats.org/drawingml/2006/main">
              <a:srgbClr val="6d558a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Dashboard!$D$63</f>
              <numCache>
                <formatCode>General</formatCode>
                <ptCount val="1"/>
              </numCache>
            </numRef>
          </val>
        </ser>
        <ser>
          <idx val="10"/>
          <order val="10"/>
          <spPr>
            <a:solidFill xmlns:a="http://schemas.openxmlformats.org/drawingml/2006/main">
              <a:srgbClr val="4093a9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Dashboard!$E$63</f>
              <numCache>
                <formatCode>General</formatCode>
                <ptCount val="1"/>
              </numCache>
            </numRef>
          </val>
        </ser>
        <ser>
          <idx val="11"/>
          <order val="11"/>
          <spPr>
            <a:solidFill xmlns:a="http://schemas.openxmlformats.org/drawingml/2006/main">
              <a:srgbClr val="d3803b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Dashboard!$F$63</f>
              <numCache>
                <formatCode>General</formatCode>
                <ptCount val="1"/>
              </numCache>
            </numRef>
          </val>
        </ser>
        <ser>
          <idx val="12"/>
          <order val="12"/>
          <spPr>
            <a:solidFill xmlns:a="http://schemas.openxmlformats.org/drawingml/2006/main">
              <a:srgbClr val="4b7bb4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Dashboard!$G$63</f>
              <numCache>
                <formatCode>General</formatCode>
                <ptCount val="1"/>
              </numCache>
            </numRef>
          </val>
        </ser>
        <ser>
          <idx val="13"/>
          <order val="13"/>
          <spPr>
            <a:solidFill xmlns:a="http://schemas.openxmlformats.org/drawingml/2006/main">
              <a:srgbClr val="b74c49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Dashboard!$H$63</f>
              <numCache>
                <formatCode>General</formatCode>
                <ptCount val="1"/>
              </numCache>
            </numRef>
          </val>
        </ser>
        <ser>
          <idx val="14"/>
          <order val="14"/>
          <spPr>
            <a:solidFill xmlns:a="http://schemas.openxmlformats.org/drawingml/2006/main">
              <a:srgbClr val="94b255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Dashboard!$I$63</f>
              <numCache>
                <formatCode>General</formatCode>
                <ptCount val="1"/>
              </numCache>
            </numRef>
          </val>
        </ser>
        <ser>
          <idx val="15"/>
          <order val="15"/>
          <spPr>
            <a:solidFill xmlns:a="http://schemas.openxmlformats.org/drawingml/2006/main">
              <a:srgbClr val="7a5f9a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Dashboard!$J$63</f>
              <numCache>
                <formatCode>General</formatCode>
                <ptCount val="1"/>
              </numCache>
            </numRef>
          </val>
        </ser>
        <ser>
          <idx val="16"/>
          <order val="16"/>
          <spPr>
            <a:solidFill xmlns:a="http://schemas.openxmlformats.org/drawingml/2006/main">
              <a:srgbClr val="47a4bd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Dashboard!$C$64</f>
              <numCache>
                <formatCode>General</formatCode>
                <ptCount val="1"/>
              </numCache>
            </numRef>
          </val>
        </ser>
        <ser>
          <idx val="17"/>
          <order val="17"/>
          <spPr>
            <a:solidFill xmlns:a="http://schemas.openxmlformats.org/drawingml/2006/main">
              <a:srgbClr val="eb8f42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Dashboard!$D$64</f>
              <numCache>
                <formatCode>General</formatCode>
                <ptCount val="1"/>
              </numCache>
            </numRef>
          </val>
        </ser>
        <ser>
          <idx val="18"/>
          <order val="18"/>
          <spPr>
            <a:solidFill xmlns:a="http://schemas.openxmlformats.org/drawingml/2006/main">
              <a:srgbClr val="7394c4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Dashboard!$E$64</f>
              <numCache>
                <formatCode>General</formatCode>
                <ptCount val="1"/>
              </numCache>
            </numRef>
          </val>
        </ser>
        <ser>
          <idx val="19"/>
          <order val="19"/>
          <spPr>
            <a:solidFill xmlns:a="http://schemas.openxmlformats.org/drawingml/2006/main">
              <a:srgbClr val="c77372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Dashboard!$F$64</f>
              <numCache>
                <formatCode>General</formatCode>
                <ptCount val="1"/>
              </numCache>
            </numRef>
          </val>
        </ser>
        <ser>
          <idx val="20"/>
          <order val="20"/>
          <spPr>
            <a:solidFill xmlns:a="http://schemas.openxmlformats.org/drawingml/2006/main">
              <a:srgbClr val="a8c378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Dashboard!$G$64</f>
              <numCache>
                <formatCode>General</formatCode>
                <ptCount val="1"/>
              </numCache>
            </numRef>
          </val>
        </ser>
        <ser>
          <idx val="21"/>
          <order val="21"/>
          <spPr>
            <a:solidFill xmlns:a="http://schemas.openxmlformats.org/drawingml/2006/main">
              <a:srgbClr val="937fae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Dashboard!$H$64</f>
              <numCache>
                <formatCode>General</formatCode>
                <ptCount val="1"/>
              </numCache>
            </numRef>
          </val>
        </ser>
        <ser>
          <idx val="22"/>
          <order val="22"/>
          <spPr>
            <a:solidFill xmlns:a="http://schemas.openxmlformats.org/drawingml/2006/main">
              <a:srgbClr val="71b6cc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Dashboard!$I$64</f>
              <numCache>
                <formatCode>General</formatCode>
                <ptCount val="1"/>
              </numCache>
            </numRef>
          </val>
        </ser>
        <ser>
          <idx val="23"/>
          <order val="23"/>
          <spPr>
            <a:solidFill xmlns:a="http://schemas.openxmlformats.org/drawingml/2006/main">
              <a:srgbClr val="f7a46e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Dashboard!$J$64</f>
              <numCache>
                <formatCode>General</formatCode>
                <ptCount val="1"/>
              </numCache>
            </numRef>
          </val>
        </ser>
        <ser>
          <idx val="24"/>
          <order val="24"/>
          <spPr>
            <a:solidFill xmlns:a="http://schemas.openxmlformats.org/drawingml/2006/main">
              <a:srgbClr val="a1b3d3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Dashboard!$C$65</f>
              <numCache>
                <formatCode>General</formatCode>
                <ptCount val="1"/>
              </numCache>
            </numRef>
          </val>
        </ser>
        <ser>
          <idx val="25"/>
          <order val="25"/>
          <spPr>
            <a:solidFill xmlns:a="http://schemas.openxmlformats.org/drawingml/2006/main">
              <a:srgbClr val="d5a1a0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Dashboard!$D$65</f>
              <numCache>
                <formatCode>General</formatCode>
                <ptCount val="1"/>
              </numCache>
            </numRef>
          </val>
        </ser>
        <ser>
          <idx val="26"/>
          <order val="26"/>
          <spPr>
            <a:solidFill xmlns:a="http://schemas.openxmlformats.org/drawingml/2006/main">
              <a:srgbClr val="c0d2a3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Dashboard!$E$65</f>
              <numCache>
                <formatCode>General</formatCode>
                <ptCount val="1"/>
              </numCache>
            </numRef>
          </val>
        </ser>
        <ser>
          <idx val="27"/>
          <order val="27"/>
          <spPr>
            <a:solidFill xmlns:a="http://schemas.openxmlformats.org/drawingml/2006/main">
              <a:srgbClr val="b3a7c4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Dashboard!$F$65</f>
              <numCache>
                <formatCode>General</formatCode>
                <ptCount val="1"/>
              </numCache>
            </numRef>
          </val>
        </ser>
        <ser>
          <idx val="28"/>
          <order val="28"/>
          <spPr>
            <a:solidFill xmlns:a="http://schemas.openxmlformats.org/drawingml/2006/main">
              <a:srgbClr val="9fc9d9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Dashboard!$G$65</f>
              <numCache>
                <formatCode>General</formatCode>
                <ptCount val="1"/>
              </numCache>
            </numRef>
          </val>
        </ser>
        <ser>
          <idx val="29"/>
          <order val="29"/>
          <spPr>
            <a:solidFill xmlns:a="http://schemas.openxmlformats.org/drawingml/2006/main">
              <a:srgbClr val="f9bd9e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Dashboard!$H$65</f>
              <numCache>
                <formatCode>General</formatCode>
                <ptCount val="1"/>
              </numCache>
            </numRef>
          </val>
        </ser>
        <ser>
          <idx val="30"/>
          <order val="30"/>
          <spPr>
            <a:solidFill xmlns:a="http://schemas.openxmlformats.org/drawingml/2006/main">
              <a:srgbClr val="c2cce1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Dashboard!$I$65</f>
              <numCache>
                <formatCode>General</formatCode>
                <ptCount val="1"/>
              </numCache>
            </numRef>
          </val>
        </ser>
        <ser>
          <idx val="31"/>
          <order val="31"/>
          <spPr>
            <a:solidFill xmlns:a="http://schemas.openxmlformats.org/drawingml/2006/main">
              <a:srgbClr val="e2c2c1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Dashboard!$C$60:$J$60</f>
              <strCache>
                <ptCount val="8"/>
                <pt idx="0">
                  <v>Cotizadores</v>
                </pt>
                <pt idx="1">
                  <v>Venta Digital</v>
                </pt>
                <pt idx="2">
                  <v>Torre Control</v>
                </pt>
                <pt idx="3">
                  <v>Mesa 4</v>
                </pt>
                <pt idx="4">
                  <v>GIOTI 1</v>
                </pt>
                <pt idx="5">
                  <v>GIOTI 2</v>
                </pt>
                <pt idx="6">
                  <v>GIOTI 3</v>
                </pt>
                <pt idx="7">
                  <v>GIOTI 4</v>
                </pt>
              </strCache>
            </strRef>
          </cat>
          <val>
            <numRef>
              <f>Dashboard!$J$65</f>
              <numCache>
                <formatCode>General</formatCode>
                <ptCount val="1"/>
              </numCache>
            </numRef>
          </val>
        </ser>
        <gapWidth val="150"/>
        <overlap val="0"/>
        <axId val="79858243"/>
        <axId val="22666793"/>
      </barChart>
      <catAx>
        <axId val="798582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22666793"/>
        <crosses val="autoZero"/>
        <auto val="1"/>
        <lblAlgn val="ctr"/>
        <lblOffset val="100"/>
        <noMultiLvlLbl val="0"/>
      </catAx>
      <valAx>
        <axId val="22666793"/>
        <scaling>
          <orientation val="minMax"/>
          <max val="5"/>
          <min val="0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Nivel promedio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985824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 editAs="oneCell">
    <from>
      <col>12</col>
      <colOff>0</colOff>
      <row>4</row>
      <rowOff>0</rowOff>
    </from>
    <to>
      <col>23</col>
      <colOff>110880</colOff>
      <row>22</row>
      <rowOff>79200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12</col>
      <colOff>0</colOff>
      <row>22</row>
      <rowOff>0</rowOff>
    </from>
    <to>
      <col>24</col>
      <colOff>775440</colOff>
      <row>45</row>
      <rowOff>239040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00132346"/>
    <outlinePr summaryBelow="1" summaryRight="1"/>
    <pageSetUpPr fitToPage="0"/>
  </sheetPr>
  <dimension ref="A1:D32"/>
  <sheetViews>
    <sheetView showFormulas="0" showGridLines="0" showRowColHeaders="1" showZeros="1" rightToLeft="0" tabSelected="0" showOutlineSymbols="1" defaultGridColor="1" view="normal" topLeftCell="A7" colorId="64" zoomScale="100" zoomScaleNormal="100" zoomScalePageLayoutView="100" workbookViewId="0">
      <selection pane="topLeft" activeCell="C36" activeCellId="0" sqref="C36"/>
    </sheetView>
  </sheetViews>
  <sheetFormatPr baseColWidth="8" defaultColWidth="8.6328125" defaultRowHeight="14.25" zeroHeight="0" outlineLevelRow="0"/>
  <cols>
    <col width="3" customWidth="1" style="101" min="1" max="1"/>
    <col width="24" customWidth="1" style="101" min="2" max="2"/>
    <col width="40" customWidth="1" style="101" min="3" max="3"/>
    <col width="3" customWidth="1" style="101" min="4" max="4"/>
  </cols>
  <sheetData>
    <row r="1" ht="7.5" customHeight="1" s="102">
      <c r="A1" s="103" t="n"/>
      <c r="B1" s="104" t="n"/>
      <c r="C1" s="104" t="n"/>
      <c r="D1" s="104" t="n"/>
    </row>
    <row r="2" ht="7.5" customHeight="1" s="102">
      <c r="A2" s="103" t="n"/>
      <c r="B2" s="104" t="n"/>
      <c r="C2" s="104" t="n"/>
      <c r="D2" s="104" t="n"/>
    </row>
    <row r="3" ht="7.5" customHeight="1" s="102">
      <c r="A3" s="103" t="n"/>
      <c r="B3" s="104" t="n"/>
      <c r="C3" s="104" t="n"/>
      <c r="D3" s="104" t="n"/>
    </row>
    <row r="4" ht="36" customHeight="1" s="102">
      <c r="A4" s="104" t="n"/>
      <c r="B4" s="105" t="inlineStr">
        <is>
          <t>Modelo de Madurez · Mesa de Servicios de Nueva Generación</t>
        </is>
      </c>
      <c r="C4" s="104" t="n"/>
      <c r="D4" s="104" t="n"/>
    </row>
    <row r="5" ht="21.75" customHeight="1" s="102">
      <c r="A5" s="104" t="n"/>
      <c r="B5" s="106" t="inlineStr">
        <is>
          <t>PersonalSoft · ITIL v5 · 4 Dimensiones · 21 Prácticas (17 operativas + 4 de negocio)</t>
        </is>
      </c>
      <c r="C5" s="104" t="n"/>
      <c r="D5" s="104" t="n"/>
    </row>
    <row r="6" ht="9.75" customHeight="1" s="102">
      <c r="A6" s="104" t="n"/>
      <c r="B6" s="107" t="n"/>
      <c r="C6" s="104" t="n"/>
      <c r="D6" s="104" t="n"/>
    </row>
    <row r="7" ht="25.5" customHeight="1" s="102">
      <c r="A7" s="104" t="n"/>
      <c r="B7" s="108" t="inlineStr">
        <is>
          <t>Escala de madurez — N0 a N5</t>
        </is>
      </c>
      <c r="C7" s="104" t="n"/>
      <c r="D7" s="104" t="n"/>
    </row>
    <row r="8" ht="19.5" customHeight="1" s="102">
      <c r="A8" s="104" t="n"/>
      <c r="B8" s="109" t="inlineStr">
        <is>
          <t>El evaluador selecciona el nivel actual (0-5) para cada práctica usando el dropdown en la columna F de cada hoja de mesa</t>
        </is>
      </c>
      <c r="C8" s="104" t="n"/>
      <c r="D8" s="104" t="n"/>
    </row>
    <row r="9" ht="19.5" customHeight="1" s="102">
      <c r="A9" s="104" t="n"/>
      <c r="B9" s="110" t="inlineStr">
        <is>
          <t>Nivel</t>
        </is>
      </c>
      <c r="C9" s="110" t="inlineStr">
        <is>
          <t>Nombre · Cómo se ve en la práctica</t>
        </is>
      </c>
      <c r="D9" s="104" t="n"/>
    </row>
    <row r="10" ht="25.5" customHeight="1" s="102">
      <c r="A10" s="104" t="n"/>
      <c r="B10" s="111" t="inlineStr">
        <is>
          <t>N0 · 0</t>
        </is>
      </c>
      <c r="C10" s="112" t="inlineStr">
        <is>
          <t>Autoservicio · Portal + IA sin intervención humana · El usuario resuelve solo</t>
        </is>
      </c>
      <c r="D10" s="104" t="n"/>
    </row>
    <row r="11" ht="25.5" customHeight="1" s="102">
      <c r="A11" s="104" t="n"/>
      <c r="B11" s="113" t="inlineStr">
        <is>
          <t>N1 · 1</t>
        </is>
      </c>
      <c r="C11" s="114" t="inlineStr">
        <is>
          <t>Inicial · Reactivo total · Bus factor alto · Conocimiento en personas · Sin documentación</t>
        </is>
      </c>
      <c r="D11" s="104" t="n"/>
    </row>
    <row r="12" ht="25.5" customHeight="1" s="102">
      <c r="A12" s="104" t="n"/>
      <c r="B12" s="115" t="inlineStr">
        <is>
          <t>N2 · 2</t>
        </is>
      </c>
      <c r="C12" s="116" t="inlineStr">
        <is>
          <t>Administrado · Herramienta básica · Doc por mesa · Mínimo exigido: Mesa de Ayuda</t>
        </is>
      </c>
      <c r="D12" s="104" t="n"/>
    </row>
    <row r="13" ht="25.5" customHeight="1" s="102">
      <c r="A13" s="104" t="n"/>
      <c r="B13" s="117" t="inlineStr">
        <is>
          <t>N3 · 3 ★</t>
        </is>
      </c>
      <c r="C13" s="118" t="n"/>
      <c r="D13" s="104" t="n"/>
    </row>
    <row r="14" ht="25.5" customHeight="1" s="102">
      <c r="A14" s="104" t="n"/>
      <c r="B14" s="119" t="inlineStr">
        <is>
          <t>N4 · 4</t>
        </is>
      </c>
      <c r="C14" s="120" t="inlineStr">
        <is>
          <t>Cuantitativo · KPIs medidos con datos reales · Costo/ticket calculado · Decisiones con evidencia</t>
        </is>
      </c>
      <c r="D14" s="104" t="n"/>
    </row>
    <row r="15" ht="25.5" customHeight="1" s="102">
      <c r="A15" s="104" t="n"/>
      <c r="B15" s="121" t="inlineStr">
        <is>
          <t>N5 · 5</t>
        </is>
      </c>
      <c r="C15" s="122" t="inlineStr">
        <is>
          <t>Optimizado · IA activa · AIOps · Mejora continua automatizada · Autónomo e Inteligente</t>
        </is>
      </c>
      <c r="D15" s="104" t="n"/>
    </row>
    <row r="16" ht="30" customHeight="1" s="102">
      <c r="A16" s="104" t="n"/>
      <c r="B16" s="104" t="n"/>
      <c r="C16" s="104" t="n"/>
      <c r="D16" s="104" t="n"/>
    </row>
    <row r="17" ht="25.5" customHeight="1" s="102">
      <c r="A17" s="104" t="n"/>
      <c r="B17" s="108" t="inlineStr">
        <is>
          <t>¿Cómo diligenciar el modelo de madurez?</t>
        </is>
      </c>
      <c r="C17" s="104" t="n"/>
      <c r="D17" s="104" t="n"/>
    </row>
    <row r="18" ht="25.5" customHeight="1" s="102">
      <c r="A18" s="104" t="n"/>
      <c r="B18" s="123" t="inlineStr">
        <is>
          <t xml:space="preserve">  1.  Abre la hoja de la mesa a evaluar</t>
        </is>
      </c>
      <c r="C18" s="124" t="inlineStr">
        <is>
          <t>↳ ej: SURA_Cotizadores · BCO_GIOTI_1</t>
        </is>
      </c>
      <c r="D18" s="104" t="n"/>
    </row>
    <row r="19" ht="25.5" customHeight="1" s="102">
      <c r="A19" s="104" t="n"/>
      <c r="B19" s="123" t="inlineStr">
        <is>
          <t xml:space="preserve">  2.  Completa los datos de identificación (filas 5-14)</t>
        </is>
      </c>
      <c r="C19" s="124" t="inlineStr">
        <is>
          <t>↳ Nombre, cliente, sector, tipo de mesa, N0, evaluador, fecha</t>
        </is>
      </c>
      <c r="D19" s="104" t="n"/>
    </row>
    <row r="20" ht="25.5" customHeight="1" s="102">
      <c r="A20" s="104" t="n"/>
      <c r="B20" s="123" t="inlineStr">
        <is>
          <t xml:space="preserve">  3.  Para cada práctica (filas 20-44): selecciona nivel actual (0-5) en col F</t>
        </is>
      </c>
      <c r="C20" s="118" t="n"/>
      <c r="D20" s="104" t="n"/>
    </row>
    <row r="21" ht="25.5" customHeight="1" s="102">
      <c r="A21" s="104" t="n"/>
      <c r="B21" s="123" t="inlineStr">
        <is>
          <t xml:space="preserve">  4.  Ingresa el nivel objetivo en col G</t>
        </is>
      </c>
      <c r="C21" s="124" t="inlineStr">
        <is>
          <t>↳ Mínimo N3 (=3) para Mesa de Soporte</t>
        </is>
      </c>
      <c r="D21" s="104" t="n"/>
    </row>
    <row r="22" ht="25.5" customHeight="1" s="102">
      <c r="A22" s="104" t="n"/>
      <c r="B22" s="123" t="inlineStr">
        <is>
          <t xml:space="preserve">  5.  Documenta evidencia o comentarios en col I</t>
        </is>
      </c>
      <c r="C22" s="124" t="inlineStr">
        <is>
          <t>↳ Qué herramienta usan, cómo funciona, ejemplo</t>
        </is>
      </c>
      <c r="D22" s="104" t="n"/>
    </row>
    <row r="23" ht="25.5" customHeight="1" s="102">
      <c r="A23" s="104" t="n"/>
      <c r="B23" s="123" t="inlineStr">
        <is>
          <t xml:space="preserve">  6.  La col H (Brecha) y col K (¿Bajo mínimo?) se calculan solas</t>
        </is>
      </c>
      <c r="C23" s="124" t="inlineStr">
        <is>
          <t>↳ No las modifiques — son fórmulas automáticas</t>
        </is>
      </c>
      <c r="D23" s="104" t="n"/>
    </row>
    <row r="24" ht="25.5" customHeight="1" s="102">
      <c r="A24" s="104" t="n"/>
      <c r="B24" s="123" t="inlineStr">
        <is>
          <t xml:space="preserve">  7.  Al terminar todas las mesas, abre el Dashboard</t>
        </is>
      </c>
      <c r="C24" s="124" t="inlineStr">
        <is>
          <t>↳ Verás el comparativo de las 8 mesas con gráficas</t>
        </is>
      </c>
      <c r="D24" s="104" t="n"/>
    </row>
    <row r="25" ht="25.5" customHeight="1" s="102">
      <c r="A25" s="104" t="n"/>
      <c r="B25" s="123" t="inlineStr">
        <is>
          <t xml:space="preserve">  8.  La Rúbrica (hoja Rúbrica) describe qué significa cada nivel por práctica</t>
        </is>
      </c>
      <c r="C25" s="124" t="inlineStr">
        <is>
          <t>↳ Úsala como guía durante la evaluación</t>
        </is>
      </c>
      <c r="D25" s="104" t="n"/>
    </row>
    <row r="26" ht="18" customHeight="1" s="102">
      <c r="A26" s="104" t="n"/>
      <c r="B26" s="104" t="n"/>
      <c r="C26" s="104" t="n"/>
      <c r="D26" s="104" t="n"/>
    </row>
    <row r="27" ht="25.5" customHeight="1" s="102">
      <c r="A27" s="104" t="n"/>
      <c r="B27" s="108" t="inlineStr">
        <is>
          <t>Las 4 dimensiones y las 21 prácticas</t>
        </is>
      </c>
      <c r="C27" s="104" t="n"/>
      <c r="D27" s="104" t="n"/>
    </row>
    <row r="28" ht="27.75" customHeight="1" s="102">
      <c r="A28" s="104" t="n"/>
      <c r="B28" s="112" t="inlineStr">
        <is>
          <t>D1 · Organizaciones y Personas</t>
        </is>
      </c>
      <c r="C28" s="118" t="n"/>
      <c r="D28" s="104" t="n"/>
    </row>
    <row r="29" ht="27.75" customHeight="1" s="102">
      <c r="A29" s="104" t="n"/>
      <c r="B29" s="112" t="inlineStr">
        <is>
          <t>D2 · Información y Tecnología</t>
        </is>
      </c>
      <c r="C29" s="112" t="inlineStr">
        <is>
          <t>3. Herramientas · 4. KEDB · 5. Integraciones · 6. Monitoreo y eventos</t>
        </is>
      </c>
      <c r="D29" s="104" t="n"/>
    </row>
    <row r="30" ht="27.75" customHeight="1" s="102">
      <c r="A30" s="104" t="n"/>
      <c r="B30" s="125" t="inlineStr">
        <is>
          <t>D3 · Socios y Proveedores</t>
        </is>
      </c>
      <c r="C30" s="116" t="inlineStr">
        <is>
          <t>7. Service Desk · 8. Catálogo · 9. ANS/SLA+XLA · 10. Disponibilidad</t>
        </is>
      </c>
      <c r="D30" s="104" t="n"/>
    </row>
    <row r="31" ht="27.75" customHeight="1" s="102">
      <c r="A31" s="104" t="n"/>
      <c r="B31" s="126" t="inlineStr">
        <is>
          <t>D4 · Flujos de Valor</t>
        </is>
      </c>
      <c r="C31" s="120" t="inlineStr">
        <is>
          <t>11. Incidentes · 12. Solicitudes · 13. Problemas · 14. Change Enablement · 15. Onboarding · 16. Mejora continua · 17. CX/CSAT/XLA</t>
        </is>
      </c>
      <c r="D31" s="104" t="n"/>
    </row>
    <row r="32" ht="27.75" customHeight="1" s="102">
      <c r="A32" s="104" t="n"/>
      <c r="B32" s="127" t="inlineStr">
        <is>
          <t>Negocio PS</t>
        </is>
      </c>
      <c r="C32" s="128" t="inlineStr">
        <is>
          <t>18. Salud financiera · 19. Retención/crecimiento · 20. NPS/CSAT/XLA cliente final · 21. Eficiencia de costo</t>
        </is>
      </c>
      <c r="D32" s="104" t="n"/>
    </row>
    <row r="33" ht="18" customHeight="1" s="102"/>
    <row r="34" ht="30" customHeight="1" s="102"/>
  </sheetData>
  <mergeCells count="15">
    <mergeCell ref="B13:C13"/>
    <mergeCell ref="A1:D1"/>
    <mergeCell ref="B6:C6"/>
    <mergeCell ref="B2:C2"/>
    <mergeCell ref="B7:C7"/>
    <mergeCell ref="B3:C3"/>
    <mergeCell ref="B5:C5"/>
    <mergeCell ref="B20:C20"/>
    <mergeCell ref="A3:D3"/>
    <mergeCell ref="B28:C28"/>
    <mergeCell ref="A2:D2"/>
    <mergeCell ref="B17:C17"/>
    <mergeCell ref="B27:C27"/>
    <mergeCell ref="B8:C8"/>
    <mergeCell ref="B4:C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007F7F7F"/>
    <outlinePr summaryBelow="1" summaryRight="1"/>
    <pageSetUpPr fitToPage="0"/>
  </sheetPr>
  <dimension ref="A1:I14"/>
  <sheetViews>
    <sheetView showFormulas="0" showGridLines="0" showRowColHeaders="1" showZeros="1" rightToLeft="0" tabSelected="0" showOutlineSymbols="1" defaultGridColor="1" view="normal" topLeftCell="B1" colorId="64" zoomScale="100" zoomScaleNormal="100" zoomScalePageLayoutView="100" workbookViewId="0">
      <selection pane="topLeft" activeCell="A1" activeCellId="0" sqref="A1"/>
    </sheetView>
  </sheetViews>
  <sheetFormatPr baseColWidth="8" defaultColWidth="8.6328125" defaultRowHeight="14.25" zeroHeight="0" outlineLevelRow="0"/>
  <cols>
    <col width="3" customWidth="1" style="101" min="1" max="1"/>
    <col width="22" customWidth="1" style="101" min="2" max="8"/>
    <col width="14.09" customWidth="1" style="101" min="9" max="9"/>
  </cols>
  <sheetData>
    <row r="1">
      <c r="A1" s="104" t="n"/>
      <c r="B1" s="104" t="n"/>
      <c r="C1" s="104" t="n"/>
      <c r="D1" s="104" t="n"/>
      <c r="E1" s="104" t="n"/>
      <c r="F1" s="104" t="n"/>
      <c r="G1" s="104" t="n"/>
      <c r="H1" s="104" t="n"/>
      <c r="I1" s="104" t="n"/>
    </row>
    <row r="2" ht="17.25" customHeight="1" s="102">
      <c r="A2" s="104" t="n"/>
      <c r="B2" s="129" t="inlineStr">
        <is>
          <t>Listas paramétricas · Modelo de Madurez v1.0</t>
        </is>
      </c>
      <c r="C2" s="104" t="n"/>
      <c r="D2" s="104" t="n"/>
      <c r="E2" s="104" t="n"/>
      <c r="F2" s="104" t="n"/>
      <c r="G2" s="104" t="n"/>
      <c r="H2" s="104" t="n"/>
      <c r="I2" s="104" t="n"/>
    </row>
    <row r="3" ht="15" customHeight="1" s="102">
      <c r="A3" s="104" t="n"/>
      <c r="B3" s="130" t="inlineStr">
        <is>
          <t>Modifica los valores en estas listas — se actualizan automáticamente en todo el archivo</t>
        </is>
      </c>
      <c r="C3" s="104" t="n"/>
      <c r="D3" s="104" t="n"/>
      <c r="E3" s="104" t="n"/>
      <c r="F3" s="104" t="n"/>
      <c r="G3" s="104" t="n"/>
      <c r="H3" s="104" t="n"/>
      <c r="I3" s="104" t="n"/>
    </row>
    <row r="4">
      <c r="A4" s="104" t="n"/>
      <c r="B4" s="104" t="n"/>
      <c r="C4" s="104" t="n"/>
      <c r="D4" s="104" t="n"/>
      <c r="E4" s="104" t="n"/>
      <c r="F4" s="104" t="n"/>
      <c r="G4" s="104" t="n"/>
      <c r="H4" s="104" t="n"/>
      <c r="I4" s="104" t="n"/>
    </row>
    <row r="5" ht="21.75" customHeight="1" s="102">
      <c r="A5" s="104" t="n"/>
      <c r="B5" s="131" t="inlineStr">
        <is>
          <t>Tipo de mesa</t>
        </is>
      </c>
      <c r="C5" s="131" t="inlineStr">
        <is>
          <t>Sector</t>
        </is>
      </c>
      <c r="D5" s="131" t="inlineStr">
        <is>
          <t>Cliente</t>
        </is>
      </c>
      <c r="E5" s="131" t="inlineStr">
        <is>
          <t>Nivel de servicio</t>
        </is>
      </c>
      <c r="F5" s="131" t="inlineStr">
        <is>
          <t>N0 activo</t>
        </is>
      </c>
      <c r="G5" s="131" t="inlineStr">
        <is>
          <t>Herramienta de tickets</t>
        </is>
      </c>
      <c r="H5" s="131" t="inlineStr">
        <is>
          <t>Prioridad de ticket</t>
        </is>
      </c>
      <c r="I5" s="131" t="inlineStr">
        <is>
          <t>Horario de servicio</t>
        </is>
      </c>
    </row>
    <row r="6" ht="34.5" customHeight="1" s="102">
      <c r="A6" s="104" t="n"/>
      <c r="B6" s="132" t="inlineStr">
        <is>
          <t>Mesa de Ayuda</t>
        </is>
      </c>
      <c r="C6" s="132" t="inlineStr">
        <is>
          <t>Banca</t>
        </is>
      </c>
      <c r="D6" s="132" t="inlineStr">
        <is>
          <t>SURA</t>
        </is>
      </c>
      <c r="E6" s="132" t="inlineStr">
        <is>
          <t>N0 · Autoservicio</t>
        </is>
      </c>
      <c r="F6" s="132" t="inlineStr">
        <is>
          <t>Sí</t>
        </is>
      </c>
      <c r="G6" s="132" t="inlineStr">
        <is>
          <t>ServiceNow</t>
        </is>
      </c>
      <c r="H6" s="132" t="inlineStr">
        <is>
          <t>Crítico — PDN &lt;1h</t>
        </is>
      </c>
      <c r="I6" s="132" t="inlineStr">
        <is>
          <t>L-V 7:30AM–5PM</t>
        </is>
      </c>
    </row>
    <row r="7" ht="23.25" customHeight="1" s="102">
      <c r="A7" s="104" t="n"/>
      <c r="B7" s="133" t="inlineStr">
        <is>
          <t>Mesa de Soporte</t>
        </is>
      </c>
      <c r="C7" s="133" t="inlineStr">
        <is>
          <t>Salud (EPS)</t>
        </is>
      </c>
      <c r="D7" s="133" t="inlineStr">
        <is>
          <t>Bancolombia</t>
        </is>
      </c>
      <c r="E7" s="133" t="inlineStr">
        <is>
          <t>N1 · Inicial</t>
        </is>
      </c>
      <c r="F7" s="133" t="inlineStr">
        <is>
          <t>No</t>
        </is>
      </c>
      <c r="G7" s="133" t="inlineStr">
        <is>
          <t>Jira Service Management</t>
        </is>
      </c>
      <c r="H7" s="133" t="inlineStr">
        <is>
          <t>Alto — múltiples usuarios &lt;4h</t>
        </is>
      </c>
      <c r="I7" s="133" t="inlineStr">
        <is>
          <t>L-V 8AM–6PM</t>
        </is>
      </c>
    </row>
    <row r="8" ht="23.25" customHeight="1" s="102">
      <c r="A8" s="104" t="n"/>
      <c r="B8" s="104" t="n"/>
      <c r="C8" s="132" t="inlineStr">
        <is>
          <t>Seguros</t>
        </is>
      </c>
      <c r="D8" s="132" t="inlineStr">
        <is>
          <t>XM</t>
        </is>
      </c>
      <c r="E8" s="132" t="inlineStr">
        <is>
          <t>N2 · Administrado</t>
        </is>
      </c>
      <c r="F8" s="132" t="inlineStr">
        <is>
          <t>En construcción</t>
        </is>
      </c>
      <c r="G8" s="132" t="inlineStr">
        <is>
          <t>Freshservice</t>
        </is>
      </c>
      <c r="H8" s="132" t="inlineStr">
        <is>
          <t>Medio — un usuario, workaround &lt;8h</t>
        </is>
      </c>
      <c r="I8" s="132" t="inlineStr">
        <is>
          <t>L-S 7AM–7PM</t>
        </is>
      </c>
    </row>
    <row r="9" ht="34.5" customHeight="1" s="102">
      <c r="A9" s="104" t="n"/>
      <c r="B9" s="104" t="n"/>
      <c r="C9" s="133" t="inlineStr">
        <is>
          <t>Retail</t>
        </is>
      </c>
      <c r="D9" s="133" t="inlineStr">
        <is>
          <t>AES</t>
        </is>
      </c>
      <c r="E9" s="133" t="inlineStr">
        <is>
          <t>N3 · Definido</t>
        </is>
      </c>
      <c r="F9" s="104" t="n"/>
      <c r="G9" s="133" t="inlineStr">
        <is>
          <t>VMC (SURA)</t>
        </is>
      </c>
      <c r="H9" s="133" t="inlineStr">
        <is>
          <t>Bajo — consulta/mejora &lt;24h</t>
        </is>
      </c>
      <c r="I9" s="133" t="inlineStr">
        <is>
          <t>24x7 guardia humana</t>
        </is>
      </c>
    </row>
    <row r="10" ht="45.75" customHeight="1" s="102">
      <c r="A10" s="104" t="n"/>
      <c r="B10" s="104" t="n"/>
      <c r="C10" s="132" t="inlineStr">
        <is>
          <t>Manufactura</t>
        </is>
      </c>
      <c r="D10" s="132" t="inlineStr">
        <is>
          <t>Medicarte</t>
        </is>
      </c>
      <c r="E10" s="132" t="inlineStr">
        <is>
          <t>N4 · Cuantitativo</t>
        </is>
      </c>
      <c r="F10" s="104" t="n"/>
      <c r="G10" s="132" t="inlineStr">
        <is>
          <t>Computer Associates</t>
        </is>
      </c>
      <c r="H10" s="104" t="n"/>
      <c r="I10" s="132" t="inlineStr">
        <is>
          <t>24x7 N0/IA + guardia parcial</t>
        </is>
      </c>
    </row>
    <row r="11" ht="15" customHeight="1" s="102">
      <c r="A11" s="104" t="n"/>
      <c r="B11" s="104" t="n"/>
      <c r="C11" s="133" t="inlineStr">
        <is>
          <t>Gobierno</t>
        </is>
      </c>
      <c r="D11" s="133" t="inlineStr">
        <is>
          <t>Otro</t>
        </is>
      </c>
      <c r="E11" s="133" t="inlineStr">
        <is>
          <t>N5 · Optimizado</t>
        </is>
      </c>
      <c r="F11" s="104" t="n"/>
      <c r="G11" s="133" t="inlineStr">
        <is>
          <t>Zendesk</t>
        </is>
      </c>
      <c r="H11" s="104" t="n"/>
      <c r="I11" s="133" t="inlineStr">
        <is>
          <t>Best effort</t>
        </is>
      </c>
    </row>
    <row r="12" ht="15" customHeight="1" s="102">
      <c r="A12" s="104" t="n"/>
      <c r="B12" s="104" t="n"/>
      <c r="C12" s="132" t="inlineStr">
        <is>
          <t>Otro</t>
        </is>
      </c>
      <c r="D12" s="104" t="n"/>
      <c r="E12" s="104" t="n"/>
      <c r="F12" s="104" t="n"/>
      <c r="G12" s="132" t="inlineStr">
        <is>
          <t>Azure DevOps</t>
        </is>
      </c>
      <c r="H12" s="104" t="n"/>
      <c r="I12" s="104" t="n"/>
    </row>
    <row r="13" ht="15" customHeight="1" s="102">
      <c r="A13" s="104" t="n"/>
      <c r="B13" s="104" t="n"/>
      <c r="C13" s="104" t="n"/>
      <c r="D13" s="104" t="n"/>
      <c r="E13" s="104" t="n"/>
      <c r="F13" s="104" t="n"/>
      <c r="G13" s="133" t="inlineStr">
        <is>
          <t>Herramienta propia PS</t>
        </is>
      </c>
      <c r="H13" s="104" t="n"/>
      <c r="I13" s="104" t="n"/>
    </row>
    <row r="14" ht="15" customHeight="1" s="102">
      <c r="A14" s="104" t="n"/>
      <c r="B14" s="104" t="n"/>
      <c r="C14" s="104" t="n"/>
      <c r="D14" s="104" t="n"/>
      <c r="E14" s="104" t="n"/>
      <c r="F14" s="104" t="n"/>
      <c r="G14" s="132" t="inlineStr">
        <is>
          <t>Sin herramienta definida</t>
        </is>
      </c>
      <c r="H14" s="104" t="n"/>
      <c r="I14" s="104" t="n"/>
    </row>
  </sheetData>
  <mergeCells count="2">
    <mergeCell ref="B3:H3"/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000072BC"/>
    <outlinePr summaryBelow="1" summaryRight="1"/>
    <pageSetUpPr fitToPage="0"/>
  </sheetPr>
  <dimension ref="A1:K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4" ySplit="5" topLeftCell="E21" activePane="bottomRight" state="frozen"/>
      <selection pane="topLeft" activeCell="A1" activeCellId="0" sqref="A1"/>
      <selection pane="topRight" activeCell="E1" activeCellId="0" sqref="E1"/>
      <selection pane="bottomLeft" activeCell="A21" activeCellId="0" sqref="A21"/>
      <selection pane="bottomRight" activeCell="A1" activeCellId="0" sqref="A1"/>
    </sheetView>
  </sheetViews>
  <sheetFormatPr baseColWidth="8" defaultColWidth="8.6328125" defaultRowHeight="14.25" zeroHeight="0" outlineLevelRow="0"/>
  <cols>
    <col width="3" customWidth="1" style="101" min="1" max="1"/>
    <col width="4" customWidth="1" style="101" min="2" max="2"/>
    <col width="32" customWidth="1" style="101" min="3" max="3"/>
    <col width="22" customWidth="1" style="101" min="4" max="4"/>
    <col width="24" customWidth="1" style="101" min="5" max="6"/>
    <col width="28" customWidth="1" style="101" min="7" max="10"/>
  </cols>
  <sheetData>
    <row r="1">
      <c r="A1" s="104" t="n"/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17.25" customHeight="1" s="102">
      <c r="A2" s="104" t="n"/>
      <c r="B2" s="129" t="inlineStr">
        <is>
          <t>Rúbrica de evaluación · v1.0 · 17 prácticas operativas + 4 de negocio · Escala N0–N5</t>
        </is>
      </c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3" ht="15" customHeight="1" s="102">
      <c r="A3" s="104" t="n"/>
      <c r="B3" s="130" t="inlineStr">
        <is>
          <t>4 Dimensiones ITIL v5: D1 Organizaciones y Personas · D2 Información y Tecnología · D3 Socios y Proveedores · D4 Flujos de Valor y Procesos</t>
        </is>
      </c>
      <c r="C3" s="104" t="n"/>
      <c r="D3" s="104" t="n"/>
      <c r="E3" s="104" t="n"/>
      <c r="F3" s="104" t="n"/>
      <c r="G3" s="104" t="n"/>
      <c r="H3" s="104" t="n"/>
      <c r="I3" s="104" t="n"/>
      <c r="J3" s="104" t="n"/>
      <c r="K3" s="104" t="n"/>
    </row>
    <row r="4">
      <c r="A4" s="104" t="n"/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</row>
    <row r="5" ht="27.75" customHeight="1" s="102">
      <c r="A5" s="104" t="n"/>
      <c r="B5" s="134" t="inlineStr">
        <is>
          <t>#</t>
        </is>
      </c>
      <c r="C5" s="134" t="inlineStr">
        <is>
          <t>Práctica</t>
        </is>
      </c>
      <c r="D5" s="134" t="inlineStr">
        <is>
          <t>Origen</t>
        </is>
      </c>
      <c r="E5" s="135" t="inlineStr">
        <is>
          <t>N0·Autoservicio</t>
        </is>
      </c>
      <c r="F5" s="136" t="inlineStr">
        <is>
          <t>N1·Inicial</t>
        </is>
      </c>
      <c r="G5" s="137" t="inlineStr">
        <is>
          <t>N2·Administrado</t>
        </is>
      </c>
      <c r="H5" s="135" t="inlineStr">
        <is>
          <t>N3·Definido</t>
        </is>
      </c>
      <c r="I5" s="138" t="inlineStr">
        <is>
          <t>N4·Cuantitativo</t>
        </is>
      </c>
      <c r="J5" s="135" t="inlineStr">
        <is>
          <t>N5·Optimizado</t>
        </is>
      </c>
      <c r="K5" s="104" t="n"/>
    </row>
    <row r="6" ht="21.75" customHeight="1" s="102">
      <c r="A6" s="104" t="n"/>
      <c r="B6" s="139" t="inlineStr">
        <is>
          <t>D1 · Organizaciones y Personas — Gobierno, roles y cultura del equipo</t>
        </is>
      </c>
      <c r="C6" s="140" t="n"/>
      <c r="D6" s="140" t="n"/>
      <c r="E6" s="140" t="n"/>
      <c r="F6" s="140" t="n"/>
      <c r="G6" s="140" t="n"/>
      <c r="H6" s="140" t="n"/>
      <c r="I6" s="140" t="n"/>
      <c r="J6" s="140" t="n"/>
      <c r="K6" s="118" t="n"/>
    </row>
    <row r="7" ht="60" customHeight="1" s="102">
      <c r="A7" s="104" t="n"/>
      <c r="B7" s="141" t="n">
        <v>1</v>
      </c>
      <c r="C7" s="112" t="inlineStr">
        <is>
          <t>Gobierno de roles (RACI)</t>
        </is>
      </c>
      <c r="D7" s="142" t="inlineStr">
        <is>
          <t>Feedback operativo</t>
        </is>
      </c>
      <c r="E7" s="143" t="inlineStr">
        <is>
          <t>—</t>
        </is>
      </c>
      <c r="F7" s="143" t="inlineStr">
        <is>
          <t>Héroes aislados</t>
        </is>
      </c>
      <c r="G7" s="143" t="inlineStr">
        <is>
          <t>Roles informales</t>
        </is>
      </c>
      <c r="H7" s="143" t="inlineStr">
        <is>
          <t>RACI documentado: Coordinador, Líder Técnico, Especialista</t>
        </is>
      </c>
      <c r="I7" s="143" t="inlineStr">
        <is>
          <t>Desempeño medido por rol, RACI ajustado con datos</t>
        </is>
      </c>
      <c r="J7" s="143" t="inlineStr">
        <is>
          <t>IA sugiere reasignación según carga y disponibilidad</t>
        </is>
      </c>
      <c r="K7" s="104" t="n"/>
    </row>
    <row r="8" ht="60" customHeight="1" s="102">
      <c r="A8" s="104" t="n"/>
      <c r="B8" s="141" t="n">
        <v>2</v>
      </c>
      <c r="C8" s="112" t="inlineStr">
        <is>
          <t>Capacidad y dimensionamiento del equipo</t>
        </is>
      </c>
      <c r="D8" s="144" t="inlineStr">
        <is>
          <t>ITIL Foundation</t>
        </is>
      </c>
      <c r="E8" s="143" t="inlineStr">
        <is>
          <t>—</t>
        </is>
      </c>
      <c r="F8" s="143" t="inlineStr">
        <is>
          <t>Cálculo a ojo</t>
        </is>
      </c>
      <c r="G8" s="143" t="inlineStr">
        <is>
          <t>Criterio estático que no se revisa</t>
        </is>
      </c>
      <c r="H8" s="143" t="inlineStr">
        <is>
          <t>Calculadora FTE basada en volumen histórico</t>
        </is>
      </c>
      <c r="I8" s="143" t="inlineStr">
        <is>
          <t>Se mide % GAP de tiempo muerto y se ajusta capacidad</t>
        </is>
      </c>
      <c r="J8" s="143" t="inlineStr">
        <is>
          <t>Dimensionamiento dinámico: IA anticipa picos</t>
        </is>
      </c>
      <c r="K8" s="104" t="n"/>
    </row>
    <row r="9" ht="21.75" customHeight="1" s="102">
      <c r="A9" s="104" t="n"/>
      <c r="B9" s="145" t="inlineStr">
        <is>
          <t>D2 · Información y Tecnología — Herramientas, automatización y datos</t>
        </is>
      </c>
      <c r="C9" s="140" t="n"/>
      <c r="D9" s="140" t="n"/>
      <c r="E9" s="140" t="n"/>
      <c r="F9" s="140" t="n"/>
      <c r="G9" s="140" t="n"/>
      <c r="H9" s="140" t="n"/>
      <c r="I9" s="140" t="n"/>
      <c r="J9" s="140" t="n"/>
      <c r="K9" s="118" t="n"/>
    </row>
    <row r="10" ht="60" customHeight="1" s="102">
      <c r="A10" s="104" t="n"/>
      <c r="B10" s="141" t="n">
        <v>3</v>
      </c>
      <c r="C10" s="125" t="inlineStr">
        <is>
          <t>Herramientas y automatización</t>
        </is>
      </c>
      <c r="D10" s="144" t="inlineStr">
        <is>
          <t>ITIL Foundation</t>
        </is>
      </c>
      <c r="E10" s="143" t="inlineStr">
        <is>
          <t>—</t>
        </is>
      </c>
      <c r="F10" s="143" t="inlineStr">
        <is>
          <t>Dispersas: Excel, correo, chats</t>
        </is>
      </c>
      <c r="G10" s="143" t="inlineStr">
        <is>
          <t>Solo como bitácora</t>
        </is>
      </c>
      <c r="H10" s="143" t="inlineStr">
        <is>
          <t>Flujos integrados: escalamiento y notificación automática</t>
        </is>
      </c>
      <c r="I10" s="143" t="inlineStr">
        <is>
          <t>Se mide % de automatización e impacto en tiempos</t>
        </is>
      </c>
      <c r="J10" s="143" t="inlineStr">
        <is>
          <t>Agentes IA clasifican, sugieren y resuelven tickets</t>
        </is>
      </c>
      <c r="K10" s="104" t="n"/>
    </row>
    <row r="11" ht="60" customHeight="1" s="102">
      <c r="A11" s="104" t="n"/>
      <c r="B11" s="141" t="n">
        <v>4</v>
      </c>
      <c r="C11" s="125" t="inlineStr">
        <is>
          <t>Gestión del conocimiento (KEDB)</t>
        </is>
      </c>
      <c r="D11" s="146" t="inlineStr">
        <is>
          <t>Monitor, Support &amp; Fulfill</t>
        </is>
      </c>
      <c r="E11" s="143" t="inlineStr">
        <is>
          <t>KEDB activa y accesible al usuario (base del N0)</t>
        </is>
      </c>
      <c r="F11" s="143" t="inlineStr">
        <is>
          <t>En la cabeza — bus factor</t>
        </is>
      </c>
      <c r="G11" s="143" t="inlineStr">
        <is>
          <t>Notas aisladas</t>
        </is>
      </c>
      <c r="H11" s="143" t="inlineStr">
        <is>
          <t>KEDB centralizada, estructurada y con dueño</t>
        </is>
      </c>
      <c r="I11" s="143" t="inlineStr">
        <is>
          <t>Uso correlacionado con reducción de tiempo de resolución</t>
        </is>
      </c>
      <c r="J11" s="143" t="inlineStr">
        <is>
          <t>Auto-sugerencia IA antes de que el humano busque</t>
        </is>
      </c>
      <c r="K11" s="104" t="n"/>
    </row>
    <row r="12" ht="60" customHeight="1" s="102">
      <c r="A12" s="104" t="n"/>
      <c r="B12" s="141" t="n">
        <v>5</v>
      </c>
      <c r="C12" s="125" t="inlineStr">
        <is>
          <t>Gestión de integraciones y entorno de aplicaciones</t>
        </is>
      </c>
      <c r="D12" s="142" t="inlineStr">
        <is>
          <t>Feedback operativo</t>
        </is>
      </c>
      <c r="E12" s="143" t="inlineStr">
        <is>
          <t>—</t>
        </is>
      </c>
      <c r="F12" s="143" t="inlineStr">
        <is>
          <t>Sin documentar</t>
        </is>
      </c>
      <c r="G12" s="143" t="inlineStr">
        <is>
          <t>Lista básica sin arquitectura</t>
        </is>
      </c>
      <c r="H12" s="143" t="inlineStr">
        <is>
          <t>Mapa de APIs, dependencias y owner documentado</t>
        </is>
      </c>
      <c r="I12" s="143" t="inlineStr">
        <is>
          <t>Alertas por criticidad de API afectada</t>
        </is>
      </c>
      <c r="J12" s="143" t="inlineStr">
        <is>
          <t>Monitoreo AIOps: detecta caídas antes que el usuario</t>
        </is>
      </c>
      <c r="K12" s="104" t="n"/>
    </row>
    <row r="13" ht="60" customHeight="1" s="102">
      <c r="A13" s="104" t="n"/>
      <c r="B13" s="141" t="n">
        <v>6</v>
      </c>
      <c r="C13" s="125" t="inlineStr">
        <is>
          <t>Monitoreo y gestión de eventos</t>
        </is>
      </c>
      <c r="D13" s="146" t="inlineStr">
        <is>
          <t>Monitor, Support &amp; Fulfill</t>
        </is>
      </c>
      <c r="E13" s="143" t="inlineStr">
        <is>
          <t>—</t>
        </is>
      </c>
      <c r="F13" s="143" t="inlineStr">
        <is>
          <t>Sin monitoreo. El usuario reporta los problemas</t>
        </is>
      </c>
      <c r="G13" s="143" t="inlineStr">
        <is>
          <t>Alertas manuales básicas</t>
        </is>
      </c>
      <c r="H13" s="143" t="inlineStr">
        <is>
          <t>Monitoreo sistemático con umbrales y alertas automáticas</t>
        </is>
      </c>
      <c r="I13" s="143" t="inlineStr">
        <is>
          <t>Correlación de eventos para detectar patrones</t>
        </is>
      </c>
      <c r="J13" s="143" t="inlineStr">
        <is>
          <t>AIOps: predicción y resolución proactiva antes del impacto</t>
        </is>
      </c>
      <c r="K13" s="104" t="n"/>
    </row>
    <row r="14" ht="21.75" customHeight="1" s="102">
      <c r="A14" s="104" t="n"/>
      <c r="B14" s="147" t="inlineStr">
        <is>
          <t>D3 · Socios y Proveedores — Niveles de servicio, contratos y límites del alcance</t>
        </is>
      </c>
      <c r="C14" s="140" t="n"/>
      <c r="D14" s="140" t="n"/>
      <c r="E14" s="140" t="n"/>
      <c r="F14" s="140" t="n"/>
      <c r="G14" s="140" t="n"/>
      <c r="H14" s="140" t="n"/>
      <c r="I14" s="140" t="n"/>
      <c r="J14" s="140" t="n"/>
      <c r="K14" s="118" t="n"/>
    </row>
    <row r="15" ht="60" customHeight="1" s="102">
      <c r="A15" s="104" t="n"/>
      <c r="B15" s="141" t="n">
        <v>7</v>
      </c>
      <c r="C15" s="148" t="inlineStr">
        <is>
          <t>Service Desk — punto único de contacto</t>
        </is>
      </c>
      <c r="D15" s="146" t="inlineStr">
        <is>
          <t>Monitor, Support &amp; Fulfill</t>
        </is>
      </c>
      <c r="E15" s="143" t="inlineStr">
        <is>
          <t>—</t>
        </is>
      </c>
      <c r="F15" s="143" t="inlineStr">
        <is>
          <t>Sin punto único. Usuarios contactan por cualquier canal</t>
        </is>
      </c>
      <c r="G15" s="143" t="inlineStr">
        <is>
          <t>Mesa existe sin roles ni procesos claros</t>
        </is>
      </c>
      <c r="H15" s="143" t="inlineStr">
        <is>
          <t>Punto único definido: canales, horarios y escalamiento documentado</t>
        </is>
      </c>
      <c r="I15" s="143" t="inlineStr">
        <is>
          <t>Mesa medida como unidad de negocio: ANS, CSAT, costo/ticket</t>
        </is>
      </c>
      <c r="J15" s="143" t="inlineStr">
        <is>
          <t>Mesa orquestada por IA: N0 deflecta, N1 clasifica, N2/N3 solo casos complejos</t>
        </is>
      </c>
      <c r="K15" s="104" t="n"/>
    </row>
    <row r="16" ht="60" customHeight="1" s="102">
      <c r="A16" s="104" t="n"/>
      <c r="B16" s="141" t="n">
        <v>8</v>
      </c>
      <c r="C16" s="148" t="inlineStr">
        <is>
          <t>Catálogo de servicios y límites del alcance</t>
        </is>
      </c>
      <c r="D16" s="146" t="inlineStr">
        <is>
          <t>ITIL Service</t>
        </is>
      </c>
      <c r="E16" s="143" t="inlineStr">
        <is>
          <t>—</t>
        </is>
      </c>
      <c r="F16" s="143" t="inlineStr">
        <is>
          <t>Informal, solo verbal</t>
        </is>
      </c>
      <c r="G16" s="143" t="inlineStr">
        <is>
          <t>Firmado y olvidado, desactualizado</t>
        </is>
      </c>
      <c r="H16" s="143" t="inlineStr">
        <is>
          <t>Catálogo vivo: el equipo lo usa como referencia real</t>
        </is>
      </c>
      <c r="I16" s="143" t="inlineStr">
        <is>
          <t>Costeo por servicio, identifica rentabilidad de cada módulo</t>
        </is>
      </c>
      <c r="J16" s="143" t="inlineStr">
        <is>
          <t>Ajuste dinámico según demanda real</t>
        </is>
      </c>
      <c r="K16" s="104" t="n"/>
    </row>
    <row r="17" ht="60" customHeight="1" s="102">
      <c r="A17" s="104" t="n"/>
      <c r="B17" s="141" t="n">
        <v>9</v>
      </c>
      <c r="C17" s="148" t="inlineStr">
        <is>
          <t>SLA / ANS + XLA por prioridad</t>
        </is>
      </c>
      <c r="D17" s="146" t="inlineStr">
        <is>
          <t>ITIL Service</t>
        </is>
      </c>
      <c r="E17" s="143" t="inlineStr">
        <is>
          <t>—</t>
        </is>
      </c>
      <c r="F17" s="143" t="inlineStr">
        <is>
          <t>No medidos o aspiracionales</t>
        </is>
      </c>
      <c r="G17" s="143" t="inlineStr">
        <is>
          <t>Medición manual al recibir reclamo</t>
        </is>
      </c>
      <c r="H17" s="143" t="inlineStr">
        <is>
          <t>ANS por prioridad: Crítico &lt;1h · Alto &lt;4h · Medio &lt;8h · Bajo &lt;24h. XLA definido</t>
        </is>
      </c>
      <c r="I17" s="143" t="inlineStr">
        <is>
          <t>ANS con análisis de tendencia + XLA correlacionado con experiencia real</t>
        </is>
      </c>
      <c r="J17" s="143" t="inlineStr">
        <is>
          <t>Alertas predictivas de ANS + XLA en tiempo real</t>
        </is>
      </c>
      <c r="K17" s="104" t="n"/>
    </row>
    <row r="18" ht="60" customHeight="1" s="102">
      <c r="A18" s="104" t="n"/>
      <c r="B18" s="141" t="n">
        <v>10</v>
      </c>
      <c r="C18" s="148" t="inlineStr">
        <is>
          <t>Disponibilidad y cobertura horaria</t>
        </is>
      </c>
      <c r="D18" s="142" t="inlineStr">
        <is>
          <t>Feedback operativo</t>
        </is>
      </c>
      <c r="E18" s="143" t="inlineStr">
        <is>
          <t>N0 activo = cobertura 24x7 para solicitudes frecuentes</t>
        </is>
      </c>
      <c r="F18" s="143" t="inlineStr">
        <is>
          <t>Best effort sin compromiso</t>
        </is>
      </c>
      <c r="G18" s="143" t="inlineStr">
        <is>
          <t>Horario conocido pero no contractual</t>
        </is>
      </c>
      <c r="H18" s="143" t="inlineStr">
        <is>
          <t>Horario pactado (ej. L-V 7:30-5PM), GAP administrativo negociado</t>
        </is>
      </c>
      <c r="I18" s="143" t="inlineStr">
        <is>
          <t>Cumplimiento de cobertura medido y reportado al cliente</t>
        </is>
      </c>
      <c r="J18" s="143" t="inlineStr">
        <is>
          <t>N0/N1 gestionado por IA fuera de horario: 24x7 efectivo</t>
        </is>
      </c>
      <c r="K18" s="104" t="n"/>
    </row>
    <row r="19" ht="21.75" customHeight="1" s="102">
      <c r="A19" s="104" t="n"/>
      <c r="B19" s="139" t="inlineStr">
        <is>
          <t>D4 · Flujos de Valor y Procesos — Soporte, incidentes, cambios, transición y CX</t>
        </is>
      </c>
      <c r="C19" s="140" t="n"/>
      <c r="D19" s="140" t="n"/>
      <c r="E19" s="140" t="n"/>
      <c r="F19" s="140" t="n"/>
      <c r="G19" s="140" t="n"/>
      <c r="H19" s="140" t="n"/>
      <c r="I19" s="140" t="n"/>
      <c r="J19" s="140" t="n"/>
      <c r="K19" s="118" t="n"/>
    </row>
    <row r="20" ht="60" customHeight="1" s="102">
      <c r="A20" s="104" t="n"/>
      <c r="B20" s="141" t="n">
        <v>11</v>
      </c>
      <c r="C20" s="112" t="inlineStr">
        <is>
          <t>Gestión de incidentes</t>
        </is>
      </c>
      <c r="D20" s="146" t="inlineStr">
        <is>
          <t>Monitor, Support &amp; Fulfill</t>
        </is>
      </c>
      <c r="E20" s="143" t="inlineStr">
        <is>
          <t>—</t>
        </is>
      </c>
      <c r="F20" s="143" t="inlineStr">
        <is>
          <t>Reactivo / apagar incendios, sin trazabilidad</t>
        </is>
      </c>
      <c r="G20" s="143" t="inlineStr">
        <is>
          <t>Registro básico, categorización inconsistente</t>
        </is>
      </c>
      <c r="H20" s="143" t="inlineStr">
        <is>
          <t>Proceso estándar de registro, triaje y escalamiento N1→N2→N3</t>
        </is>
      </c>
      <c r="I20" s="143" t="inlineStr">
        <is>
          <t>Tiempos medidos por categoría y nivel con metas claras</t>
        </is>
      </c>
      <c r="J20" s="143" t="inlineStr">
        <is>
          <t>Auto-resolución IA: clasifica, sugiere, escala solo si confianza baja</t>
        </is>
      </c>
      <c r="K20" s="104" t="n"/>
    </row>
    <row r="21" ht="60" customHeight="1" s="102">
      <c r="A21" s="104" t="n"/>
      <c r="B21" s="141" t="n">
        <v>12</v>
      </c>
      <c r="C21" s="112" t="inlineStr">
        <is>
          <t>Gestión de solicitudes</t>
        </is>
      </c>
      <c r="D21" s="146" t="inlineStr">
        <is>
          <t>Monitor, Support &amp; Fulfill</t>
        </is>
      </c>
      <c r="E21" s="143" t="inlineStr">
        <is>
          <t>Portal N0 resuelve solicitudes frecuentes sin abrir ticket</t>
        </is>
      </c>
      <c r="F21" s="143" t="inlineStr">
        <is>
          <t>Mezcladas con incidentes, sin distinción</t>
        </is>
      </c>
      <c r="G21" s="143" t="inlineStr">
        <is>
          <t>Flujo completamente manual</t>
        </is>
      </c>
      <c r="H21" s="143" t="inlineStr">
        <is>
          <t>Catálogo estándar con tiempos de cumplimiento por tipo</t>
        </is>
      </c>
      <c r="I21" s="143" t="inlineStr">
        <is>
          <t>ANS medido en tiempo real por tipo de solicitud</t>
        </is>
      </c>
      <c r="J21" s="143" t="inlineStr">
        <is>
          <t>Portal N0 expandido con IA: resuelve y aprende de cada interacción</t>
        </is>
      </c>
      <c r="K21" s="104" t="n"/>
    </row>
    <row r="22" ht="60" customHeight="1" s="102">
      <c r="A22" s="104" t="n"/>
      <c r="B22" s="141" t="n">
        <v>13</v>
      </c>
      <c r="C22" s="112" t="inlineStr">
        <is>
          <t>Gestión de problemas (causa raíz)</t>
        </is>
      </c>
      <c r="D22" s="146" t="inlineStr">
        <is>
          <t>Monitor, Support &amp; Fulfill</t>
        </is>
      </c>
      <c r="E22" s="143" t="inlineStr">
        <is>
          <t>—</t>
        </is>
      </c>
      <c r="F22" s="143" t="inlineStr">
        <is>
          <t>No existe. Cada incidente se resuelve aislado</t>
        </is>
      </c>
      <c r="G22" s="143" t="inlineStr">
        <is>
          <t>A voluntad del analista, sin proceso formal</t>
        </is>
      </c>
      <c r="H22" s="143" t="inlineStr">
        <is>
          <t>Análisis formal cuando incidente se repite más de X veces</t>
        </is>
      </c>
      <c r="I22" s="143" t="inlineStr">
        <is>
          <t>Se mide reducción de tickets recurrentes tras resolver causa raíz</t>
        </is>
      </c>
      <c r="J22" s="143" t="inlineStr">
        <is>
          <t>IA detecta patrones ocultos proactivamente</t>
        </is>
      </c>
      <c r="K22" s="104" t="n"/>
    </row>
    <row r="23" ht="60" customHeight="1" s="102">
      <c r="A23" s="104" t="n"/>
      <c r="B23" s="141" t="n">
        <v>14</v>
      </c>
      <c r="C23" s="112" t="inlineStr">
        <is>
          <t>Gestión del cambio (Change Enablement)</t>
        </is>
      </c>
      <c r="D23" s="146" t="inlineStr">
        <is>
          <t>ITIL Service</t>
        </is>
      </c>
      <c r="E23" s="143" t="inlineStr">
        <is>
          <t>—</t>
        </is>
      </c>
      <c r="F23" s="143" t="inlineStr">
        <is>
          <t>Cambios en producción sin control ni trazabilidad</t>
        </is>
      </c>
      <c r="G23" s="143" t="inlineStr">
        <is>
          <t>Registro básico sin aprobación formal</t>
        </is>
      </c>
      <c r="H23" s="143" t="inlineStr">
        <is>
          <t>Proceso documentado: quién solicita, aprueba y despliega (segregación de funciones)</t>
        </is>
      </c>
      <c r="I23" s="143" t="inlineStr">
        <is>
          <t>Se mide impacto de cambios en incidentes y se ajusta el proceso</t>
        </is>
      </c>
      <c r="J23" s="143" t="inlineStr">
        <is>
          <t>Cambios evaluados automáticamente por IA según riesgo calculado</t>
        </is>
      </c>
      <c r="K23" s="104" t="n"/>
    </row>
    <row r="24" ht="60" customHeight="1" s="102">
      <c r="A24" s="104" t="n"/>
      <c r="B24" s="141" t="n">
        <v>15</v>
      </c>
      <c r="C24" s="112" t="inlineStr">
        <is>
          <t>Transición y onboarding</t>
        </is>
      </c>
      <c r="D24" s="146" t="inlineStr">
        <is>
          <t>ITIL Service</t>
        </is>
      </c>
      <c r="E24" s="143" t="inlineStr">
        <is>
          <t>—</t>
        </is>
      </c>
      <c r="F24" s="143" t="inlineStr">
        <is>
          <t>Improvisada, se reinventa con cada cliente</t>
        </is>
      </c>
      <c r="G24" s="143" t="inlineStr">
        <is>
          <t>Pasos sueltos, no replicables</t>
        </is>
      </c>
      <c r="H24" s="143" t="inlineStr">
        <is>
          <t>Playbook exacto: inducción, documentación, acuerdos, KEDB</t>
        </is>
      </c>
      <c r="I24" s="143" t="inlineStr">
        <is>
          <t>Métrica 30 días: calidad del arranque medida con datos reales</t>
        </is>
      </c>
      <c r="J24" s="143" t="inlineStr">
        <is>
          <t>Plantillas IA aceleran la transición (carga automática)</t>
        </is>
      </c>
      <c r="K24" s="104" t="n"/>
    </row>
    <row r="25" ht="60" customHeight="1" s="102">
      <c r="A25" s="104" t="n"/>
      <c r="B25" s="141" t="n">
        <v>16</v>
      </c>
      <c r="C25" s="112" t="inlineStr">
        <is>
          <t>Mejora continua del servicio</t>
        </is>
      </c>
      <c r="D25" s="146" t="inlineStr">
        <is>
          <t>Collaborate, Assure &amp; Improve</t>
        </is>
      </c>
      <c r="E25" s="143" t="inlineStr">
        <is>
          <t>—</t>
        </is>
      </c>
      <c r="F25" s="143" t="inlineStr">
        <is>
          <t>Sin proceso de mejora. Solo se reacciona ante crisis</t>
        </is>
      </c>
      <c r="G25" s="143" t="inlineStr">
        <is>
          <t>Mejoras identificadas sin priorización ni seguimiento</t>
        </is>
      </c>
      <c r="H25" s="143" t="inlineStr">
        <is>
          <t>Backlog de mejoras activo: priorizado con owner y fecha de revisión</t>
        </is>
      </c>
      <c r="I25" s="143" t="inlineStr">
        <is>
          <t>Mejoras medidas: antes vs. después con datos reales</t>
        </is>
      </c>
      <c r="J25" s="143" t="inlineStr">
        <is>
          <t>IA detecta oportunidades de mejora a partir de patrones de operación</t>
        </is>
      </c>
      <c r="K25" s="104" t="n"/>
    </row>
    <row r="26" ht="60" customHeight="1" s="102">
      <c r="A26" s="104" t="n"/>
      <c r="B26" s="141" t="n">
        <v>17</v>
      </c>
      <c r="C26" s="112" t="inlineStr">
        <is>
          <t>Experiencia del cliente (CX / NPS / CSAT / XLA)</t>
        </is>
      </c>
      <c r="D26" s="149" t="inlineStr">
        <is>
          <t>ITIL Experience</t>
        </is>
      </c>
      <c r="E26" s="143" t="inlineStr">
        <is>
          <t>Satisfacción medida por tasa de resolución autónoma (% sin escalar)</t>
        </is>
      </c>
      <c r="F26" s="143" t="inlineStr">
        <is>
          <t>Cero quejas = todo OK, sin medición</t>
        </is>
      </c>
      <c r="G26" s="143" t="inlineStr">
        <is>
          <t>Encuesta anual esporádica sin seguimiento</t>
        </is>
      </c>
      <c r="H26" s="143" t="inlineStr">
        <is>
          <t>CSAT continuo por ticket + XLA: experiencia percibida medida</t>
        </is>
      </c>
      <c r="I26" s="143" t="inlineStr">
        <is>
          <t>Cruce operacional: CSAT/XLA correlacionado con tiempos, reincidencia y NPS</t>
        </is>
      </c>
      <c r="J26" s="143" t="inlineStr">
        <is>
          <t>CX en tiempo real: ajuste proactivo antes de que la insatisfacción se formalice</t>
        </is>
      </c>
      <c r="K26" s="104" t="n"/>
    </row>
    <row r="27" ht="21.75" customHeight="1" s="102">
      <c r="A27" s="104" t="n"/>
      <c r="B27" s="150" t="inlineStr">
        <is>
          <t>Dimensión de Negocio · Éxito comercial y rentabilidad de PS</t>
        </is>
      </c>
      <c r="C27" s="140" t="n"/>
      <c r="D27" s="140" t="n"/>
      <c r="E27" s="140" t="n"/>
      <c r="F27" s="140" t="n"/>
      <c r="G27" s="140" t="n"/>
      <c r="H27" s="140" t="n"/>
      <c r="I27" s="140" t="n"/>
      <c r="J27" s="140" t="n"/>
      <c r="K27" s="118" t="n"/>
    </row>
    <row r="28" ht="60" customHeight="1" s="102">
      <c r="A28" s="104" t="n"/>
      <c r="B28" s="141" t="n">
        <v>18</v>
      </c>
      <c r="C28" s="151" t="inlineStr">
        <is>
          <t>Salud financiera del contrato</t>
        </is>
      </c>
      <c r="D28" s="152" t="inlineStr">
        <is>
          <t>Negocio PS</t>
        </is>
      </c>
      <c r="E28" s="143" t="inlineStr">
        <is>
          <t>—</t>
        </is>
      </c>
      <c r="F28" s="143" t="inlineStr">
        <is>
          <t>Pérdida oculta: margen desconocido</t>
        </is>
      </c>
      <c r="G28" s="143" t="inlineStr">
        <is>
          <t>Rentabilidad plana, sin optimización</t>
        </is>
      </c>
      <c r="H28" s="143" t="inlineStr">
        <is>
          <t>Margen por FTE identificado y monitoreado</t>
        </is>
      </c>
      <c r="I28" s="143" t="inlineStr">
        <is>
          <t>Eficiencia de costo medida: costo/ticket</t>
        </is>
      </c>
      <c r="J28" s="143" t="inlineStr">
        <is>
          <t>Upselling automatizado: IA detecta oportunidades de expansión</t>
        </is>
      </c>
      <c r="K28" s="104" t="n"/>
    </row>
    <row r="29" ht="60" customHeight="1" s="102">
      <c r="A29" s="104" t="n"/>
      <c r="B29" s="141" t="n">
        <v>19</v>
      </c>
      <c r="C29" s="151" t="inlineStr">
        <is>
          <t>Retención y crecimiento de cuenta</t>
        </is>
      </c>
      <c r="D29" s="152" t="inlineStr">
        <is>
          <t>Negocio PS</t>
        </is>
      </c>
      <c r="E29" s="143" t="inlineStr">
        <is>
          <t>—</t>
        </is>
      </c>
      <c r="F29" s="143" t="inlineStr">
        <is>
          <t>Riesgo de churn no detectado</t>
        </is>
      </c>
      <c r="G29" s="143" t="inlineStr">
        <is>
          <t>Renovación incierta, sin plan de cuenta</t>
        </is>
      </c>
      <c r="H29" s="143" t="inlineStr">
        <is>
          <t>Plan de cuenta activo, renovación gestionada proactivamente</t>
        </is>
      </c>
      <c r="I29" s="143" t="inlineStr">
        <is>
          <t>Expansión medida: servicios adicionales por cliente</t>
        </is>
      </c>
      <c r="J29" s="143" t="inlineStr">
        <is>
          <t>Expansión automática: modelo detecta señales de crecimiento</t>
        </is>
      </c>
      <c r="K29" s="104" t="n"/>
    </row>
    <row r="30" ht="60" customHeight="1" s="102">
      <c r="A30" s="104" t="n"/>
      <c r="B30" s="141" t="n">
        <v>20</v>
      </c>
      <c r="C30" s="151" t="inlineStr">
        <is>
          <t>NPS / CSAT / XLA del cliente final</t>
        </is>
      </c>
      <c r="D30" s="152" t="inlineStr">
        <is>
          <t>Negocio PS</t>
        </is>
      </c>
      <c r="E30" s="143" t="inlineStr">
        <is>
          <t>—</t>
        </is>
      </c>
      <c r="F30" s="143" t="inlineStr">
        <is>
          <t>Cliente silencioso: no se mide lealtad</t>
        </is>
      </c>
      <c r="G30" s="143" t="inlineStr">
        <is>
          <t>Reactivo: solo se actúa ante queja formal</t>
        </is>
      </c>
      <c r="H30" s="143" t="inlineStr">
        <is>
          <t>CSAT + XLA sistemáticos, NPS periódico</t>
        </is>
      </c>
      <c r="I30" s="143" t="inlineStr">
        <is>
          <t>Promotor activo: cliente referencia el servicio con datos</t>
        </is>
      </c>
      <c r="J30" s="143" t="inlineStr">
        <is>
          <t>Predicción de churn: IA detecta señales antes de la queja</t>
        </is>
      </c>
      <c r="K30" s="104" t="n"/>
    </row>
    <row r="31" ht="60" customHeight="1" s="102">
      <c r="A31" s="104" t="n"/>
      <c r="B31" s="141" t="n">
        <v>21</v>
      </c>
      <c r="C31" s="151" t="inlineStr">
        <is>
          <t>Eficiencia de costo operativo</t>
        </is>
      </c>
      <c r="D31" s="152" t="inlineStr">
        <is>
          <t>Negocio PS</t>
        </is>
      </c>
      <c r="E31" s="143" t="inlineStr">
        <is>
          <t>—</t>
        </is>
      </c>
      <c r="F31" s="143" t="inlineStr">
        <is>
          <t>Costo/ticket alto e invisible</t>
        </is>
      </c>
      <c r="G31" s="143" t="inlineStr">
        <is>
          <t>GAP de tiempo muerto sin medir</t>
        </is>
      </c>
      <c r="H31" s="143" t="inlineStr">
        <is>
          <t>Costo/ticket calculado y comparado contra línea base</t>
        </is>
      </c>
      <c r="I31" s="143" t="inlineStr">
        <is>
          <t>Reducción medida de costo por automatización incremental</t>
        </is>
      </c>
      <c r="J31" s="143" t="inlineStr">
        <is>
          <t>Automatización escala sola: costo marginal baja con cada ticket IA</t>
        </is>
      </c>
      <c r="K31" s="104" t="n"/>
    </row>
  </sheetData>
  <mergeCells count="7">
    <mergeCell ref="B3:J3"/>
    <mergeCell ref="B14:K14"/>
    <mergeCell ref="B9:K9"/>
    <mergeCell ref="B27:K27"/>
    <mergeCell ref="B6:K6"/>
    <mergeCell ref="B2:J2"/>
    <mergeCell ref="B19:K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001F7A4D"/>
    <outlinePr summaryBelow="1" summaryRight="1"/>
    <pageSetUpPr fitToPage="0"/>
  </sheetPr>
  <dimension ref="A1:K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18" topLeftCell="C28" activePane="bottomRight" state="frozen"/>
      <selection pane="topLeft" activeCell="A1" activeCellId="0" sqref="A1"/>
      <selection pane="topRight" activeCell="C1" activeCellId="0" sqref="C1"/>
      <selection pane="bottomLeft" activeCell="A28" activeCellId="0" sqref="A28"/>
      <selection pane="bottomRight" activeCell="A1" activeCellId="0" sqref="A1"/>
    </sheetView>
  </sheetViews>
  <sheetFormatPr baseColWidth="8" defaultColWidth="8.6328125" defaultRowHeight="14.25" zeroHeight="0" outlineLevelRow="0"/>
  <cols>
    <col width="2" customWidth="1" style="101" min="1" max="1"/>
    <col width="4" customWidth="1" style="101" min="2" max="2"/>
    <col width="30" customWidth="1" style="101" min="3" max="3"/>
    <col width="20" customWidth="1" style="101" min="4" max="4"/>
    <col width="16" customWidth="1" style="101" min="5" max="5"/>
    <col width="13" customWidth="1" style="101" min="6" max="7"/>
    <col width="8" customWidth="1" style="101" min="8" max="8"/>
    <col width="40" customWidth="1" style="101" min="9" max="9"/>
    <col width="18" customWidth="1" style="101" min="10" max="10"/>
    <col width="14" customWidth="1" style="101" min="11" max="11"/>
  </cols>
  <sheetData>
    <row r="1">
      <c r="A1" s="104" t="n"/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17.25" customHeight="1" s="102">
      <c r="A2" s="104" t="n"/>
      <c r="B2" s="104" t="n"/>
      <c r="C2" s="129" t="inlineStr">
        <is>
          <t>Evaluación de Madurez · Cotizadores</t>
        </is>
      </c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3" ht="15" customHeight="1" s="102">
      <c r="A3" s="104" t="n"/>
      <c r="B3" s="104" t="n"/>
      <c r="C3" s="130" t="inlineStr">
        <is>
          <t>PersonalSoft · SURA · Modelo de Madurez v1.0 · ITIL v5</t>
        </is>
      </c>
      <c r="D3" s="104" t="n"/>
      <c r="E3" s="104" t="n"/>
      <c r="F3" s="104" t="n"/>
      <c r="G3" s="104" t="n"/>
      <c r="H3" s="104" t="n"/>
      <c r="I3" s="104" t="n"/>
      <c r="J3" s="104" t="n"/>
      <c r="K3" s="104" t="n"/>
    </row>
    <row r="4">
      <c r="A4" s="104" t="n"/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</row>
    <row r="5" ht="15" customHeight="1" s="102">
      <c r="A5" s="104" t="n"/>
      <c r="B5" s="104" t="n"/>
      <c r="C5" s="153" t="inlineStr">
        <is>
          <t>Nombre de la mesa:</t>
        </is>
      </c>
      <c r="D5" s="154" t="inlineStr">
        <is>
          <t>Cotizadores</t>
        </is>
      </c>
      <c r="E5" s="140" t="n"/>
      <c r="F5" s="140" t="n"/>
      <c r="G5" s="140" t="n"/>
      <c r="H5" s="118" t="n"/>
      <c r="I5" s="104" t="n"/>
      <c r="J5" s="104" t="n"/>
      <c r="K5" s="104" t="n"/>
    </row>
    <row r="6" ht="15" customHeight="1" s="102">
      <c r="A6" s="104" t="n"/>
      <c r="B6" s="104" t="n"/>
      <c r="C6" s="153" t="inlineStr">
        <is>
          <t>Cliente:</t>
        </is>
      </c>
      <c r="D6" s="154" t="inlineStr">
        <is>
          <t>SURA</t>
        </is>
      </c>
      <c r="E6" s="140" t="n"/>
      <c r="F6" s="140" t="n"/>
      <c r="G6" s="140" t="n"/>
      <c r="H6" s="118" t="n"/>
      <c r="I6" s="104" t="n"/>
      <c r="J6" s="104" t="n"/>
      <c r="K6" s="104" t="n"/>
    </row>
    <row r="7" ht="15" customHeight="1" s="102">
      <c r="A7" s="104" t="n"/>
      <c r="B7" s="104" t="n"/>
      <c r="C7" s="153" t="inlineStr">
        <is>
          <t>Sector:</t>
        </is>
      </c>
      <c r="D7" s="154" t="inlineStr">
        <is>
          <t>Banca/Seguros</t>
        </is>
      </c>
      <c r="E7" s="140" t="n"/>
      <c r="F7" s="140" t="n"/>
      <c r="G7" s="140" t="n"/>
      <c r="H7" s="118" t="n"/>
      <c r="I7" s="104" t="n"/>
      <c r="J7" s="104" t="n"/>
      <c r="K7" s="104" t="n"/>
    </row>
    <row r="8" ht="15" customHeight="1" s="102">
      <c r="A8" s="104" t="n"/>
      <c r="B8" s="104" t="n"/>
      <c r="C8" s="153" t="inlineStr">
        <is>
          <t>Tipo de mesa:</t>
        </is>
      </c>
      <c r="D8" s="154" t="n"/>
      <c r="E8" s="140" t="n"/>
      <c r="F8" s="140" t="n"/>
      <c r="G8" s="140" t="n"/>
      <c r="H8" s="118" t="n"/>
      <c r="I8" s="104" t="n"/>
      <c r="J8" s="104" t="n"/>
      <c r="K8" s="104" t="n"/>
    </row>
    <row r="9" ht="15" customHeight="1" s="102">
      <c r="A9" s="104" t="n"/>
      <c r="B9" s="104" t="n"/>
      <c r="C9" s="153" t="inlineStr">
        <is>
          <t>¿N0 activo?:</t>
        </is>
      </c>
      <c r="D9" s="154" t="inlineStr">
        <is>
          <t>No</t>
        </is>
      </c>
      <c r="E9" s="140" t="n"/>
      <c r="F9" s="140" t="n"/>
      <c r="G9" s="140" t="n"/>
      <c r="H9" s="118" t="n"/>
      <c r="I9" s="104" t="n"/>
      <c r="J9" s="104" t="n"/>
      <c r="K9" s="104" t="n"/>
    </row>
    <row r="10" ht="15" customHeight="1" s="102">
      <c r="A10" s="104" t="n"/>
      <c r="B10" s="104" t="n"/>
      <c r="C10" s="153" t="inlineStr">
        <is>
          <t>Evaluador:</t>
        </is>
      </c>
      <c r="D10" s="154" t="n"/>
      <c r="E10" s="140" t="n"/>
      <c r="F10" s="140" t="n"/>
      <c r="G10" s="140" t="n"/>
      <c r="H10" s="118" t="n"/>
      <c r="I10" s="104" t="n"/>
      <c r="J10" s="104" t="n"/>
      <c r="K10" s="104" t="n"/>
    </row>
    <row r="11" ht="15" customHeight="1" s="102">
      <c r="A11" s="104" t="n"/>
      <c r="B11" s="104" t="n"/>
      <c r="C11" s="153" t="inlineStr">
        <is>
          <t>Fecha de evaluación:</t>
        </is>
      </c>
      <c r="D11" s="155" t="n"/>
      <c r="E11" s="140" t="n"/>
      <c r="F11" s="140" t="n"/>
      <c r="G11" s="140" t="n"/>
      <c r="H11" s="118" t="n"/>
      <c r="I11" s="104" t="n"/>
      <c r="J11" s="104" t="n"/>
      <c r="K11" s="104" t="n"/>
    </row>
    <row r="12" ht="15" customHeight="1" s="102">
      <c r="A12" s="104" t="n"/>
      <c r="B12" s="104" t="n"/>
      <c r="C12" s="153" t="inlineStr">
        <is>
          <t>Herramienta de tickets:</t>
        </is>
      </c>
      <c r="D12" s="154" t="n"/>
      <c r="E12" s="140" t="n"/>
      <c r="F12" s="140" t="n"/>
      <c r="G12" s="140" t="n"/>
      <c r="H12" s="118" t="n"/>
      <c r="I12" s="104" t="n"/>
      <c r="J12" s="104" t="n"/>
      <c r="K12" s="104" t="n"/>
    </row>
    <row r="13" ht="15" customHeight="1" s="102">
      <c r="A13" s="104" t="n"/>
      <c r="B13" s="104" t="n"/>
      <c r="C13" s="153" t="inlineStr">
        <is>
          <t>Horario de servicio:</t>
        </is>
      </c>
      <c r="D13" s="154" t="n"/>
      <c r="E13" s="140" t="n"/>
      <c r="F13" s="140" t="n"/>
      <c r="G13" s="140" t="n"/>
      <c r="H13" s="118" t="n"/>
      <c r="I13" s="104" t="n"/>
      <c r="J13" s="104" t="n"/>
      <c r="K13" s="104" t="n"/>
    </row>
    <row r="14">
      <c r="A14" s="104" t="n"/>
      <c r="B14" s="104" t="n"/>
      <c r="C14" s="104" t="n"/>
      <c r="D14" s="104" t="n"/>
      <c r="E14" s="104" t="n"/>
      <c r="F14" s="104" t="n"/>
      <c r="G14" s="104" t="n"/>
      <c r="H14" s="104" t="n"/>
      <c r="I14" s="104" t="n"/>
      <c r="J14" s="104" t="n"/>
      <c r="K14" s="104" t="n"/>
    </row>
    <row r="15" ht="15.75" customHeight="1" s="102">
      <c r="A15" s="104" t="n"/>
      <c r="B15" s="104" t="n"/>
      <c r="C15" s="156" t="inlineStr">
        <is>
          <t>Nivel mínimo esperado:</t>
        </is>
      </c>
      <c r="D15" s="157">
        <f>IF(D8="Mesa de Ayuda","N2 · Administrado",IF(D8="Mesa de Soporte","N3 · Definido","— Seleccionar tipo"))</f>
        <v/>
      </c>
      <c r="E15" s="140" t="n"/>
      <c r="F15" s="140" t="n"/>
      <c r="G15" s="118" t="n"/>
      <c r="H15" s="104" t="n"/>
      <c r="I15" s="156" t="inlineStr">
        <is>
          <t>Nivel global operativo (promedio):</t>
        </is>
      </c>
      <c r="J15" s="158">
        <f>IFERROR(AVERAGEIF(F20:F39,"&lt;&gt;"),"")</f>
        <v/>
      </c>
      <c r="K15" s="104" t="n"/>
    </row>
    <row r="16" ht="15" customHeight="1" s="102">
      <c r="A16" s="104" t="n"/>
      <c r="B16" s="104" t="n"/>
      <c r="C16" s="159" t="inlineStr">
        <is>
          <t>Nivel mínimo (número):</t>
        </is>
      </c>
      <c r="D16" s="160">
        <f>IF(D8="Mesa de Ayuda",2,IF(D8="Mesa de Soporte",3,0))</f>
        <v/>
      </c>
      <c r="E16" s="104" t="n"/>
      <c r="F16" s="104" t="n"/>
      <c r="G16" s="104" t="n"/>
      <c r="H16" s="104" t="n"/>
      <c r="I16" s="104" t="n"/>
      <c r="J16" s="104" t="n"/>
      <c r="K16" s="104" t="n"/>
    </row>
    <row r="17">
      <c r="A17" s="104" t="n"/>
      <c r="B17" s="104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</row>
    <row r="18" ht="42" customHeight="1" s="102">
      <c r="A18" s="104" t="n"/>
      <c r="B18" s="134" t="inlineStr">
        <is>
          <t>#</t>
        </is>
      </c>
      <c r="C18" s="134" t="inlineStr">
        <is>
          <t>Práctica</t>
        </is>
      </c>
      <c r="D18" s="134" t="inlineStr">
        <is>
          <t>Origen</t>
        </is>
      </c>
      <c r="E18" s="134" t="inlineStr">
        <is>
          <t>Nivel mínimo
esperado</t>
        </is>
      </c>
      <c r="F18" s="161" t="inlineStr">
        <is>
          <t>Nivel actual
(0=N0 · 5=N5)
▼ dropdown</t>
        </is>
      </c>
      <c r="G18" s="134" t="inlineStr">
        <is>
          <t>Nivel objetivo
(N0–N5)</t>
        </is>
      </c>
      <c r="H18" s="162" t="inlineStr">
        <is>
          <t>Brecha</t>
        </is>
      </c>
      <c r="I18" s="134" t="inlineStr">
        <is>
          <t>Evidencia / observación</t>
        </is>
      </c>
      <c r="J18" s="134" t="inlineStr">
        <is>
          <t>Herramienta / Nota</t>
        </is>
      </c>
      <c r="K18" s="163" t="inlineStr">
        <is>
          <t>¿Bajo mínimo?</t>
        </is>
      </c>
    </row>
    <row r="19" ht="19.5" customHeight="1" s="102">
      <c r="A19" s="104" t="n"/>
      <c r="B19" s="112" t="inlineStr">
        <is>
          <t>D1 · Organizaciones y Personas</t>
        </is>
      </c>
      <c r="C19" s="140" t="n"/>
      <c r="D19" s="140" t="n"/>
      <c r="E19" s="140" t="n"/>
      <c r="F19" s="140" t="n"/>
      <c r="G19" s="140" t="n"/>
      <c r="H19" s="140" t="n"/>
      <c r="I19" s="140" t="n"/>
      <c r="J19" s="118" t="n"/>
      <c r="K19" s="104" t="n"/>
    </row>
    <row r="20" ht="30" customHeight="1" s="102">
      <c r="A20" s="104" t="n"/>
      <c r="B20" s="141" t="n">
        <v>1</v>
      </c>
      <c r="C20" s="112" t="inlineStr">
        <is>
          <t>Gobierno de roles (RACI)</t>
        </is>
      </c>
      <c r="D20" s="142" t="inlineStr">
        <is>
          <t>Feedback operativo</t>
        </is>
      </c>
      <c r="E20" s="135">
        <f>IF($D$8="Mesa de Ayuda","N2 · Administrado",IF($D$8="Mesa de Soporte","N3 · Definido","—"))</f>
        <v/>
      </c>
      <c r="F20" s="164" t="n"/>
      <c r="G20" s="165" t="n"/>
      <c r="H20" s="166">
        <f>IF(AND(F20&lt;&gt;"",G20&lt;&gt;""),G20-F20,"")</f>
        <v/>
      </c>
      <c r="I20" s="167" t="n"/>
      <c r="J20" s="167" t="n"/>
      <c r="K20" s="168">
        <f>IF(F20="","—",IF(F20&lt;$D$16,"⛔ Bajo mínimo",IF(F20=$D$16,"✅ En mínimo","✔ Sobre mínimo")))</f>
        <v/>
      </c>
    </row>
    <row r="21" ht="30" customHeight="1" s="102">
      <c r="A21" s="104" t="n"/>
      <c r="B21" s="141" t="n">
        <v>2</v>
      </c>
      <c r="C21" s="112" t="inlineStr">
        <is>
          <t>Capacidad y dimensionamiento del equipo</t>
        </is>
      </c>
      <c r="D21" s="144" t="inlineStr">
        <is>
          <t>ITIL Foundation</t>
        </is>
      </c>
      <c r="E21" s="135">
        <f>IF($D$8="Mesa de Ayuda","N2 · Administrado",IF($D$8="Mesa de Soporte","N3 · Definido","—"))</f>
        <v/>
      </c>
      <c r="F21" s="164" t="n"/>
      <c r="G21" s="165" t="n"/>
      <c r="H21" s="166">
        <f>IF(AND(F21&lt;&gt;"",G21&lt;&gt;""),G21-F21,"")</f>
        <v/>
      </c>
      <c r="I21" s="167" t="n"/>
      <c r="J21" s="167" t="n"/>
      <c r="K21" s="168">
        <f>IF(F21="","—",IF(F21&lt;$D$16,"⛔ Bajo mínimo",IF(F21=$D$16,"✅ En mínimo","✔ Sobre mínimo")))</f>
        <v/>
      </c>
    </row>
    <row r="22" ht="19.5" customHeight="1" s="102">
      <c r="A22" s="104" t="n"/>
      <c r="B22" s="125" t="inlineStr">
        <is>
          <t>D2 · Información y Tecnología</t>
        </is>
      </c>
      <c r="C22" s="140" t="n"/>
      <c r="D22" s="140" t="n"/>
      <c r="E22" s="140" t="n"/>
      <c r="F22" s="140" t="n"/>
      <c r="G22" s="140" t="n"/>
      <c r="H22" s="140" t="n"/>
      <c r="I22" s="140" t="n"/>
      <c r="J22" s="118" t="n"/>
      <c r="K22" s="104" t="n"/>
    </row>
    <row r="23" ht="30" customHeight="1" s="102">
      <c r="A23" s="104" t="n"/>
      <c r="B23" s="141" t="n">
        <v>3</v>
      </c>
      <c r="C23" s="125" t="inlineStr">
        <is>
          <t>Herramientas y automatización</t>
        </is>
      </c>
      <c r="D23" s="144" t="inlineStr">
        <is>
          <t>ITIL Foundation</t>
        </is>
      </c>
      <c r="E23" s="135">
        <f>IF($D$8="Mesa de Ayuda","N2 · Administrado",IF($D$8="Mesa de Soporte","N3 · Definido","—"))</f>
        <v/>
      </c>
      <c r="F23" s="164" t="n"/>
      <c r="G23" s="165" t="n"/>
      <c r="H23" s="166">
        <f>IF(AND(F23&lt;&gt;"",G23&lt;&gt;""),G23-F23,"")</f>
        <v/>
      </c>
      <c r="I23" s="167" t="n"/>
      <c r="J23" s="167" t="n"/>
      <c r="K23" s="168">
        <f>IF(F23="","—",IF(F23&lt;$D$16,"⛔ Bajo mínimo",IF(F23=$D$16,"✅ En mínimo","✔ Sobre mínimo")))</f>
        <v/>
      </c>
    </row>
    <row r="24" ht="30" customHeight="1" s="102">
      <c r="A24" s="104" t="n"/>
      <c r="B24" s="141" t="n">
        <v>4</v>
      </c>
      <c r="C24" s="125" t="inlineStr">
        <is>
          <t>Gestión del conocimiento (KEDB)</t>
        </is>
      </c>
      <c r="D24" s="146" t="inlineStr">
        <is>
          <t>Monitor, Support &amp; Fulfill</t>
        </is>
      </c>
      <c r="E24" s="135">
        <f>IF($D$8="Mesa de Ayuda","N2 · Administrado",IF($D$8="Mesa de Soporte","N3 · Definido","—"))</f>
        <v/>
      </c>
      <c r="F24" s="164" t="n"/>
      <c r="G24" s="165" t="n"/>
      <c r="H24" s="166">
        <f>IF(AND(F24&lt;&gt;"",G24&lt;&gt;""),G24-F24,"")</f>
        <v/>
      </c>
      <c r="I24" s="167" t="n"/>
      <c r="J24" s="167" t="n"/>
      <c r="K24" s="168">
        <f>IF(F24="","—",IF(F24&lt;$D$16,"⛔ Bajo mínimo",IF(F24=$D$16,"✅ En mínimo","✔ Sobre mínimo")))</f>
        <v/>
      </c>
    </row>
    <row r="25" ht="30" customHeight="1" s="102">
      <c r="A25" s="104" t="n"/>
      <c r="B25" s="141" t="n">
        <v>5</v>
      </c>
      <c r="C25" s="125" t="inlineStr">
        <is>
          <t>Gestión de integraciones y entorno de aplicaciones</t>
        </is>
      </c>
      <c r="D25" s="142" t="inlineStr">
        <is>
          <t>Feedback operativo</t>
        </is>
      </c>
      <c r="E25" s="135">
        <f>IF($D$8="Mesa de Ayuda","N2 · Administrado",IF($D$8="Mesa de Soporte","N3 · Definido","—"))</f>
        <v/>
      </c>
      <c r="F25" s="164" t="n"/>
      <c r="G25" s="165" t="n"/>
      <c r="H25" s="166">
        <f>IF(AND(F25&lt;&gt;"",G25&lt;&gt;""),G25-F25,"")</f>
        <v/>
      </c>
      <c r="I25" s="167" t="n"/>
      <c r="J25" s="167" t="n"/>
      <c r="K25" s="168">
        <f>IF(F25="","—",IF(F25&lt;$D$16,"⛔ Bajo mínimo",IF(F25=$D$16,"✅ En mínimo","✔ Sobre mínimo")))</f>
        <v/>
      </c>
    </row>
    <row r="26" ht="30" customHeight="1" s="102">
      <c r="A26" s="104" t="n"/>
      <c r="B26" s="141" t="n">
        <v>6</v>
      </c>
      <c r="C26" s="125" t="inlineStr">
        <is>
          <t>Monitoreo y gestión de eventos</t>
        </is>
      </c>
      <c r="D26" s="146" t="inlineStr">
        <is>
          <t>Monitor, Support &amp; Fulfill</t>
        </is>
      </c>
      <c r="E26" s="135">
        <f>IF($D$8="Mesa de Ayuda","N2 · Administrado",IF($D$8="Mesa de Soporte","N3 · Definido","—"))</f>
        <v/>
      </c>
      <c r="F26" s="164" t="n"/>
      <c r="G26" s="165" t="n"/>
      <c r="H26" s="166">
        <f>IF(AND(F26&lt;&gt;"",G26&lt;&gt;""),G26-F26,"")</f>
        <v/>
      </c>
      <c r="I26" s="167" t="n"/>
      <c r="J26" s="167" t="n"/>
      <c r="K26" s="168">
        <f>IF(F26="","—",IF(F26&lt;$D$16,"⛔ Bajo mínimo",IF(F26=$D$16,"✅ En mínimo","✔ Sobre mínimo")))</f>
        <v/>
      </c>
    </row>
    <row r="27" ht="19.5" customHeight="1" s="102">
      <c r="A27" s="104" t="n"/>
      <c r="B27" s="148" t="inlineStr">
        <is>
          <t>D3 · Socios y Proveedores</t>
        </is>
      </c>
      <c r="C27" s="140" t="n"/>
      <c r="D27" s="140" t="n"/>
      <c r="E27" s="140" t="n"/>
      <c r="F27" s="140" t="n"/>
      <c r="G27" s="140" t="n"/>
      <c r="H27" s="140" t="n"/>
      <c r="I27" s="140" t="n"/>
      <c r="J27" s="118" t="n"/>
      <c r="K27" s="104" t="n"/>
    </row>
    <row r="28" ht="30" customHeight="1" s="102">
      <c r="A28" s="104" t="n"/>
      <c r="B28" s="141" t="n">
        <v>7</v>
      </c>
      <c r="C28" s="148" t="inlineStr">
        <is>
          <t>Service Desk — punto único de contacto</t>
        </is>
      </c>
      <c r="D28" s="146" t="inlineStr">
        <is>
          <t>Monitor, Support &amp; Fulfill</t>
        </is>
      </c>
      <c r="E28" s="135">
        <f>IF($D$8="Mesa de Ayuda","N2 · Administrado",IF($D$8="Mesa de Soporte","N3 · Definido","—"))</f>
        <v/>
      </c>
      <c r="F28" s="164" t="n"/>
      <c r="G28" s="165" t="n"/>
      <c r="H28" s="166">
        <f>IF(AND(F28&lt;&gt;"",G28&lt;&gt;""),G28-F28,"")</f>
        <v/>
      </c>
      <c r="I28" s="167" t="n"/>
      <c r="J28" s="167" t="n"/>
      <c r="K28" s="168">
        <f>IF(F28="","—",IF(F28&lt;$D$16,"⛔ Bajo mínimo",IF(F28=$D$16,"✅ En mínimo","✔ Sobre mínimo")))</f>
        <v/>
      </c>
    </row>
    <row r="29" ht="30" customHeight="1" s="102">
      <c r="A29" s="104" t="n"/>
      <c r="B29" s="141" t="n">
        <v>8</v>
      </c>
      <c r="C29" s="148" t="inlineStr">
        <is>
          <t>Catálogo de servicios y límites del alcance</t>
        </is>
      </c>
      <c r="D29" s="146" t="inlineStr">
        <is>
          <t>ITIL Service</t>
        </is>
      </c>
      <c r="E29" s="135">
        <f>IF($D$8="Mesa de Ayuda","N2 · Administrado",IF($D$8="Mesa de Soporte","N3 · Definido","—"))</f>
        <v/>
      </c>
      <c r="F29" s="164" t="n"/>
      <c r="G29" s="165" t="n"/>
      <c r="H29" s="166">
        <f>IF(AND(F29&lt;&gt;"",G29&lt;&gt;""),G29-F29,"")</f>
        <v/>
      </c>
      <c r="I29" s="167" t="n"/>
      <c r="J29" s="167" t="n"/>
      <c r="K29" s="168">
        <f>IF(F29="","—",IF(F29&lt;$D$16,"⛔ Bajo mínimo",IF(F29=$D$16,"✅ En mínimo","✔ Sobre mínimo")))</f>
        <v/>
      </c>
    </row>
    <row r="30" ht="30" customHeight="1" s="102">
      <c r="A30" s="104" t="n"/>
      <c r="B30" s="141" t="n">
        <v>9</v>
      </c>
      <c r="C30" s="148" t="inlineStr">
        <is>
          <t>SLA / ANS + XLA por prioridad</t>
        </is>
      </c>
      <c r="D30" s="146" t="inlineStr">
        <is>
          <t>ITIL Service</t>
        </is>
      </c>
      <c r="E30" s="135">
        <f>IF($D$8="Mesa de Ayuda","N2 · Administrado",IF($D$8="Mesa de Soporte","N3 · Definido","—"))</f>
        <v/>
      </c>
      <c r="F30" s="164" t="n"/>
      <c r="G30" s="165" t="n"/>
      <c r="H30" s="166">
        <f>IF(AND(F30&lt;&gt;"",G30&lt;&gt;""),G30-F30,"")</f>
        <v/>
      </c>
      <c r="I30" s="167" t="n"/>
      <c r="J30" s="167" t="n"/>
      <c r="K30" s="168">
        <f>IF(F30="","—",IF(F30&lt;$D$16,"⛔ Bajo mínimo",IF(F30=$D$16,"✅ En mínimo","✔ Sobre mínimo")))</f>
        <v/>
      </c>
    </row>
    <row r="31" ht="30" customHeight="1" s="102">
      <c r="A31" s="104" t="n"/>
      <c r="B31" s="141" t="n">
        <v>10</v>
      </c>
      <c r="C31" s="148" t="inlineStr">
        <is>
          <t>Disponibilidad y cobertura horaria</t>
        </is>
      </c>
      <c r="D31" s="142" t="inlineStr">
        <is>
          <t>Feedback operativo</t>
        </is>
      </c>
      <c r="E31" s="135">
        <f>IF($D$8="Mesa de Ayuda","N2 · Administrado",IF($D$8="Mesa de Soporte","N3 · Definido","—"))</f>
        <v/>
      </c>
      <c r="F31" s="164" t="n"/>
      <c r="G31" s="165" t="n"/>
      <c r="H31" s="166">
        <f>IF(AND(F31&lt;&gt;"",G31&lt;&gt;""),G31-F31,"")</f>
        <v/>
      </c>
      <c r="I31" s="167" t="n"/>
      <c r="J31" s="167" t="n"/>
      <c r="K31" s="168">
        <f>IF(F31="","—",IF(F31&lt;$D$16,"⛔ Bajo mínimo",IF(F31=$D$16,"✅ En mínimo","✔ Sobre mínimo")))</f>
        <v/>
      </c>
    </row>
    <row r="32" ht="19.5" customHeight="1" s="102">
      <c r="A32" s="104" t="n"/>
      <c r="B32" s="112" t="inlineStr">
        <is>
          <t>D4 · Flujos de Valor y Procesos</t>
        </is>
      </c>
      <c r="C32" s="140" t="n"/>
      <c r="D32" s="140" t="n"/>
      <c r="E32" s="140" t="n"/>
      <c r="F32" s="140" t="n"/>
      <c r="G32" s="140" t="n"/>
      <c r="H32" s="140" t="n"/>
      <c r="I32" s="140" t="n"/>
      <c r="J32" s="118" t="n"/>
      <c r="K32" s="104" t="n"/>
    </row>
    <row r="33" ht="30" customHeight="1" s="102">
      <c r="A33" s="104" t="n"/>
      <c r="B33" s="141" t="n">
        <v>11</v>
      </c>
      <c r="C33" s="112" t="inlineStr">
        <is>
          <t>Gestión de incidentes</t>
        </is>
      </c>
      <c r="D33" s="146" t="inlineStr">
        <is>
          <t>Monitor, Support &amp; Fulfill</t>
        </is>
      </c>
      <c r="E33" s="135">
        <f>IF($D$8="Mesa de Ayuda","N2 · Administrado",IF($D$8="Mesa de Soporte","N3 · Definido","—"))</f>
        <v/>
      </c>
      <c r="F33" s="164" t="n"/>
      <c r="G33" s="165" t="n"/>
      <c r="H33" s="166">
        <f>IF(AND(F33&lt;&gt;"",G33&lt;&gt;""),G33-F33,"")</f>
        <v/>
      </c>
      <c r="I33" s="167" t="n"/>
      <c r="J33" s="167" t="n"/>
      <c r="K33" s="168">
        <f>IF(F33="","—",IF(F33&lt;$D$16,"⛔ Bajo mínimo",IF(F33=$D$16,"✅ En mínimo","✔ Sobre mínimo")))</f>
        <v/>
      </c>
    </row>
    <row r="34" ht="30" customHeight="1" s="102">
      <c r="A34" s="104" t="n"/>
      <c r="B34" s="141" t="n">
        <v>12</v>
      </c>
      <c r="C34" s="112" t="inlineStr">
        <is>
          <t>Gestión de solicitudes</t>
        </is>
      </c>
      <c r="D34" s="146" t="inlineStr">
        <is>
          <t>Monitor, Support &amp; Fulfill</t>
        </is>
      </c>
      <c r="E34" s="135">
        <f>IF($D$8="Mesa de Ayuda","N2 · Administrado",IF($D$8="Mesa de Soporte","N3 · Definido","—"))</f>
        <v/>
      </c>
      <c r="F34" s="164" t="n"/>
      <c r="G34" s="165" t="n"/>
      <c r="H34" s="166">
        <f>IF(AND(F34&lt;&gt;"",G34&lt;&gt;""),G34-F34,"")</f>
        <v/>
      </c>
      <c r="I34" s="167" t="n"/>
      <c r="J34" s="167" t="n"/>
      <c r="K34" s="168">
        <f>IF(F34="","—",IF(F34&lt;$D$16,"⛔ Bajo mínimo",IF(F34=$D$16,"✅ En mínimo","✔ Sobre mínimo")))</f>
        <v/>
      </c>
    </row>
    <row r="35" ht="30" customHeight="1" s="102">
      <c r="A35" s="104" t="n"/>
      <c r="B35" s="141" t="n">
        <v>13</v>
      </c>
      <c r="C35" s="112" t="inlineStr">
        <is>
          <t>Gestión de problemas (causa raíz)</t>
        </is>
      </c>
      <c r="D35" s="146" t="inlineStr">
        <is>
          <t>Monitor, Support &amp; Fulfill</t>
        </is>
      </c>
      <c r="E35" s="135">
        <f>IF($D$8="Mesa de Ayuda","N2 · Administrado",IF($D$8="Mesa de Soporte","N3 · Definido","—"))</f>
        <v/>
      </c>
      <c r="F35" s="164" t="n"/>
      <c r="G35" s="165" t="n"/>
      <c r="H35" s="166">
        <f>IF(AND(F35&lt;&gt;"",G35&lt;&gt;""),G35-F35,"")</f>
        <v/>
      </c>
      <c r="I35" s="167" t="n"/>
      <c r="J35" s="167" t="n"/>
      <c r="K35" s="168">
        <f>IF(F35="","—",IF(F35&lt;$D$16,"⛔ Bajo mínimo",IF(F35=$D$16,"✅ En mínimo","✔ Sobre mínimo")))</f>
        <v/>
      </c>
    </row>
    <row r="36" ht="30" customHeight="1" s="102">
      <c r="A36" s="104" t="n"/>
      <c r="B36" s="141" t="n">
        <v>14</v>
      </c>
      <c r="C36" s="112" t="inlineStr">
        <is>
          <t>Gestión del cambio (Change Enablement)</t>
        </is>
      </c>
      <c r="D36" s="146" t="inlineStr">
        <is>
          <t>ITIL Service</t>
        </is>
      </c>
      <c r="E36" s="135">
        <f>IF($D$8="Mesa de Ayuda","N2 · Administrado",IF($D$8="Mesa de Soporte","N3 · Definido","—"))</f>
        <v/>
      </c>
      <c r="F36" s="164" t="n"/>
      <c r="G36" s="165" t="n"/>
      <c r="H36" s="166">
        <f>IF(AND(F36&lt;&gt;"",G36&lt;&gt;""),G36-F36,"")</f>
        <v/>
      </c>
      <c r="I36" s="167" t="n"/>
      <c r="J36" s="167" t="n"/>
      <c r="K36" s="168">
        <f>IF(F36="","—",IF(F36&lt;$D$16,"⛔ Bajo mínimo",IF(F36=$D$16,"✅ En mínimo","✔ Sobre mínimo")))</f>
        <v/>
      </c>
    </row>
    <row r="37" ht="30" customHeight="1" s="102">
      <c r="A37" s="104" t="n"/>
      <c r="B37" s="141" t="n">
        <v>15</v>
      </c>
      <c r="C37" s="112" t="inlineStr">
        <is>
          <t>Transición y onboarding</t>
        </is>
      </c>
      <c r="D37" s="146" t="inlineStr">
        <is>
          <t>ITIL Service</t>
        </is>
      </c>
      <c r="E37" s="135">
        <f>IF($D$8="Mesa de Ayuda","N2 · Administrado",IF($D$8="Mesa de Soporte","N3 · Definido","—"))</f>
        <v/>
      </c>
      <c r="F37" s="164" t="n"/>
      <c r="G37" s="165" t="n"/>
      <c r="H37" s="166">
        <f>IF(AND(F37&lt;&gt;"",G37&lt;&gt;""),G37-F37,"")</f>
        <v/>
      </c>
      <c r="I37" s="167" t="n"/>
      <c r="J37" s="167" t="n"/>
      <c r="K37" s="168">
        <f>IF(F37="","—",IF(F37&lt;$D$16,"⛔ Bajo mínimo",IF(F37=$D$16,"✅ En mínimo","✔ Sobre mínimo")))</f>
        <v/>
      </c>
    </row>
    <row r="38" ht="30" customHeight="1" s="102">
      <c r="A38" s="104" t="n"/>
      <c r="B38" s="141" t="n">
        <v>16</v>
      </c>
      <c r="C38" s="112" t="inlineStr">
        <is>
          <t>Mejora continua del servicio</t>
        </is>
      </c>
      <c r="D38" s="146" t="inlineStr">
        <is>
          <t>Collaborate, Assure &amp; Improve</t>
        </is>
      </c>
      <c r="E38" s="135">
        <f>IF($D$8="Mesa de Ayuda","N2 · Administrado",IF($D$8="Mesa de Soporte","N3 · Definido","—"))</f>
        <v/>
      </c>
      <c r="F38" s="164" t="n"/>
      <c r="G38" s="165" t="n"/>
      <c r="H38" s="166">
        <f>IF(AND(F38&lt;&gt;"",G38&lt;&gt;""),G38-F38,"")</f>
        <v/>
      </c>
      <c r="I38" s="167" t="n"/>
      <c r="J38" s="167" t="n"/>
      <c r="K38" s="168">
        <f>IF(F38="","—",IF(F38&lt;$D$16,"⛔ Bajo mínimo",IF(F38=$D$16,"✅ En mínimo","✔ Sobre mínimo")))</f>
        <v/>
      </c>
    </row>
    <row r="39" ht="30" customHeight="1" s="102">
      <c r="A39" s="104" t="n"/>
      <c r="B39" s="141" t="n">
        <v>17</v>
      </c>
      <c r="C39" s="112" t="inlineStr">
        <is>
          <t>Experiencia del cliente (CX / NPS / CSAT / XLA)</t>
        </is>
      </c>
      <c r="D39" s="149" t="inlineStr">
        <is>
          <t>ITIL Experience</t>
        </is>
      </c>
      <c r="E39" s="135">
        <f>IF($D$8="Mesa de Ayuda","N2 · Administrado",IF($D$8="Mesa de Soporte","N3 · Definido","—"))</f>
        <v/>
      </c>
      <c r="F39" s="164" t="n"/>
      <c r="G39" s="165" t="n"/>
      <c r="H39" s="166">
        <f>IF(AND(F39&lt;&gt;"",G39&lt;&gt;""),G39-F39,"")</f>
        <v/>
      </c>
      <c r="I39" s="167" t="n"/>
      <c r="J39" s="167" t="n"/>
      <c r="K39" s="168">
        <f>IF(F39="","—",IF(F39&lt;$D$16,"⛔ Bajo mínimo",IF(F39=$D$16,"✅ En mínimo","✔ Sobre mínimo")))</f>
        <v/>
      </c>
    </row>
    <row r="40" ht="19.5" customHeight="1" s="102">
      <c r="A40" s="104" t="n"/>
      <c r="B40" s="151" t="inlineStr">
        <is>
          <t>Dimensión de Negocio · Éxito comercial y rentabilidad PS</t>
        </is>
      </c>
      <c r="C40" s="140" t="n"/>
      <c r="D40" s="140" t="n"/>
      <c r="E40" s="140" t="n"/>
      <c r="F40" s="140" t="n"/>
      <c r="G40" s="140" t="n"/>
      <c r="H40" s="140" t="n"/>
      <c r="I40" s="140" t="n"/>
      <c r="J40" s="118" t="n"/>
      <c r="K40" s="104" t="n"/>
    </row>
    <row r="41" ht="30" customHeight="1" s="102">
      <c r="A41" s="104" t="n"/>
      <c r="B41" s="141" t="n">
        <v>18</v>
      </c>
      <c r="C41" s="151" t="inlineStr">
        <is>
          <t>Salud financiera del contrato</t>
        </is>
      </c>
      <c r="D41" s="152" t="inlineStr">
        <is>
          <t>Negocio PS</t>
        </is>
      </c>
      <c r="E41" s="160">
        <f>IF($D$8="Mesa de Ayuda","N2 · Administrado",IF($D$8="Mesa de Soporte","N2 · Administrado","—"))</f>
        <v/>
      </c>
      <c r="F41" s="164" t="n"/>
      <c r="G41" s="165" t="n"/>
      <c r="H41" s="166">
        <f>IF(AND(F41&lt;&gt;"",G41&lt;&gt;""),G41-F41,"")</f>
        <v/>
      </c>
      <c r="I41" s="167" t="n"/>
      <c r="J41" s="167" t="n"/>
      <c r="K41" s="168">
        <f>IF(F41="","—",IF(F41&lt;2,"⛔ Bajo N2",IF(F41=2,"✅ En N2","✔ Sobre N2")))</f>
        <v/>
      </c>
    </row>
    <row r="42" ht="30" customHeight="1" s="102">
      <c r="A42" s="104" t="n"/>
      <c r="B42" s="141" t="n">
        <v>19</v>
      </c>
      <c r="C42" s="151" t="inlineStr">
        <is>
          <t>Retención y crecimiento de cuenta</t>
        </is>
      </c>
      <c r="D42" s="152" t="inlineStr">
        <is>
          <t>Negocio PS</t>
        </is>
      </c>
      <c r="E42" s="160">
        <f>IF($D$8="Mesa de Ayuda","N2 · Administrado",IF($D$8="Mesa de Soporte","N2 · Administrado","—"))</f>
        <v/>
      </c>
      <c r="F42" s="164" t="n"/>
      <c r="G42" s="165" t="n"/>
      <c r="H42" s="166">
        <f>IF(AND(F42&lt;&gt;"",G42&lt;&gt;""),G42-F42,"")</f>
        <v/>
      </c>
      <c r="I42" s="167" t="n"/>
      <c r="J42" s="167" t="n"/>
      <c r="K42" s="168">
        <f>IF(F42="","—",IF(F42&lt;2,"⛔ Bajo N2",IF(F42=2,"✅ En N2","✔ Sobre N2")))</f>
        <v/>
      </c>
    </row>
    <row r="43" ht="30" customHeight="1" s="102">
      <c r="A43" s="104" t="n"/>
      <c r="B43" s="141" t="n">
        <v>20</v>
      </c>
      <c r="C43" s="151" t="inlineStr">
        <is>
          <t>NPS / CSAT / XLA del cliente final</t>
        </is>
      </c>
      <c r="D43" s="152" t="inlineStr">
        <is>
          <t>Negocio PS</t>
        </is>
      </c>
      <c r="E43" s="160">
        <f>IF($D$8="Mesa de Ayuda","N2 · Administrado",IF($D$8="Mesa de Soporte","N2 · Administrado","—"))</f>
        <v/>
      </c>
      <c r="F43" s="164" t="n"/>
      <c r="G43" s="165" t="n"/>
      <c r="H43" s="166">
        <f>IF(AND(F43&lt;&gt;"",G43&lt;&gt;""),G43-F43,"")</f>
        <v/>
      </c>
      <c r="I43" s="167" t="n"/>
      <c r="J43" s="167" t="n"/>
      <c r="K43" s="168">
        <f>IF(F43="","—",IF(F43&lt;2,"⛔ Bajo N2",IF(F43=2,"✅ En N2","✔ Sobre N2")))</f>
        <v/>
      </c>
    </row>
    <row r="44" ht="30" customHeight="1" s="102">
      <c r="A44" s="104" t="n"/>
      <c r="B44" s="141" t="n">
        <v>21</v>
      </c>
      <c r="C44" s="151" t="inlineStr">
        <is>
          <t>Eficiencia de costo operativo</t>
        </is>
      </c>
      <c r="D44" s="152" t="inlineStr">
        <is>
          <t>Negocio PS</t>
        </is>
      </c>
      <c r="E44" s="160">
        <f>IF($D$8="Mesa de Ayuda","N2 · Administrado",IF($D$8="Mesa de Soporte","N2 · Administrado","—"))</f>
        <v/>
      </c>
      <c r="F44" s="164" t="n"/>
      <c r="G44" s="165" t="n"/>
      <c r="H44" s="166">
        <f>IF(AND(F44&lt;&gt;"",G44&lt;&gt;""),G44-F44,"")</f>
        <v/>
      </c>
      <c r="I44" s="167" t="n"/>
      <c r="J44" s="167" t="n"/>
      <c r="K44" s="168">
        <f>IF(F44="","—",IF(F44&lt;2,"⛔ Bajo N2",IF(F44=2,"✅ En N2","✔ Sobre N2")))</f>
        <v/>
      </c>
    </row>
  </sheetData>
  <mergeCells count="17">
    <mergeCell ref="D12:H12"/>
    <mergeCell ref="C3:J3"/>
    <mergeCell ref="D7:H7"/>
    <mergeCell ref="D8:H8"/>
    <mergeCell ref="D6:H6"/>
    <mergeCell ref="B19:J19"/>
    <mergeCell ref="D10:H10"/>
    <mergeCell ref="B22:J22"/>
    <mergeCell ref="B32:J32"/>
    <mergeCell ref="C2:J2"/>
    <mergeCell ref="D11:H11"/>
    <mergeCell ref="D13:H13"/>
    <mergeCell ref="D5:H5"/>
    <mergeCell ref="B27:J27"/>
    <mergeCell ref="D15:G15"/>
    <mergeCell ref="B40:J40"/>
    <mergeCell ref="D9:H9"/>
  </mergeCells>
  <conditionalFormatting sqref="F19:F44">
    <cfRule type="expression" rank="0" priority="2" equalAverage="0" aboveAverage="0" dxfId="0" text="" percent="0" bottom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rank="0" priority="4" equalAverage="0" operator="greaterThan" aboveAverage="0" dxfId="1" text="" percent="0" bottom="0">
      <formula>1</formula>
    </cfRule>
    <cfRule type="cellIs" rank="0" priority="5" equalAverage="0" operator="lessThan" aboveAverage="0" dxfId="0" text="" percent="0" bottom="0">
      <formula>0</formula>
    </cfRule>
  </conditionalFormatting>
  <conditionalFormatting sqref="H20:H44">
    <cfRule type="cellIs" rank="0" priority="6" equalAverage="0" operator="lessThan" aboveAverage="0" dxfId="2" text="" percent="0" bottom="0">
      <formula>0</formula>
    </cfRule>
    <cfRule type="cellIs" rank="0" priority="7" equalAverage="0" operator="equal" aboveAverage="0" dxfId="3" text="" percent="0" bottom="0">
      <formula>0</formula>
    </cfRule>
    <cfRule type="cellIs" rank="0" priority="8" equalAverage="0" operator="greaterThan" aboveAverage="0" dxfId="4" text="" percent="0" bottom="0">
      <formula>0</formula>
    </cfRule>
  </conditionalFormatting>
  <dataValidations count="1">
    <dataValidation sqref="F20:F44" showDropDown="0" showInputMessage="0" showErrorMessage="1" allowBlank="1" errorTitle="Nivel inválido" error="Ingresa 0 (N0) a 5 (N5)" type="list" errorStyle="stop" operator="between">
      <formula1>"0,1,2,3,4,5"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001F7A4D"/>
    <outlinePr summaryBelow="1" summaryRight="1"/>
    <pageSetUpPr fitToPage="0"/>
  </sheetPr>
  <dimension ref="A1:K4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baseColWidth="8" defaultColWidth="8.6328125" defaultRowHeight="14.25" zeroHeight="0" outlineLevelRow="0"/>
  <cols>
    <col width="2" customWidth="1" style="101" min="1" max="1"/>
    <col width="4" customWidth="1" style="101" min="2" max="2"/>
    <col width="30" customWidth="1" style="101" min="3" max="3"/>
    <col width="20" customWidth="1" style="101" min="4" max="4"/>
    <col width="16" customWidth="1" style="101" min="5" max="5"/>
    <col width="13" customWidth="1" style="101" min="6" max="7"/>
    <col width="8" customWidth="1" style="101" min="8" max="8"/>
    <col width="40" customWidth="1" style="101" min="9" max="9"/>
    <col width="18" customWidth="1" style="101" min="10" max="10"/>
    <col width="14" customWidth="1" style="101" min="11" max="11"/>
  </cols>
  <sheetData>
    <row r="1">
      <c r="A1" s="104" t="n"/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17.25" customHeight="1" s="102">
      <c r="A2" s="104" t="n"/>
      <c r="B2" s="104" t="n"/>
      <c r="C2" s="129" t="inlineStr">
        <is>
          <t>Evaluación de Madurez · Venta Canal Digital</t>
        </is>
      </c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3" ht="15" customHeight="1" s="102">
      <c r="A3" s="104" t="n"/>
      <c r="B3" s="104" t="n"/>
      <c r="C3" s="130" t="inlineStr">
        <is>
          <t>PersonalSoft · SURA · Modelo de Madurez v1.0 · ITIL v5</t>
        </is>
      </c>
      <c r="D3" s="104" t="n"/>
      <c r="E3" s="104" t="n"/>
      <c r="F3" s="104" t="n"/>
      <c r="G3" s="104" t="n"/>
      <c r="H3" s="104" t="n"/>
      <c r="I3" s="104" t="n"/>
      <c r="J3" s="104" t="n"/>
      <c r="K3" s="104" t="n"/>
    </row>
    <row r="4">
      <c r="A4" s="104" t="n"/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</row>
    <row r="5" ht="15" customHeight="1" s="102">
      <c r="A5" s="104" t="n"/>
      <c r="B5" s="104" t="n"/>
      <c r="C5" s="153" t="inlineStr">
        <is>
          <t>Nombre de la mesa:</t>
        </is>
      </c>
      <c r="D5" s="154" t="inlineStr">
        <is>
          <t>Venta Canal Digital</t>
        </is>
      </c>
      <c r="E5" s="140" t="n"/>
      <c r="F5" s="140" t="n"/>
      <c r="G5" s="140" t="n"/>
      <c r="H5" s="118" t="n"/>
      <c r="I5" s="104" t="n"/>
      <c r="J5" s="104" t="n"/>
      <c r="K5" s="104" t="n"/>
    </row>
    <row r="6" ht="15" customHeight="1" s="102">
      <c r="A6" s="104" t="n"/>
      <c r="B6" s="104" t="n"/>
      <c r="C6" s="153" t="inlineStr">
        <is>
          <t>Cliente:</t>
        </is>
      </c>
      <c r="D6" s="154" t="inlineStr">
        <is>
          <t>SURA</t>
        </is>
      </c>
      <c r="E6" s="140" t="n"/>
      <c r="F6" s="140" t="n"/>
      <c r="G6" s="140" t="n"/>
      <c r="H6" s="118" t="n"/>
      <c r="I6" s="104" t="n"/>
      <c r="J6" s="104" t="n"/>
      <c r="K6" s="104" t="n"/>
    </row>
    <row r="7" ht="15" customHeight="1" s="102">
      <c r="A7" s="104" t="n"/>
      <c r="B7" s="104" t="n"/>
      <c r="C7" s="153" t="inlineStr">
        <is>
          <t>Sector:</t>
        </is>
      </c>
      <c r="D7" s="154" t="inlineStr">
        <is>
          <t>Banca/Seguros</t>
        </is>
      </c>
      <c r="E7" s="140" t="n"/>
      <c r="F7" s="140" t="n"/>
      <c r="G7" s="140" t="n"/>
      <c r="H7" s="118" t="n"/>
      <c r="I7" s="104" t="n"/>
      <c r="J7" s="104" t="n"/>
      <c r="K7" s="104" t="n"/>
    </row>
    <row r="8" ht="15" customHeight="1" s="102">
      <c r="A8" s="104" t="n"/>
      <c r="B8" s="104" t="n"/>
      <c r="C8" s="153" t="inlineStr">
        <is>
          <t>Tipo de mesa:</t>
        </is>
      </c>
      <c r="D8" s="154" t="n"/>
      <c r="E8" s="140" t="n"/>
      <c r="F8" s="140" t="n"/>
      <c r="G8" s="140" t="n"/>
      <c r="H8" s="118" t="n"/>
      <c r="I8" s="104" t="n"/>
      <c r="J8" s="104" t="n"/>
      <c r="K8" s="104" t="n"/>
    </row>
    <row r="9" ht="15" customHeight="1" s="102">
      <c r="A9" s="104" t="n"/>
      <c r="B9" s="104" t="n"/>
      <c r="C9" s="153" t="inlineStr">
        <is>
          <t>¿N0 activo?:</t>
        </is>
      </c>
      <c r="D9" s="154" t="inlineStr">
        <is>
          <t>No</t>
        </is>
      </c>
      <c r="E9" s="140" t="n"/>
      <c r="F9" s="140" t="n"/>
      <c r="G9" s="140" t="n"/>
      <c r="H9" s="118" t="n"/>
      <c r="I9" s="104" t="n"/>
      <c r="J9" s="104" t="n"/>
      <c r="K9" s="104" t="n"/>
    </row>
    <row r="10" ht="15" customHeight="1" s="102">
      <c r="A10" s="104" t="n"/>
      <c r="B10" s="104" t="n"/>
      <c r="C10" s="153" t="inlineStr">
        <is>
          <t>Evaluador:</t>
        </is>
      </c>
      <c r="D10" s="154" t="n"/>
      <c r="E10" s="140" t="n"/>
      <c r="F10" s="140" t="n"/>
      <c r="G10" s="140" t="n"/>
      <c r="H10" s="118" t="n"/>
      <c r="I10" s="104" t="n"/>
      <c r="J10" s="104" t="n"/>
      <c r="K10" s="104" t="n"/>
    </row>
    <row r="11" ht="15" customHeight="1" s="102">
      <c r="A11" s="104" t="n"/>
      <c r="B11" s="104" t="n"/>
      <c r="C11" s="153" t="inlineStr">
        <is>
          <t>Fecha de evaluación:</t>
        </is>
      </c>
      <c r="D11" s="155" t="n"/>
      <c r="E11" s="140" t="n"/>
      <c r="F11" s="140" t="n"/>
      <c r="G11" s="140" t="n"/>
      <c r="H11" s="118" t="n"/>
      <c r="I11" s="104" t="n"/>
      <c r="J11" s="104" t="n"/>
      <c r="K11" s="104" t="n"/>
    </row>
    <row r="12" ht="15" customHeight="1" s="102">
      <c r="A12" s="104" t="n"/>
      <c r="B12" s="104" t="n"/>
      <c r="C12" s="153" t="inlineStr">
        <is>
          <t>Herramienta de tickets:</t>
        </is>
      </c>
      <c r="D12" s="154" t="n"/>
      <c r="E12" s="140" t="n"/>
      <c r="F12" s="140" t="n"/>
      <c r="G12" s="140" t="n"/>
      <c r="H12" s="118" t="n"/>
      <c r="I12" s="104" t="n"/>
      <c r="J12" s="104" t="n"/>
      <c r="K12" s="104" t="n"/>
    </row>
    <row r="13" ht="15" customHeight="1" s="102">
      <c r="A13" s="104" t="n"/>
      <c r="B13" s="104" t="n"/>
      <c r="C13" s="153" t="inlineStr">
        <is>
          <t>Horario de servicio:</t>
        </is>
      </c>
      <c r="D13" s="154" t="n"/>
      <c r="E13" s="140" t="n"/>
      <c r="F13" s="140" t="n"/>
      <c r="G13" s="140" t="n"/>
      <c r="H13" s="118" t="n"/>
      <c r="I13" s="104" t="n"/>
      <c r="J13" s="104" t="n"/>
      <c r="K13" s="104" t="n"/>
    </row>
    <row r="14">
      <c r="A14" s="104" t="n"/>
      <c r="B14" s="104" t="n"/>
      <c r="C14" s="104" t="n"/>
      <c r="D14" s="104" t="n"/>
      <c r="E14" s="104" t="n"/>
      <c r="F14" s="104" t="n"/>
      <c r="G14" s="104" t="n"/>
      <c r="H14" s="104" t="n"/>
      <c r="I14" s="104" t="n"/>
      <c r="J14" s="104" t="n"/>
      <c r="K14" s="104" t="n"/>
    </row>
    <row r="15" ht="15.75" customHeight="1" s="102">
      <c r="A15" s="104" t="n"/>
      <c r="B15" s="104" t="n"/>
      <c r="C15" s="156" t="inlineStr">
        <is>
          <t>Nivel mínimo esperado:</t>
        </is>
      </c>
      <c r="D15" s="157">
        <f>IF(D8="Mesa de Ayuda","N2 · Administrado",IF(D8="Mesa de Soporte","N3 · Definido","— Seleccionar tipo"))</f>
        <v/>
      </c>
      <c r="E15" s="140" t="n"/>
      <c r="F15" s="140" t="n"/>
      <c r="G15" s="118" t="n"/>
      <c r="H15" s="104" t="n"/>
      <c r="I15" s="156" t="inlineStr">
        <is>
          <t>Nivel global operativo (promedio):</t>
        </is>
      </c>
      <c r="J15" s="158">
        <f>IFERROR(AVERAGEIF(F20:F39,"&lt;&gt;"),"")</f>
        <v/>
      </c>
      <c r="K15" s="104" t="n"/>
    </row>
    <row r="16" ht="15" customHeight="1" s="102">
      <c r="A16" s="104" t="n"/>
      <c r="B16" s="104" t="n"/>
      <c r="C16" s="159" t="inlineStr">
        <is>
          <t>Nivel mínimo (número):</t>
        </is>
      </c>
      <c r="D16" s="160">
        <f>IF(D8="Mesa de Ayuda",2,IF(D8="Mesa de Soporte",3,0))</f>
        <v/>
      </c>
      <c r="E16" s="104" t="n"/>
      <c r="F16" s="104" t="n"/>
      <c r="G16" s="104" t="n"/>
      <c r="H16" s="104" t="n"/>
      <c r="I16" s="104" t="n"/>
      <c r="J16" s="104" t="n"/>
      <c r="K16" s="104" t="n"/>
    </row>
    <row r="17">
      <c r="A17" s="104" t="n"/>
      <c r="B17" s="104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</row>
    <row r="18" ht="42" customHeight="1" s="102">
      <c r="A18" s="104" t="n"/>
      <c r="B18" s="134" t="inlineStr">
        <is>
          <t>#</t>
        </is>
      </c>
      <c r="C18" s="134" t="inlineStr">
        <is>
          <t>Práctica</t>
        </is>
      </c>
      <c r="D18" s="134" t="inlineStr">
        <is>
          <t>Origen</t>
        </is>
      </c>
      <c r="E18" s="134" t="inlineStr">
        <is>
          <t>Nivel mínimo
esperado</t>
        </is>
      </c>
      <c r="F18" s="161" t="inlineStr">
        <is>
          <t>Nivel actual
(0=N0 · 5=N5)
▼ dropdown</t>
        </is>
      </c>
      <c r="G18" s="134" t="inlineStr">
        <is>
          <t>Nivel objetivo
(N0–N5)</t>
        </is>
      </c>
      <c r="H18" s="162" t="inlineStr">
        <is>
          <t>Brecha</t>
        </is>
      </c>
      <c r="I18" s="134" t="inlineStr">
        <is>
          <t>Evidencia / observación</t>
        </is>
      </c>
      <c r="J18" s="134" t="inlineStr">
        <is>
          <t>Herramienta / Nota</t>
        </is>
      </c>
      <c r="K18" s="163" t="inlineStr">
        <is>
          <t>¿Bajo mínimo?</t>
        </is>
      </c>
    </row>
    <row r="19" ht="19.5" customHeight="1" s="102">
      <c r="A19" s="104" t="n"/>
      <c r="B19" s="112" t="inlineStr">
        <is>
          <t>D1 · Organizaciones y Personas</t>
        </is>
      </c>
      <c r="C19" s="140" t="n"/>
      <c r="D19" s="140" t="n"/>
      <c r="E19" s="140" t="n"/>
      <c r="F19" s="140" t="n"/>
      <c r="G19" s="140" t="n"/>
      <c r="H19" s="140" t="n"/>
      <c r="I19" s="140" t="n"/>
      <c r="J19" s="118" t="n"/>
      <c r="K19" s="104" t="n"/>
    </row>
    <row r="20" ht="30" customHeight="1" s="102">
      <c r="A20" s="104" t="n"/>
      <c r="B20" s="141" t="n">
        <v>1</v>
      </c>
      <c r="C20" s="112" t="inlineStr">
        <is>
          <t>Gobierno de roles (RACI)</t>
        </is>
      </c>
      <c r="D20" s="142" t="inlineStr">
        <is>
          <t>Feedback operativo</t>
        </is>
      </c>
      <c r="E20" s="135">
        <f>IF($D$8="Mesa de Ayuda","N2 · Administrado",IF($D$8="Mesa de Soporte","N3 · Definido","—"))</f>
        <v/>
      </c>
      <c r="F20" s="164" t="n"/>
      <c r="G20" s="165" t="n"/>
      <c r="H20" s="166">
        <f>IF(AND(F20&lt;&gt;"",G20&lt;&gt;""),G20-F20,"")</f>
        <v/>
      </c>
      <c r="I20" s="167" t="n"/>
      <c r="J20" s="167" t="n"/>
      <c r="K20" s="168">
        <f>IF(F20="","—",IF(F20&lt;$D$16,"⛔ Bajo mínimo",IF(F20=$D$16,"✅ En mínimo","✔ Sobre mínimo")))</f>
        <v/>
      </c>
    </row>
    <row r="21" ht="30" customHeight="1" s="102">
      <c r="A21" s="104" t="n"/>
      <c r="B21" s="141" t="n">
        <v>2</v>
      </c>
      <c r="C21" s="112" t="inlineStr">
        <is>
          <t>Capacidad y dimensionamiento del equipo</t>
        </is>
      </c>
      <c r="D21" s="144" t="inlineStr">
        <is>
          <t>ITIL Foundation</t>
        </is>
      </c>
      <c r="E21" s="135">
        <f>IF($D$8="Mesa de Ayuda","N2 · Administrado",IF($D$8="Mesa de Soporte","N3 · Definido","—"))</f>
        <v/>
      </c>
      <c r="F21" s="164" t="n"/>
      <c r="G21" s="165" t="n"/>
      <c r="H21" s="166">
        <f>IF(AND(F21&lt;&gt;"",G21&lt;&gt;""),G21-F21,"")</f>
        <v/>
      </c>
      <c r="I21" s="167" t="n"/>
      <c r="J21" s="167" t="n"/>
      <c r="K21" s="168">
        <f>IF(F21="","—",IF(F21&lt;$D$16,"⛔ Bajo mínimo",IF(F21=$D$16,"✅ En mínimo","✔ Sobre mínimo")))</f>
        <v/>
      </c>
    </row>
    <row r="22" ht="19.5" customHeight="1" s="102">
      <c r="A22" s="104" t="n"/>
      <c r="B22" s="125" t="inlineStr">
        <is>
          <t>D2 · Información y Tecnología</t>
        </is>
      </c>
      <c r="C22" s="140" t="n"/>
      <c r="D22" s="140" t="n"/>
      <c r="E22" s="140" t="n"/>
      <c r="F22" s="140" t="n"/>
      <c r="G22" s="140" t="n"/>
      <c r="H22" s="140" t="n"/>
      <c r="I22" s="140" t="n"/>
      <c r="J22" s="118" t="n"/>
      <c r="K22" s="104" t="n"/>
    </row>
    <row r="23" ht="30" customHeight="1" s="102">
      <c r="A23" s="104" t="n"/>
      <c r="B23" s="141" t="n">
        <v>3</v>
      </c>
      <c r="C23" s="125" t="inlineStr">
        <is>
          <t>Herramientas y automatización</t>
        </is>
      </c>
      <c r="D23" s="144" t="inlineStr">
        <is>
          <t>ITIL Foundation</t>
        </is>
      </c>
      <c r="E23" s="135">
        <f>IF($D$8="Mesa de Ayuda","N2 · Administrado",IF($D$8="Mesa de Soporte","N3 · Definido","—"))</f>
        <v/>
      </c>
      <c r="F23" s="164" t="n"/>
      <c r="G23" s="165" t="n"/>
      <c r="H23" s="166">
        <f>IF(AND(F23&lt;&gt;"",G23&lt;&gt;""),G23-F23,"")</f>
        <v/>
      </c>
      <c r="I23" s="167" t="n"/>
      <c r="J23" s="167" t="n"/>
      <c r="K23" s="168">
        <f>IF(F23="","—",IF(F23&lt;$D$16,"⛔ Bajo mínimo",IF(F23=$D$16,"✅ En mínimo","✔ Sobre mínimo")))</f>
        <v/>
      </c>
    </row>
    <row r="24" ht="30" customHeight="1" s="102">
      <c r="A24" s="104" t="n"/>
      <c r="B24" s="141" t="n">
        <v>4</v>
      </c>
      <c r="C24" s="125" t="inlineStr">
        <is>
          <t>Gestión del conocimiento (KEDB)</t>
        </is>
      </c>
      <c r="D24" s="146" t="inlineStr">
        <is>
          <t>Monitor, Support &amp; Fulfill</t>
        </is>
      </c>
      <c r="E24" s="135">
        <f>IF($D$8="Mesa de Ayuda","N2 · Administrado",IF($D$8="Mesa de Soporte","N3 · Definido","—"))</f>
        <v/>
      </c>
      <c r="F24" s="164" t="n"/>
      <c r="G24" s="165" t="n"/>
      <c r="H24" s="166">
        <f>IF(AND(F24&lt;&gt;"",G24&lt;&gt;""),G24-F24,"")</f>
        <v/>
      </c>
      <c r="I24" s="167" t="n"/>
      <c r="J24" s="167" t="n"/>
      <c r="K24" s="168">
        <f>IF(F24="","—",IF(F24&lt;$D$16,"⛔ Bajo mínimo",IF(F24=$D$16,"✅ En mínimo","✔ Sobre mínimo")))</f>
        <v/>
      </c>
    </row>
    <row r="25" ht="30" customHeight="1" s="102">
      <c r="A25" s="104" t="n"/>
      <c r="B25" s="141" t="n">
        <v>5</v>
      </c>
      <c r="C25" s="125" t="inlineStr">
        <is>
          <t>Gestión de integraciones y entorno de aplicaciones</t>
        </is>
      </c>
      <c r="D25" s="142" t="inlineStr">
        <is>
          <t>Feedback operativo</t>
        </is>
      </c>
      <c r="E25" s="135">
        <f>IF($D$8="Mesa de Ayuda","N2 · Administrado",IF($D$8="Mesa de Soporte","N3 · Definido","—"))</f>
        <v/>
      </c>
      <c r="F25" s="164" t="n"/>
      <c r="G25" s="165" t="n"/>
      <c r="H25" s="166">
        <f>IF(AND(F25&lt;&gt;"",G25&lt;&gt;""),G25-F25,"")</f>
        <v/>
      </c>
      <c r="I25" s="167" t="n"/>
      <c r="J25" s="167" t="n"/>
      <c r="K25" s="168">
        <f>IF(F25="","—",IF(F25&lt;$D$16,"⛔ Bajo mínimo",IF(F25=$D$16,"✅ En mínimo","✔ Sobre mínimo")))</f>
        <v/>
      </c>
    </row>
    <row r="26" ht="30" customHeight="1" s="102">
      <c r="A26" s="104" t="n"/>
      <c r="B26" s="141" t="n">
        <v>6</v>
      </c>
      <c r="C26" s="125" t="inlineStr">
        <is>
          <t>Monitoreo y gestión de eventos</t>
        </is>
      </c>
      <c r="D26" s="146" t="inlineStr">
        <is>
          <t>Monitor, Support &amp; Fulfill</t>
        </is>
      </c>
      <c r="E26" s="135">
        <f>IF($D$8="Mesa de Ayuda","N2 · Administrado",IF($D$8="Mesa de Soporte","N3 · Definido","—"))</f>
        <v/>
      </c>
      <c r="F26" s="164" t="n"/>
      <c r="G26" s="165" t="n"/>
      <c r="H26" s="166">
        <f>IF(AND(F26&lt;&gt;"",G26&lt;&gt;""),G26-F26,"")</f>
        <v/>
      </c>
      <c r="I26" s="167" t="n"/>
      <c r="J26" s="167" t="n"/>
      <c r="K26" s="168">
        <f>IF(F26="","—",IF(F26&lt;$D$16,"⛔ Bajo mínimo",IF(F26=$D$16,"✅ En mínimo","✔ Sobre mínimo")))</f>
        <v/>
      </c>
    </row>
    <row r="27" ht="19.5" customHeight="1" s="102">
      <c r="A27" s="104" t="n"/>
      <c r="B27" s="148" t="inlineStr">
        <is>
          <t>D3 · Socios y Proveedores</t>
        </is>
      </c>
      <c r="C27" s="140" t="n"/>
      <c r="D27" s="140" t="n"/>
      <c r="E27" s="140" t="n"/>
      <c r="F27" s="140" t="n"/>
      <c r="G27" s="140" t="n"/>
      <c r="H27" s="140" t="n"/>
      <c r="I27" s="140" t="n"/>
      <c r="J27" s="118" t="n"/>
      <c r="K27" s="104" t="n"/>
    </row>
    <row r="28" ht="30" customHeight="1" s="102">
      <c r="A28" s="104" t="n"/>
      <c r="B28" s="141" t="n">
        <v>7</v>
      </c>
      <c r="C28" s="148" t="inlineStr">
        <is>
          <t>Service Desk — punto único de contacto</t>
        </is>
      </c>
      <c r="D28" s="146" t="inlineStr">
        <is>
          <t>Monitor, Support &amp; Fulfill</t>
        </is>
      </c>
      <c r="E28" s="135">
        <f>IF($D$8="Mesa de Ayuda","N2 · Administrado",IF($D$8="Mesa de Soporte","N3 · Definido","—"))</f>
        <v/>
      </c>
      <c r="F28" s="164" t="n"/>
      <c r="G28" s="165" t="n"/>
      <c r="H28" s="166">
        <f>IF(AND(F28&lt;&gt;"",G28&lt;&gt;""),G28-F28,"")</f>
        <v/>
      </c>
      <c r="I28" s="167" t="n"/>
      <c r="J28" s="167" t="n"/>
      <c r="K28" s="168">
        <f>IF(F28="","—",IF(F28&lt;$D$16,"⛔ Bajo mínimo",IF(F28=$D$16,"✅ En mínimo","✔ Sobre mínimo")))</f>
        <v/>
      </c>
    </row>
    <row r="29" ht="30" customHeight="1" s="102">
      <c r="A29" s="104" t="n"/>
      <c r="B29" s="141" t="n">
        <v>8</v>
      </c>
      <c r="C29" s="148" t="inlineStr">
        <is>
          <t>Catálogo de servicios y límites del alcance</t>
        </is>
      </c>
      <c r="D29" s="146" t="inlineStr">
        <is>
          <t>ITIL Service</t>
        </is>
      </c>
      <c r="E29" s="135">
        <f>IF($D$8="Mesa de Ayuda","N2 · Administrado",IF($D$8="Mesa de Soporte","N3 · Definido","—"))</f>
        <v/>
      </c>
      <c r="F29" s="164" t="n"/>
      <c r="G29" s="165" t="n"/>
      <c r="H29" s="166">
        <f>IF(AND(F29&lt;&gt;"",G29&lt;&gt;""),G29-F29,"")</f>
        <v/>
      </c>
      <c r="I29" s="167" t="n"/>
      <c r="J29" s="167" t="n"/>
      <c r="K29" s="168">
        <f>IF(F29="","—",IF(F29&lt;$D$16,"⛔ Bajo mínimo",IF(F29=$D$16,"✅ En mínimo","✔ Sobre mínimo")))</f>
        <v/>
      </c>
    </row>
    <row r="30" ht="30" customHeight="1" s="102">
      <c r="A30" s="104" t="n"/>
      <c r="B30" s="141" t="n">
        <v>9</v>
      </c>
      <c r="C30" s="148" t="inlineStr">
        <is>
          <t>SLA / ANS + XLA por prioridad</t>
        </is>
      </c>
      <c r="D30" s="146" t="inlineStr">
        <is>
          <t>ITIL Service</t>
        </is>
      </c>
      <c r="E30" s="135">
        <f>IF($D$8="Mesa de Ayuda","N2 · Administrado",IF($D$8="Mesa de Soporte","N3 · Definido","—"))</f>
        <v/>
      </c>
      <c r="F30" s="164" t="n"/>
      <c r="G30" s="165" t="n"/>
      <c r="H30" s="166">
        <f>IF(AND(F30&lt;&gt;"",G30&lt;&gt;""),G30-F30,"")</f>
        <v/>
      </c>
      <c r="I30" s="167" t="n"/>
      <c r="J30" s="167" t="n"/>
      <c r="K30" s="168">
        <f>IF(F30="","—",IF(F30&lt;$D$16,"⛔ Bajo mínimo",IF(F30=$D$16,"✅ En mínimo","✔ Sobre mínimo")))</f>
        <v/>
      </c>
    </row>
    <row r="31" ht="30" customHeight="1" s="102">
      <c r="A31" s="104" t="n"/>
      <c r="B31" s="141" t="n">
        <v>10</v>
      </c>
      <c r="C31" s="148" t="inlineStr">
        <is>
          <t>Disponibilidad y cobertura horaria</t>
        </is>
      </c>
      <c r="D31" s="142" t="inlineStr">
        <is>
          <t>Feedback operativo</t>
        </is>
      </c>
      <c r="E31" s="135">
        <f>IF($D$8="Mesa de Ayuda","N2 · Administrado",IF($D$8="Mesa de Soporte","N3 · Definido","—"))</f>
        <v/>
      </c>
      <c r="F31" s="164" t="n"/>
      <c r="G31" s="165" t="n"/>
      <c r="H31" s="166">
        <f>IF(AND(F31&lt;&gt;"",G31&lt;&gt;""),G31-F31,"")</f>
        <v/>
      </c>
      <c r="I31" s="167" t="n"/>
      <c r="J31" s="167" t="n"/>
      <c r="K31" s="168">
        <f>IF(F31="","—",IF(F31&lt;$D$16,"⛔ Bajo mínimo",IF(F31=$D$16,"✅ En mínimo","✔ Sobre mínimo")))</f>
        <v/>
      </c>
    </row>
    <row r="32" ht="19.5" customHeight="1" s="102">
      <c r="A32" s="104" t="n"/>
      <c r="B32" s="112" t="inlineStr">
        <is>
          <t>D4 · Flujos de Valor y Procesos</t>
        </is>
      </c>
      <c r="C32" s="140" t="n"/>
      <c r="D32" s="140" t="n"/>
      <c r="E32" s="140" t="n"/>
      <c r="F32" s="140" t="n"/>
      <c r="G32" s="140" t="n"/>
      <c r="H32" s="140" t="n"/>
      <c r="I32" s="140" t="n"/>
      <c r="J32" s="118" t="n"/>
      <c r="K32" s="104" t="n"/>
    </row>
    <row r="33" ht="30" customHeight="1" s="102">
      <c r="A33" s="104" t="n"/>
      <c r="B33" s="141" t="n">
        <v>11</v>
      </c>
      <c r="C33" s="112" t="inlineStr">
        <is>
          <t>Gestión de incidentes</t>
        </is>
      </c>
      <c r="D33" s="146" t="inlineStr">
        <is>
          <t>Monitor, Support &amp; Fulfill</t>
        </is>
      </c>
      <c r="E33" s="135">
        <f>IF($D$8="Mesa de Ayuda","N2 · Administrado",IF($D$8="Mesa de Soporte","N3 · Definido","—"))</f>
        <v/>
      </c>
      <c r="F33" s="164" t="n"/>
      <c r="G33" s="165" t="n"/>
      <c r="H33" s="166">
        <f>IF(AND(F33&lt;&gt;"",G33&lt;&gt;""),G33-F33,"")</f>
        <v/>
      </c>
      <c r="I33" s="167" t="n"/>
      <c r="J33" s="167" t="n"/>
      <c r="K33" s="168">
        <f>IF(F33="","—",IF(F33&lt;$D$16,"⛔ Bajo mínimo",IF(F33=$D$16,"✅ En mínimo","✔ Sobre mínimo")))</f>
        <v/>
      </c>
    </row>
    <row r="34" ht="30" customHeight="1" s="102">
      <c r="A34" s="104" t="n"/>
      <c r="B34" s="141" t="n">
        <v>12</v>
      </c>
      <c r="C34" s="112" t="inlineStr">
        <is>
          <t>Gestión de solicitudes</t>
        </is>
      </c>
      <c r="D34" s="146" t="inlineStr">
        <is>
          <t>Monitor, Support &amp; Fulfill</t>
        </is>
      </c>
      <c r="E34" s="135">
        <f>IF($D$8="Mesa de Ayuda","N2 · Administrado",IF($D$8="Mesa de Soporte","N3 · Definido","—"))</f>
        <v/>
      </c>
      <c r="F34" s="164" t="n"/>
      <c r="G34" s="165" t="n"/>
      <c r="H34" s="166">
        <f>IF(AND(F34&lt;&gt;"",G34&lt;&gt;""),G34-F34,"")</f>
        <v/>
      </c>
      <c r="I34" s="167" t="n"/>
      <c r="J34" s="167" t="n"/>
      <c r="K34" s="168">
        <f>IF(F34="","—",IF(F34&lt;$D$16,"⛔ Bajo mínimo",IF(F34=$D$16,"✅ En mínimo","✔ Sobre mínimo")))</f>
        <v/>
      </c>
    </row>
    <row r="35" ht="30" customHeight="1" s="102">
      <c r="A35" s="104" t="n"/>
      <c r="B35" s="141" t="n">
        <v>13</v>
      </c>
      <c r="C35" s="112" t="inlineStr">
        <is>
          <t>Gestión de problemas (causa raíz)</t>
        </is>
      </c>
      <c r="D35" s="146" t="inlineStr">
        <is>
          <t>Monitor, Support &amp; Fulfill</t>
        </is>
      </c>
      <c r="E35" s="135">
        <f>IF($D$8="Mesa de Ayuda","N2 · Administrado",IF($D$8="Mesa de Soporte","N3 · Definido","—"))</f>
        <v/>
      </c>
      <c r="F35" s="164" t="n"/>
      <c r="G35" s="165" t="n"/>
      <c r="H35" s="166">
        <f>IF(AND(F35&lt;&gt;"",G35&lt;&gt;""),G35-F35,"")</f>
        <v/>
      </c>
      <c r="I35" s="167" t="n"/>
      <c r="J35" s="167" t="n"/>
      <c r="K35" s="168">
        <f>IF(F35="","—",IF(F35&lt;$D$16,"⛔ Bajo mínimo",IF(F35=$D$16,"✅ En mínimo","✔ Sobre mínimo")))</f>
        <v/>
      </c>
    </row>
    <row r="36" ht="30" customHeight="1" s="102">
      <c r="A36" s="104" t="n"/>
      <c r="B36" s="141" t="n">
        <v>14</v>
      </c>
      <c r="C36" s="112" t="inlineStr">
        <is>
          <t>Gestión del cambio (Change Enablement)</t>
        </is>
      </c>
      <c r="D36" s="146" t="inlineStr">
        <is>
          <t>ITIL Service</t>
        </is>
      </c>
      <c r="E36" s="135">
        <f>IF($D$8="Mesa de Ayuda","N2 · Administrado",IF($D$8="Mesa de Soporte","N3 · Definido","—"))</f>
        <v/>
      </c>
      <c r="F36" s="164" t="n"/>
      <c r="G36" s="165" t="n"/>
      <c r="H36" s="166">
        <f>IF(AND(F36&lt;&gt;"",G36&lt;&gt;""),G36-F36,"")</f>
        <v/>
      </c>
      <c r="I36" s="167" t="n"/>
      <c r="J36" s="167" t="n"/>
      <c r="K36" s="168">
        <f>IF(F36="","—",IF(F36&lt;$D$16,"⛔ Bajo mínimo",IF(F36=$D$16,"✅ En mínimo","✔ Sobre mínimo")))</f>
        <v/>
      </c>
    </row>
    <row r="37" ht="30" customHeight="1" s="102">
      <c r="A37" s="104" t="n"/>
      <c r="B37" s="141" t="n">
        <v>15</v>
      </c>
      <c r="C37" s="112" t="inlineStr">
        <is>
          <t>Transición y onboarding</t>
        </is>
      </c>
      <c r="D37" s="146" t="inlineStr">
        <is>
          <t>ITIL Service</t>
        </is>
      </c>
      <c r="E37" s="135">
        <f>IF($D$8="Mesa de Ayuda","N2 · Administrado",IF($D$8="Mesa de Soporte","N3 · Definido","—"))</f>
        <v/>
      </c>
      <c r="F37" s="164" t="n"/>
      <c r="G37" s="165" t="n"/>
      <c r="H37" s="166">
        <f>IF(AND(F37&lt;&gt;"",G37&lt;&gt;""),G37-F37,"")</f>
        <v/>
      </c>
      <c r="I37" s="167" t="n"/>
      <c r="J37" s="167" t="n"/>
      <c r="K37" s="168">
        <f>IF(F37="","—",IF(F37&lt;$D$16,"⛔ Bajo mínimo",IF(F37=$D$16,"✅ En mínimo","✔ Sobre mínimo")))</f>
        <v/>
      </c>
    </row>
    <row r="38" ht="30" customHeight="1" s="102">
      <c r="A38" s="104" t="n"/>
      <c r="B38" s="141" t="n">
        <v>16</v>
      </c>
      <c r="C38" s="112" t="inlineStr">
        <is>
          <t>Mejora continua del servicio</t>
        </is>
      </c>
      <c r="D38" s="146" t="inlineStr">
        <is>
          <t>Collaborate, Assure &amp; Improve</t>
        </is>
      </c>
      <c r="E38" s="135">
        <f>IF($D$8="Mesa de Ayuda","N2 · Administrado",IF($D$8="Mesa de Soporte","N3 · Definido","—"))</f>
        <v/>
      </c>
      <c r="F38" s="164" t="n"/>
      <c r="G38" s="165" t="n"/>
      <c r="H38" s="166">
        <f>IF(AND(F38&lt;&gt;"",G38&lt;&gt;""),G38-F38,"")</f>
        <v/>
      </c>
      <c r="I38" s="167" t="n"/>
      <c r="J38" s="167" t="n"/>
      <c r="K38" s="168">
        <f>IF(F38="","—",IF(F38&lt;$D$16,"⛔ Bajo mínimo",IF(F38=$D$16,"✅ En mínimo","✔ Sobre mínimo")))</f>
        <v/>
      </c>
    </row>
    <row r="39" ht="30" customHeight="1" s="102">
      <c r="A39" s="104" t="n"/>
      <c r="B39" s="141" t="n">
        <v>17</v>
      </c>
      <c r="C39" s="112" t="inlineStr">
        <is>
          <t>Experiencia del cliente (CX / NPS / CSAT / XLA)</t>
        </is>
      </c>
      <c r="D39" s="149" t="inlineStr">
        <is>
          <t>ITIL Experience</t>
        </is>
      </c>
      <c r="E39" s="135">
        <f>IF($D$8="Mesa de Ayuda","N2 · Administrado",IF($D$8="Mesa de Soporte","N3 · Definido","—"))</f>
        <v/>
      </c>
      <c r="F39" s="164" t="n"/>
      <c r="G39" s="165" t="n"/>
      <c r="H39" s="166">
        <f>IF(AND(F39&lt;&gt;"",G39&lt;&gt;""),G39-F39,"")</f>
        <v/>
      </c>
      <c r="I39" s="167" t="n"/>
      <c r="J39" s="167" t="n"/>
      <c r="K39" s="168">
        <f>IF(F39="","—",IF(F39&lt;$D$16,"⛔ Bajo mínimo",IF(F39=$D$16,"✅ En mínimo","✔ Sobre mínimo")))</f>
        <v/>
      </c>
    </row>
    <row r="40" ht="19.5" customHeight="1" s="102">
      <c r="A40" s="104" t="n"/>
      <c r="B40" s="151" t="inlineStr">
        <is>
          <t>Dimensión de Negocio · Éxito comercial y rentabilidad PS</t>
        </is>
      </c>
      <c r="C40" s="140" t="n"/>
      <c r="D40" s="140" t="n"/>
      <c r="E40" s="140" t="n"/>
      <c r="F40" s="140" t="n"/>
      <c r="G40" s="140" t="n"/>
      <c r="H40" s="140" t="n"/>
      <c r="I40" s="140" t="n"/>
      <c r="J40" s="118" t="n"/>
      <c r="K40" s="104" t="n"/>
    </row>
    <row r="41" ht="30" customHeight="1" s="102">
      <c r="A41" s="104" t="n"/>
      <c r="B41" s="141" t="n">
        <v>18</v>
      </c>
      <c r="C41" s="151" t="inlineStr">
        <is>
          <t>Salud financiera del contrato</t>
        </is>
      </c>
      <c r="D41" s="152" t="inlineStr">
        <is>
          <t>Negocio PS</t>
        </is>
      </c>
      <c r="E41" s="160">
        <f>IF($D$8="Mesa de Ayuda","N2 · Administrado",IF($D$8="Mesa de Soporte","N2 · Administrado","—"))</f>
        <v/>
      </c>
      <c r="F41" s="164" t="n"/>
      <c r="G41" s="165" t="n"/>
      <c r="H41" s="166">
        <f>IF(AND(F41&lt;&gt;"",G41&lt;&gt;""),G41-F41,"")</f>
        <v/>
      </c>
      <c r="I41" s="167" t="n"/>
      <c r="J41" s="167" t="n"/>
      <c r="K41" s="168">
        <f>IF(F41="","—",IF(F41&lt;2,"⛔ Bajo N2",IF(F41=2,"✅ En N2","✔ Sobre N2")))</f>
        <v/>
      </c>
    </row>
    <row r="42" ht="30" customHeight="1" s="102">
      <c r="A42" s="104" t="n"/>
      <c r="B42" s="141" t="n">
        <v>19</v>
      </c>
      <c r="C42" s="151" t="inlineStr">
        <is>
          <t>Retención y crecimiento de cuenta</t>
        </is>
      </c>
      <c r="D42" s="152" t="inlineStr">
        <is>
          <t>Negocio PS</t>
        </is>
      </c>
      <c r="E42" s="160">
        <f>IF($D$8="Mesa de Ayuda","N2 · Administrado",IF($D$8="Mesa de Soporte","N2 · Administrado","—"))</f>
        <v/>
      </c>
      <c r="F42" s="164" t="n"/>
      <c r="G42" s="165" t="n"/>
      <c r="H42" s="166">
        <f>IF(AND(F42&lt;&gt;"",G42&lt;&gt;""),G42-F42,"")</f>
        <v/>
      </c>
      <c r="I42" s="167" t="n"/>
      <c r="J42" s="167" t="n"/>
      <c r="K42" s="168">
        <f>IF(F42="","—",IF(F42&lt;2,"⛔ Bajo N2",IF(F42=2,"✅ En N2","✔ Sobre N2")))</f>
        <v/>
      </c>
    </row>
    <row r="43" ht="30" customHeight="1" s="102">
      <c r="A43" s="104" t="n"/>
      <c r="B43" s="141" t="n">
        <v>20</v>
      </c>
      <c r="C43" s="151" t="inlineStr">
        <is>
          <t>NPS / CSAT / XLA del cliente final</t>
        </is>
      </c>
      <c r="D43" s="152" t="inlineStr">
        <is>
          <t>Negocio PS</t>
        </is>
      </c>
      <c r="E43" s="160">
        <f>IF($D$8="Mesa de Ayuda","N2 · Administrado",IF($D$8="Mesa de Soporte","N2 · Administrado","—"))</f>
        <v/>
      </c>
      <c r="F43" s="164" t="n"/>
      <c r="G43" s="165" t="n"/>
      <c r="H43" s="166">
        <f>IF(AND(F43&lt;&gt;"",G43&lt;&gt;""),G43-F43,"")</f>
        <v/>
      </c>
      <c r="I43" s="167" t="n"/>
      <c r="J43" s="167" t="n"/>
      <c r="K43" s="168">
        <f>IF(F43="","—",IF(F43&lt;2,"⛔ Bajo N2",IF(F43=2,"✅ En N2","✔ Sobre N2")))</f>
        <v/>
      </c>
    </row>
    <row r="44" ht="30" customHeight="1" s="102">
      <c r="A44" s="104" t="n"/>
      <c r="B44" s="141" t="n">
        <v>21</v>
      </c>
      <c r="C44" s="151" t="inlineStr">
        <is>
          <t>Eficiencia de costo operativo</t>
        </is>
      </c>
      <c r="D44" s="152" t="inlineStr">
        <is>
          <t>Negocio PS</t>
        </is>
      </c>
      <c r="E44" s="160">
        <f>IF($D$8="Mesa de Ayuda","N2 · Administrado",IF($D$8="Mesa de Soporte","N2 · Administrado","—"))</f>
        <v/>
      </c>
      <c r="F44" s="164" t="n"/>
      <c r="G44" s="165" t="n"/>
      <c r="H44" s="166">
        <f>IF(AND(F44&lt;&gt;"",G44&lt;&gt;""),G44-F44,"")</f>
        <v/>
      </c>
      <c r="I44" s="167" t="n"/>
      <c r="J44" s="167" t="n"/>
      <c r="K44" s="168">
        <f>IF(F44="","—",IF(F44&lt;2,"⛔ Bajo N2",IF(F44=2,"✅ En N2","✔ Sobre N2")))</f>
        <v/>
      </c>
    </row>
  </sheetData>
  <mergeCells count="17">
    <mergeCell ref="D12:H12"/>
    <mergeCell ref="C3:J3"/>
    <mergeCell ref="D7:H7"/>
    <mergeCell ref="D8:H8"/>
    <mergeCell ref="D6:H6"/>
    <mergeCell ref="B19:J19"/>
    <mergeCell ref="D10:H10"/>
    <mergeCell ref="B22:J22"/>
    <mergeCell ref="B32:J32"/>
    <mergeCell ref="C2:J2"/>
    <mergeCell ref="D11:H11"/>
    <mergeCell ref="D13:H13"/>
    <mergeCell ref="D5:H5"/>
    <mergeCell ref="B27:J27"/>
    <mergeCell ref="D15:G15"/>
    <mergeCell ref="B40:J40"/>
    <mergeCell ref="D9:H9"/>
  </mergeCells>
  <conditionalFormatting sqref="F19:F44">
    <cfRule type="expression" rank="0" priority="2" equalAverage="0" aboveAverage="0" dxfId="0" text="" percent="0" bottom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rank="0" priority="4" equalAverage="0" operator="greaterThan" aboveAverage="0" dxfId="1" text="" percent="0" bottom="0">
      <formula>1</formula>
    </cfRule>
    <cfRule type="cellIs" rank="0" priority="5" equalAverage="0" operator="lessThan" aboveAverage="0" dxfId="0" text="" percent="0" bottom="0">
      <formula>0</formula>
    </cfRule>
  </conditionalFormatting>
  <conditionalFormatting sqref="H20:H44">
    <cfRule type="cellIs" rank="0" priority="6" equalAverage="0" operator="lessThan" aboveAverage="0" dxfId="2" text="" percent="0" bottom="0">
      <formula>0</formula>
    </cfRule>
    <cfRule type="cellIs" rank="0" priority="7" equalAverage="0" operator="equal" aboveAverage="0" dxfId="3" text="" percent="0" bottom="0">
      <formula>0</formula>
    </cfRule>
    <cfRule type="cellIs" rank="0" priority="8" equalAverage="0" operator="greaterThan" aboveAverage="0" dxfId="4" text="" percent="0" bottom="0">
      <formula>0</formula>
    </cfRule>
  </conditionalFormatting>
  <dataValidations count="1">
    <dataValidation sqref="F20:F44" showDropDown="0" showInputMessage="0" showErrorMessage="1" allowBlank="1" errorTitle="Nivel inválido" error="Ingresa 0 (N0) a 5 (N5)" type="list" errorStyle="stop" operator="between">
      <formula1>"0,1,2,3,4,5"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001F7A4D"/>
    <outlinePr summaryBelow="1" summaryRight="1"/>
    <pageSetUpPr fitToPage="0"/>
  </sheetPr>
  <dimension ref="A1:K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baseColWidth="8" defaultColWidth="8.6328125" defaultRowHeight="14.25" zeroHeight="0" outlineLevelRow="0"/>
  <cols>
    <col width="2" customWidth="1" style="101" min="1" max="1"/>
    <col width="4" customWidth="1" style="101" min="2" max="2"/>
    <col width="30" customWidth="1" style="101" min="3" max="3"/>
    <col width="20" customWidth="1" style="101" min="4" max="4"/>
    <col width="16" customWidth="1" style="101" min="5" max="5"/>
    <col width="13" customWidth="1" style="101" min="6" max="7"/>
    <col width="8" customWidth="1" style="101" min="8" max="8"/>
    <col width="40" customWidth="1" style="101" min="9" max="9"/>
    <col width="18" customWidth="1" style="101" min="10" max="10"/>
    <col width="14" customWidth="1" style="101" min="11" max="11"/>
  </cols>
  <sheetData>
    <row r="1">
      <c r="A1" s="104" t="n"/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17.25" customHeight="1" s="102">
      <c r="A2" s="104" t="n"/>
      <c r="B2" s="104" t="n"/>
      <c r="C2" s="129" t="inlineStr">
        <is>
          <t>Evaluación de Madurez · Torre de Control</t>
        </is>
      </c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3" ht="15" customHeight="1" s="102">
      <c r="A3" s="104" t="n"/>
      <c r="B3" s="104" t="n"/>
      <c r="C3" s="130" t="inlineStr">
        <is>
          <t>PersonalSoft · SURA · Modelo de Madurez v1.0 · ITIL v5</t>
        </is>
      </c>
      <c r="D3" s="104" t="n"/>
      <c r="E3" s="104" t="n"/>
      <c r="F3" s="104" t="n"/>
      <c r="G3" s="104" t="n"/>
      <c r="H3" s="104" t="n"/>
      <c r="I3" s="104" t="n"/>
      <c r="J3" s="104" t="n"/>
      <c r="K3" s="104" t="n"/>
    </row>
    <row r="4">
      <c r="A4" s="104" t="n"/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</row>
    <row r="5" ht="15" customHeight="1" s="102">
      <c r="A5" s="104" t="n"/>
      <c r="B5" s="104" t="n"/>
      <c r="C5" s="153" t="inlineStr">
        <is>
          <t>Nombre de la mesa:</t>
        </is>
      </c>
      <c r="D5" s="154" t="inlineStr">
        <is>
          <t>Torre de Control</t>
        </is>
      </c>
      <c r="E5" s="140" t="n"/>
      <c r="F5" s="140" t="n"/>
      <c r="G5" s="140" t="n"/>
      <c r="H5" s="118" t="n"/>
      <c r="I5" s="104" t="n"/>
      <c r="J5" s="104" t="n"/>
      <c r="K5" s="104" t="n"/>
    </row>
    <row r="6" ht="15" customHeight="1" s="102">
      <c r="A6" s="104" t="n"/>
      <c r="B6" s="104" t="n"/>
      <c r="C6" s="153" t="inlineStr">
        <is>
          <t>Cliente:</t>
        </is>
      </c>
      <c r="D6" s="154" t="inlineStr">
        <is>
          <t>SURA</t>
        </is>
      </c>
      <c r="E6" s="140" t="n"/>
      <c r="F6" s="140" t="n"/>
      <c r="G6" s="140" t="n"/>
      <c r="H6" s="118" t="n"/>
      <c r="I6" s="104" t="n"/>
      <c r="J6" s="104" t="n"/>
      <c r="K6" s="104" t="n"/>
    </row>
    <row r="7" ht="15" customHeight="1" s="102">
      <c r="A7" s="104" t="n"/>
      <c r="B7" s="104" t="n"/>
      <c r="C7" s="153" t="inlineStr">
        <is>
          <t>Sector:</t>
        </is>
      </c>
      <c r="D7" s="154" t="inlineStr">
        <is>
          <t>Banca/Seguros</t>
        </is>
      </c>
      <c r="E7" s="140" t="n"/>
      <c r="F7" s="140" t="n"/>
      <c r="G7" s="140" t="n"/>
      <c r="H7" s="118" t="n"/>
      <c r="I7" s="104" t="n"/>
      <c r="J7" s="104" t="n"/>
      <c r="K7" s="104" t="n"/>
    </row>
    <row r="8" ht="15" customHeight="1" s="102">
      <c r="A8" s="104" t="n"/>
      <c r="B8" s="104" t="n"/>
      <c r="C8" s="153" t="inlineStr">
        <is>
          <t>Tipo de mesa:</t>
        </is>
      </c>
      <c r="D8" s="154" t="n"/>
      <c r="E8" s="140" t="n"/>
      <c r="F8" s="140" t="n"/>
      <c r="G8" s="140" t="n"/>
      <c r="H8" s="118" t="n"/>
      <c r="I8" s="104" t="n"/>
      <c r="J8" s="104" t="n"/>
      <c r="K8" s="104" t="n"/>
    </row>
    <row r="9" ht="15" customHeight="1" s="102">
      <c r="A9" s="104" t="n"/>
      <c r="B9" s="104" t="n"/>
      <c r="C9" s="153" t="inlineStr">
        <is>
          <t>¿N0 activo?:</t>
        </is>
      </c>
      <c r="D9" s="154" t="inlineStr">
        <is>
          <t>No</t>
        </is>
      </c>
      <c r="E9" s="140" t="n"/>
      <c r="F9" s="140" t="n"/>
      <c r="G9" s="140" t="n"/>
      <c r="H9" s="118" t="n"/>
      <c r="I9" s="104" t="n"/>
      <c r="J9" s="104" t="n"/>
      <c r="K9" s="104" t="n"/>
    </row>
    <row r="10" ht="15" customHeight="1" s="102">
      <c r="A10" s="104" t="n"/>
      <c r="B10" s="104" t="n"/>
      <c r="C10" s="153" t="inlineStr">
        <is>
          <t>Evaluador:</t>
        </is>
      </c>
      <c r="D10" s="154" t="n"/>
      <c r="E10" s="140" t="n"/>
      <c r="F10" s="140" t="n"/>
      <c r="G10" s="140" t="n"/>
      <c r="H10" s="118" t="n"/>
      <c r="I10" s="104" t="n"/>
      <c r="J10" s="104" t="n"/>
      <c r="K10" s="104" t="n"/>
    </row>
    <row r="11" ht="15" customHeight="1" s="102">
      <c r="A11" s="104" t="n"/>
      <c r="B11" s="104" t="n"/>
      <c r="C11" s="153" t="inlineStr">
        <is>
          <t>Fecha de evaluación:</t>
        </is>
      </c>
      <c r="D11" s="155" t="n"/>
      <c r="E11" s="140" t="n"/>
      <c r="F11" s="140" t="n"/>
      <c r="G11" s="140" t="n"/>
      <c r="H11" s="118" t="n"/>
      <c r="I11" s="104" t="n"/>
      <c r="J11" s="104" t="n"/>
      <c r="K11" s="104" t="n"/>
    </row>
    <row r="12" ht="15" customHeight="1" s="102">
      <c r="A12" s="104" t="n"/>
      <c r="B12" s="104" t="n"/>
      <c r="C12" s="153" t="inlineStr">
        <is>
          <t>Herramienta de tickets:</t>
        </is>
      </c>
      <c r="D12" s="154" t="n"/>
      <c r="E12" s="140" t="n"/>
      <c r="F12" s="140" t="n"/>
      <c r="G12" s="140" t="n"/>
      <c r="H12" s="118" t="n"/>
      <c r="I12" s="104" t="n"/>
      <c r="J12" s="104" t="n"/>
      <c r="K12" s="104" t="n"/>
    </row>
    <row r="13" ht="15" customHeight="1" s="102">
      <c r="A13" s="104" t="n"/>
      <c r="B13" s="104" t="n"/>
      <c r="C13" s="153" t="inlineStr">
        <is>
          <t>Horario de servicio:</t>
        </is>
      </c>
      <c r="D13" s="154" t="n"/>
      <c r="E13" s="140" t="n"/>
      <c r="F13" s="140" t="n"/>
      <c r="G13" s="140" t="n"/>
      <c r="H13" s="118" t="n"/>
      <c r="I13" s="104" t="n"/>
      <c r="J13" s="104" t="n"/>
      <c r="K13" s="104" t="n"/>
    </row>
    <row r="14">
      <c r="A14" s="104" t="n"/>
      <c r="B14" s="104" t="n"/>
      <c r="C14" s="104" t="n"/>
      <c r="D14" s="104" t="n"/>
      <c r="E14" s="104" t="n"/>
      <c r="F14" s="104" t="n"/>
      <c r="G14" s="104" t="n"/>
      <c r="H14" s="104" t="n"/>
      <c r="I14" s="104" t="n"/>
      <c r="J14" s="104" t="n"/>
      <c r="K14" s="104" t="n"/>
    </row>
    <row r="15" ht="15.75" customHeight="1" s="102">
      <c r="A15" s="104" t="n"/>
      <c r="B15" s="104" t="n"/>
      <c r="C15" s="156" t="inlineStr">
        <is>
          <t>Nivel mínimo esperado:</t>
        </is>
      </c>
      <c r="D15" s="157">
        <f>IF(D8="Mesa de Ayuda","N2 · Administrado",IF(D8="Mesa de Soporte","N3 · Definido","— Seleccionar tipo"))</f>
        <v/>
      </c>
      <c r="E15" s="140" t="n"/>
      <c r="F15" s="140" t="n"/>
      <c r="G15" s="118" t="n"/>
      <c r="H15" s="104" t="n"/>
      <c r="I15" s="156" t="inlineStr">
        <is>
          <t>Nivel global operativo (promedio):</t>
        </is>
      </c>
      <c r="J15" s="158">
        <f>IFERROR(AVERAGEIF(F20:F39,"&lt;&gt;"),"")</f>
        <v/>
      </c>
      <c r="K15" s="104" t="n"/>
    </row>
    <row r="16" ht="15" customHeight="1" s="102">
      <c r="A16" s="104" t="n"/>
      <c r="B16" s="104" t="n"/>
      <c r="C16" s="159" t="inlineStr">
        <is>
          <t>Nivel mínimo (número):</t>
        </is>
      </c>
      <c r="D16" s="160">
        <f>IF(D8="Mesa de Ayuda",2,IF(D8="Mesa de Soporte",3,0))</f>
        <v/>
      </c>
      <c r="E16" s="104" t="n"/>
      <c r="F16" s="104" t="n"/>
      <c r="G16" s="104" t="n"/>
      <c r="H16" s="104" t="n"/>
      <c r="I16" s="104" t="n"/>
      <c r="J16" s="104" t="n"/>
      <c r="K16" s="104" t="n"/>
    </row>
    <row r="17">
      <c r="A17" s="104" t="n"/>
      <c r="B17" s="104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</row>
    <row r="18" ht="42" customHeight="1" s="102">
      <c r="A18" s="104" t="n"/>
      <c r="B18" s="134" t="inlineStr">
        <is>
          <t>#</t>
        </is>
      </c>
      <c r="C18" s="134" t="inlineStr">
        <is>
          <t>Práctica</t>
        </is>
      </c>
      <c r="D18" s="134" t="inlineStr">
        <is>
          <t>Origen</t>
        </is>
      </c>
      <c r="E18" s="134" t="inlineStr">
        <is>
          <t>Nivel mínimo
esperado</t>
        </is>
      </c>
      <c r="F18" s="161" t="inlineStr">
        <is>
          <t>Nivel actual
(0=N0 · 5=N5)
▼ dropdown</t>
        </is>
      </c>
      <c r="G18" s="134" t="inlineStr">
        <is>
          <t>Nivel objetivo
(N0–N5)</t>
        </is>
      </c>
      <c r="H18" s="162" t="inlineStr">
        <is>
          <t>Brecha</t>
        </is>
      </c>
      <c r="I18" s="134" t="inlineStr">
        <is>
          <t>Evidencia / observación</t>
        </is>
      </c>
      <c r="J18" s="134" t="inlineStr">
        <is>
          <t>Herramienta / Nota</t>
        </is>
      </c>
      <c r="K18" s="163" t="inlineStr">
        <is>
          <t>¿Bajo mínimo?</t>
        </is>
      </c>
    </row>
    <row r="19" ht="19.5" customHeight="1" s="102">
      <c r="A19" s="104" t="n"/>
      <c r="B19" s="112" t="inlineStr">
        <is>
          <t>D1 · Organizaciones y Personas</t>
        </is>
      </c>
      <c r="C19" s="140" t="n"/>
      <c r="D19" s="140" t="n"/>
      <c r="E19" s="140" t="n"/>
      <c r="F19" s="140" t="n"/>
      <c r="G19" s="140" t="n"/>
      <c r="H19" s="140" t="n"/>
      <c r="I19" s="140" t="n"/>
      <c r="J19" s="118" t="n"/>
      <c r="K19" s="104" t="n"/>
    </row>
    <row r="20" ht="30" customHeight="1" s="102">
      <c r="A20" s="104" t="n"/>
      <c r="B20" s="141" t="n">
        <v>1</v>
      </c>
      <c r="C20" s="112" t="inlineStr">
        <is>
          <t>Gobierno de roles (RACI)</t>
        </is>
      </c>
      <c r="D20" s="142" t="inlineStr">
        <is>
          <t>Feedback operativo</t>
        </is>
      </c>
      <c r="E20" s="135">
        <f>IF($D$8="Mesa de Ayuda","N2 · Administrado",IF($D$8="Mesa de Soporte","N3 · Definido","—"))</f>
        <v/>
      </c>
      <c r="F20" s="164" t="n"/>
      <c r="G20" s="165" t="n"/>
      <c r="H20" s="166">
        <f>IF(AND(F20&lt;&gt;"",G20&lt;&gt;""),G20-F20,"")</f>
        <v/>
      </c>
      <c r="I20" s="167" t="n"/>
      <c r="J20" s="167" t="n"/>
      <c r="K20" s="168">
        <f>IF(F20="","—",IF(F20&lt;$D$16,"⛔ Bajo mínimo",IF(F20=$D$16,"✅ En mínimo","✔ Sobre mínimo")))</f>
        <v/>
      </c>
    </row>
    <row r="21" ht="30" customHeight="1" s="102">
      <c r="A21" s="104" t="n"/>
      <c r="B21" s="141" t="n">
        <v>2</v>
      </c>
      <c r="C21" s="112" t="inlineStr">
        <is>
          <t>Capacidad y dimensionamiento del equipo</t>
        </is>
      </c>
      <c r="D21" s="144" t="inlineStr">
        <is>
          <t>ITIL Foundation</t>
        </is>
      </c>
      <c r="E21" s="135">
        <f>IF($D$8="Mesa de Ayuda","N2 · Administrado",IF($D$8="Mesa de Soporte","N3 · Definido","—"))</f>
        <v/>
      </c>
      <c r="F21" s="164" t="n"/>
      <c r="G21" s="165" t="n"/>
      <c r="H21" s="166">
        <f>IF(AND(F21&lt;&gt;"",G21&lt;&gt;""),G21-F21,"")</f>
        <v/>
      </c>
      <c r="I21" s="167" t="n"/>
      <c r="J21" s="167" t="n"/>
      <c r="K21" s="168">
        <f>IF(F21="","—",IF(F21&lt;$D$16,"⛔ Bajo mínimo",IF(F21=$D$16,"✅ En mínimo","✔ Sobre mínimo")))</f>
        <v/>
      </c>
    </row>
    <row r="22" ht="19.5" customHeight="1" s="102">
      <c r="A22" s="104" t="n"/>
      <c r="B22" s="125" t="inlineStr">
        <is>
          <t>D2 · Información y Tecnología</t>
        </is>
      </c>
      <c r="C22" s="140" t="n"/>
      <c r="D22" s="140" t="n"/>
      <c r="E22" s="140" t="n"/>
      <c r="F22" s="140" t="n"/>
      <c r="G22" s="140" t="n"/>
      <c r="H22" s="140" t="n"/>
      <c r="I22" s="140" t="n"/>
      <c r="J22" s="118" t="n"/>
      <c r="K22" s="104" t="n"/>
    </row>
    <row r="23" ht="30" customHeight="1" s="102">
      <c r="A23" s="104" t="n"/>
      <c r="B23" s="141" t="n">
        <v>3</v>
      </c>
      <c r="C23" s="125" t="inlineStr">
        <is>
          <t>Herramientas y automatización</t>
        </is>
      </c>
      <c r="D23" s="144" t="inlineStr">
        <is>
          <t>ITIL Foundation</t>
        </is>
      </c>
      <c r="E23" s="135">
        <f>IF($D$8="Mesa de Ayuda","N2 · Administrado",IF($D$8="Mesa de Soporte","N3 · Definido","—"))</f>
        <v/>
      </c>
      <c r="F23" s="164" t="n"/>
      <c r="G23" s="165" t="n"/>
      <c r="H23" s="166">
        <f>IF(AND(F23&lt;&gt;"",G23&lt;&gt;""),G23-F23,"")</f>
        <v/>
      </c>
      <c r="I23" s="167" t="n"/>
      <c r="J23" s="167" t="n"/>
      <c r="K23" s="168">
        <f>IF(F23="","—",IF(F23&lt;$D$16,"⛔ Bajo mínimo",IF(F23=$D$16,"✅ En mínimo","✔ Sobre mínimo")))</f>
        <v/>
      </c>
    </row>
    <row r="24" ht="30" customHeight="1" s="102">
      <c r="A24" s="104" t="n"/>
      <c r="B24" s="141" t="n">
        <v>4</v>
      </c>
      <c r="C24" s="125" t="inlineStr">
        <is>
          <t>Gestión del conocimiento (KEDB)</t>
        </is>
      </c>
      <c r="D24" s="146" t="inlineStr">
        <is>
          <t>Monitor, Support &amp; Fulfill</t>
        </is>
      </c>
      <c r="E24" s="135">
        <f>IF($D$8="Mesa de Ayuda","N2 · Administrado",IF($D$8="Mesa de Soporte","N3 · Definido","—"))</f>
        <v/>
      </c>
      <c r="F24" s="164" t="n"/>
      <c r="G24" s="165" t="n"/>
      <c r="H24" s="166">
        <f>IF(AND(F24&lt;&gt;"",G24&lt;&gt;""),G24-F24,"")</f>
        <v/>
      </c>
      <c r="I24" s="167" t="n"/>
      <c r="J24" s="167" t="n"/>
      <c r="K24" s="168">
        <f>IF(F24="","—",IF(F24&lt;$D$16,"⛔ Bajo mínimo",IF(F24=$D$16,"✅ En mínimo","✔ Sobre mínimo")))</f>
        <v/>
      </c>
    </row>
    <row r="25" ht="30" customHeight="1" s="102">
      <c r="A25" s="104" t="n"/>
      <c r="B25" s="141" t="n">
        <v>5</v>
      </c>
      <c r="C25" s="125" t="inlineStr">
        <is>
          <t>Gestión de integraciones y entorno de aplicaciones</t>
        </is>
      </c>
      <c r="D25" s="142" t="inlineStr">
        <is>
          <t>Feedback operativo</t>
        </is>
      </c>
      <c r="E25" s="135">
        <f>IF($D$8="Mesa de Ayuda","N2 · Administrado",IF($D$8="Mesa de Soporte","N3 · Definido","—"))</f>
        <v/>
      </c>
      <c r="F25" s="164" t="n"/>
      <c r="G25" s="165" t="n"/>
      <c r="H25" s="166">
        <f>IF(AND(F25&lt;&gt;"",G25&lt;&gt;""),G25-F25,"")</f>
        <v/>
      </c>
      <c r="I25" s="167" t="n"/>
      <c r="J25" s="167" t="n"/>
      <c r="K25" s="168">
        <f>IF(F25="","—",IF(F25&lt;$D$16,"⛔ Bajo mínimo",IF(F25=$D$16,"✅ En mínimo","✔ Sobre mínimo")))</f>
        <v/>
      </c>
    </row>
    <row r="26" ht="30" customHeight="1" s="102">
      <c r="A26" s="104" t="n"/>
      <c r="B26" s="141" t="n">
        <v>6</v>
      </c>
      <c r="C26" s="125" t="inlineStr">
        <is>
          <t>Monitoreo y gestión de eventos</t>
        </is>
      </c>
      <c r="D26" s="146" t="inlineStr">
        <is>
          <t>Monitor, Support &amp; Fulfill</t>
        </is>
      </c>
      <c r="E26" s="135">
        <f>IF($D$8="Mesa de Ayuda","N2 · Administrado",IF($D$8="Mesa de Soporte","N3 · Definido","—"))</f>
        <v/>
      </c>
      <c r="F26" s="164" t="n"/>
      <c r="G26" s="165" t="n"/>
      <c r="H26" s="166">
        <f>IF(AND(F26&lt;&gt;"",G26&lt;&gt;""),G26-F26,"")</f>
        <v/>
      </c>
      <c r="I26" s="167" t="n"/>
      <c r="J26" s="167" t="n"/>
      <c r="K26" s="168">
        <f>IF(F26="","—",IF(F26&lt;$D$16,"⛔ Bajo mínimo",IF(F26=$D$16,"✅ En mínimo","✔ Sobre mínimo")))</f>
        <v/>
      </c>
    </row>
    <row r="27" ht="19.5" customHeight="1" s="102">
      <c r="A27" s="104" t="n"/>
      <c r="B27" s="148" t="inlineStr">
        <is>
          <t>D3 · Socios y Proveedores</t>
        </is>
      </c>
      <c r="C27" s="140" t="n"/>
      <c r="D27" s="140" t="n"/>
      <c r="E27" s="140" t="n"/>
      <c r="F27" s="140" t="n"/>
      <c r="G27" s="140" t="n"/>
      <c r="H27" s="140" t="n"/>
      <c r="I27" s="140" t="n"/>
      <c r="J27" s="118" t="n"/>
      <c r="K27" s="104" t="n"/>
    </row>
    <row r="28" ht="30" customHeight="1" s="102">
      <c r="A28" s="104" t="n"/>
      <c r="B28" s="141" t="n">
        <v>7</v>
      </c>
      <c r="C28" s="148" t="inlineStr">
        <is>
          <t>Service Desk — punto único de contacto</t>
        </is>
      </c>
      <c r="D28" s="146" t="inlineStr">
        <is>
          <t>Monitor, Support &amp; Fulfill</t>
        </is>
      </c>
      <c r="E28" s="135">
        <f>IF($D$8="Mesa de Ayuda","N2 · Administrado",IF($D$8="Mesa de Soporte","N3 · Definido","—"))</f>
        <v/>
      </c>
      <c r="F28" s="164" t="n"/>
      <c r="G28" s="165" t="n"/>
      <c r="H28" s="166">
        <f>IF(AND(F28&lt;&gt;"",G28&lt;&gt;""),G28-F28,"")</f>
        <v/>
      </c>
      <c r="I28" s="167" t="n"/>
      <c r="J28" s="167" t="n"/>
      <c r="K28" s="168">
        <f>IF(F28="","—",IF(F28&lt;$D$16,"⛔ Bajo mínimo",IF(F28=$D$16,"✅ En mínimo","✔ Sobre mínimo")))</f>
        <v/>
      </c>
    </row>
    <row r="29" ht="30" customHeight="1" s="102">
      <c r="A29" s="104" t="n"/>
      <c r="B29" s="141" t="n">
        <v>8</v>
      </c>
      <c r="C29" s="148" t="inlineStr">
        <is>
          <t>Catálogo de servicios y límites del alcance</t>
        </is>
      </c>
      <c r="D29" s="146" t="inlineStr">
        <is>
          <t>ITIL Service</t>
        </is>
      </c>
      <c r="E29" s="135">
        <f>IF($D$8="Mesa de Ayuda","N2 · Administrado",IF($D$8="Mesa de Soporte","N3 · Definido","—"))</f>
        <v/>
      </c>
      <c r="F29" s="164" t="n"/>
      <c r="G29" s="165" t="n"/>
      <c r="H29" s="166">
        <f>IF(AND(F29&lt;&gt;"",G29&lt;&gt;""),G29-F29,"")</f>
        <v/>
      </c>
      <c r="I29" s="167" t="n"/>
      <c r="J29" s="167" t="n"/>
      <c r="K29" s="168">
        <f>IF(F29="","—",IF(F29&lt;$D$16,"⛔ Bajo mínimo",IF(F29=$D$16,"✅ En mínimo","✔ Sobre mínimo")))</f>
        <v/>
      </c>
    </row>
    <row r="30" ht="30" customHeight="1" s="102">
      <c r="A30" s="104" t="n"/>
      <c r="B30" s="141" t="n">
        <v>9</v>
      </c>
      <c r="C30" s="148" t="inlineStr">
        <is>
          <t>SLA / ANS + XLA por prioridad</t>
        </is>
      </c>
      <c r="D30" s="146" t="inlineStr">
        <is>
          <t>ITIL Service</t>
        </is>
      </c>
      <c r="E30" s="135">
        <f>IF($D$8="Mesa de Ayuda","N2 · Administrado",IF($D$8="Mesa de Soporte","N3 · Definido","—"))</f>
        <v/>
      </c>
      <c r="F30" s="164" t="n"/>
      <c r="G30" s="165" t="n"/>
      <c r="H30" s="166">
        <f>IF(AND(F30&lt;&gt;"",G30&lt;&gt;""),G30-F30,"")</f>
        <v/>
      </c>
      <c r="I30" s="167" t="n"/>
      <c r="J30" s="167" t="n"/>
      <c r="K30" s="168">
        <f>IF(F30="","—",IF(F30&lt;$D$16,"⛔ Bajo mínimo",IF(F30=$D$16,"✅ En mínimo","✔ Sobre mínimo")))</f>
        <v/>
      </c>
    </row>
    <row r="31" ht="30" customHeight="1" s="102">
      <c r="A31" s="104" t="n"/>
      <c r="B31" s="141" t="n">
        <v>10</v>
      </c>
      <c r="C31" s="148" t="inlineStr">
        <is>
          <t>Disponibilidad y cobertura horaria</t>
        </is>
      </c>
      <c r="D31" s="142" t="inlineStr">
        <is>
          <t>Feedback operativo</t>
        </is>
      </c>
      <c r="E31" s="135">
        <f>IF($D$8="Mesa de Ayuda","N2 · Administrado",IF($D$8="Mesa de Soporte","N3 · Definido","—"))</f>
        <v/>
      </c>
      <c r="F31" s="164" t="n"/>
      <c r="G31" s="165" t="n"/>
      <c r="H31" s="166">
        <f>IF(AND(F31&lt;&gt;"",G31&lt;&gt;""),G31-F31,"")</f>
        <v/>
      </c>
      <c r="I31" s="167" t="n"/>
      <c r="J31" s="167" t="n"/>
      <c r="K31" s="168">
        <f>IF(F31="","—",IF(F31&lt;$D$16,"⛔ Bajo mínimo",IF(F31=$D$16,"✅ En mínimo","✔ Sobre mínimo")))</f>
        <v/>
      </c>
    </row>
    <row r="32" ht="19.5" customHeight="1" s="102">
      <c r="A32" s="104" t="n"/>
      <c r="B32" s="112" t="inlineStr">
        <is>
          <t>D4 · Flujos de Valor y Procesos</t>
        </is>
      </c>
      <c r="C32" s="140" t="n"/>
      <c r="D32" s="140" t="n"/>
      <c r="E32" s="140" t="n"/>
      <c r="F32" s="140" t="n"/>
      <c r="G32" s="140" t="n"/>
      <c r="H32" s="140" t="n"/>
      <c r="I32" s="140" t="n"/>
      <c r="J32" s="118" t="n"/>
      <c r="K32" s="104" t="n"/>
    </row>
    <row r="33" ht="30" customHeight="1" s="102">
      <c r="A33" s="104" t="n"/>
      <c r="B33" s="141" t="n">
        <v>11</v>
      </c>
      <c r="C33" s="112" t="inlineStr">
        <is>
          <t>Gestión de incidentes</t>
        </is>
      </c>
      <c r="D33" s="146" t="inlineStr">
        <is>
          <t>Monitor, Support &amp; Fulfill</t>
        </is>
      </c>
      <c r="E33" s="135">
        <f>IF($D$8="Mesa de Ayuda","N2 · Administrado",IF($D$8="Mesa de Soporte","N3 · Definido","—"))</f>
        <v/>
      </c>
      <c r="F33" s="164" t="n"/>
      <c r="G33" s="165" t="n"/>
      <c r="H33" s="166">
        <f>IF(AND(F33&lt;&gt;"",G33&lt;&gt;""),G33-F33,"")</f>
        <v/>
      </c>
      <c r="I33" s="167" t="n"/>
      <c r="J33" s="167" t="n"/>
      <c r="K33" s="168">
        <f>IF(F33="","—",IF(F33&lt;$D$16,"⛔ Bajo mínimo",IF(F33=$D$16,"✅ En mínimo","✔ Sobre mínimo")))</f>
        <v/>
      </c>
    </row>
    <row r="34" ht="30" customHeight="1" s="102">
      <c r="A34" s="104" t="n"/>
      <c r="B34" s="141" t="n">
        <v>12</v>
      </c>
      <c r="C34" s="112" t="inlineStr">
        <is>
          <t>Gestión de solicitudes</t>
        </is>
      </c>
      <c r="D34" s="146" t="inlineStr">
        <is>
          <t>Monitor, Support &amp; Fulfill</t>
        </is>
      </c>
      <c r="E34" s="135">
        <f>IF($D$8="Mesa de Ayuda","N2 · Administrado",IF($D$8="Mesa de Soporte","N3 · Definido","—"))</f>
        <v/>
      </c>
      <c r="F34" s="164" t="n"/>
      <c r="G34" s="165" t="n"/>
      <c r="H34" s="166">
        <f>IF(AND(F34&lt;&gt;"",G34&lt;&gt;""),G34-F34,"")</f>
        <v/>
      </c>
      <c r="I34" s="167" t="n"/>
      <c r="J34" s="167" t="n"/>
      <c r="K34" s="168">
        <f>IF(F34="","—",IF(F34&lt;$D$16,"⛔ Bajo mínimo",IF(F34=$D$16,"✅ En mínimo","✔ Sobre mínimo")))</f>
        <v/>
      </c>
    </row>
    <row r="35" ht="30" customHeight="1" s="102">
      <c r="A35" s="104" t="n"/>
      <c r="B35" s="141" t="n">
        <v>13</v>
      </c>
      <c r="C35" s="112" t="inlineStr">
        <is>
          <t>Gestión de problemas (causa raíz)</t>
        </is>
      </c>
      <c r="D35" s="146" t="inlineStr">
        <is>
          <t>Monitor, Support &amp; Fulfill</t>
        </is>
      </c>
      <c r="E35" s="135">
        <f>IF($D$8="Mesa de Ayuda","N2 · Administrado",IF($D$8="Mesa de Soporte","N3 · Definido","—"))</f>
        <v/>
      </c>
      <c r="F35" s="164" t="n"/>
      <c r="G35" s="165" t="n"/>
      <c r="H35" s="166">
        <f>IF(AND(F35&lt;&gt;"",G35&lt;&gt;""),G35-F35,"")</f>
        <v/>
      </c>
      <c r="I35" s="167" t="n"/>
      <c r="J35" s="167" t="n"/>
      <c r="K35" s="168">
        <f>IF(F35="","—",IF(F35&lt;$D$16,"⛔ Bajo mínimo",IF(F35=$D$16,"✅ En mínimo","✔ Sobre mínimo")))</f>
        <v/>
      </c>
    </row>
    <row r="36" ht="30" customHeight="1" s="102">
      <c r="A36" s="104" t="n"/>
      <c r="B36" s="141" t="n">
        <v>14</v>
      </c>
      <c r="C36" s="112" t="inlineStr">
        <is>
          <t>Gestión del cambio (Change Enablement)</t>
        </is>
      </c>
      <c r="D36" s="146" t="inlineStr">
        <is>
          <t>ITIL Service</t>
        </is>
      </c>
      <c r="E36" s="135">
        <f>IF($D$8="Mesa de Ayuda","N2 · Administrado",IF($D$8="Mesa de Soporte","N3 · Definido","—"))</f>
        <v/>
      </c>
      <c r="F36" s="164" t="n"/>
      <c r="G36" s="165" t="n"/>
      <c r="H36" s="166">
        <f>IF(AND(F36&lt;&gt;"",G36&lt;&gt;""),G36-F36,"")</f>
        <v/>
      </c>
      <c r="I36" s="167" t="n"/>
      <c r="J36" s="167" t="n"/>
      <c r="K36" s="168">
        <f>IF(F36="","—",IF(F36&lt;$D$16,"⛔ Bajo mínimo",IF(F36=$D$16,"✅ En mínimo","✔ Sobre mínimo")))</f>
        <v/>
      </c>
    </row>
    <row r="37" ht="30" customHeight="1" s="102">
      <c r="A37" s="104" t="n"/>
      <c r="B37" s="141" t="n">
        <v>15</v>
      </c>
      <c r="C37" s="112" t="inlineStr">
        <is>
          <t>Transición y onboarding</t>
        </is>
      </c>
      <c r="D37" s="146" t="inlineStr">
        <is>
          <t>ITIL Service</t>
        </is>
      </c>
      <c r="E37" s="135">
        <f>IF($D$8="Mesa de Ayuda","N2 · Administrado",IF($D$8="Mesa de Soporte","N3 · Definido","—"))</f>
        <v/>
      </c>
      <c r="F37" s="164" t="n"/>
      <c r="G37" s="165" t="n"/>
      <c r="H37" s="166">
        <f>IF(AND(F37&lt;&gt;"",G37&lt;&gt;""),G37-F37,"")</f>
        <v/>
      </c>
      <c r="I37" s="167" t="n"/>
      <c r="J37" s="167" t="n"/>
      <c r="K37" s="168">
        <f>IF(F37="","—",IF(F37&lt;$D$16,"⛔ Bajo mínimo",IF(F37=$D$16,"✅ En mínimo","✔ Sobre mínimo")))</f>
        <v/>
      </c>
    </row>
    <row r="38" ht="30" customHeight="1" s="102">
      <c r="A38" s="104" t="n"/>
      <c r="B38" s="141" t="n">
        <v>16</v>
      </c>
      <c r="C38" s="112" t="inlineStr">
        <is>
          <t>Mejora continua del servicio</t>
        </is>
      </c>
      <c r="D38" s="146" t="inlineStr">
        <is>
          <t>Collaborate, Assure &amp; Improve</t>
        </is>
      </c>
      <c r="E38" s="135">
        <f>IF($D$8="Mesa de Ayuda","N2 · Administrado",IF($D$8="Mesa de Soporte","N3 · Definido","—"))</f>
        <v/>
      </c>
      <c r="F38" s="164" t="n"/>
      <c r="G38" s="165" t="n"/>
      <c r="H38" s="166">
        <f>IF(AND(F38&lt;&gt;"",G38&lt;&gt;""),G38-F38,"")</f>
        <v/>
      </c>
      <c r="I38" s="167" t="n"/>
      <c r="J38" s="167" t="n"/>
      <c r="K38" s="168">
        <f>IF(F38="","—",IF(F38&lt;$D$16,"⛔ Bajo mínimo",IF(F38=$D$16,"✅ En mínimo","✔ Sobre mínimo")))</f>
        <v/>
      </c>
    </row>
    <row r="39" ht="30" customHeight="1" s="102">
      <c r="A39" s="104" t="n"/>
      <c r="B39" s="141" t="n">
        <v>17</v>
      </c>
      <c r="C39" s="112" t="inlineStr">
        <is>
          <t>Experiencia del cliente (CX / NPS / CSAT / XLA)</t>
        </is>
      </c>
      <c r="D39" s="149" t="inlineStr">
        <is>
          <t>ITIL Experience</t>
        </is>
      </c>
      <c r="E39" s="135">
        <f>IF($D$8="Mesa de Ayuda","N2 · Administrado",IF($D$8="Mesa de Soporte","N3 · Definido","—"))</f>
        <v/>
      </c>
      <c r="F39" s="164" t="n"/>
      <c r="G39" s="165" t="n"/>
      <c r="H39" s="166">
        <f>IF(AND(F39&lt;&gt;"",G39&lt;&gt;""),G39-F39,"")</f>
        <v/>
      </c>
      <c r="I39" s="167" t="n"/>
      <c r="J39" s="167" t="n"/>
      <c r="K39" s="168">
        <f>IF(F39="","—",IF(F39&lt;$D$16,"⛔ Bajo mínimo",IF(F39=$D$16,"✅ En mínimo","✔ Sobre mínimo")))</f>
        <v/>
      </c>
    </row>
    <row r="40" ht="19.5" customHeight="1" s="102">
      <c r="A40" s="104" t="n"/>
      <c r="B40" s="151" t="inlineStr">
        <is>
          <t>Dimensión de Negocio · Éxito comercial y rentabilidad PS</t>
        </is>
      </c>
      <c r="C40" s="140" t="n"/>
      <c r="D40" s="140" t="n"/>
      <c r="E40" s="140" t="n"/>
      <c r="F40" s="140" t="n"/>
      <c r="G40" s="140" t="n"/>
      <c r="H40" s="140" t="n"/>
      <c r="I40" s="140" t="n"/>
      <c r="J40" s="118" t="n"/>
      <c r="K40" s="104" t="n"/>
    </row>
    <row r="41" ht="30" customHeight="1" s="102">
      <c r="A41" s="104" t="n"/>
      <c r="B41" s="141" t="n">
        <v>18</v>
      </c>
      <c r="C41" s="151" t="inlineStr">
        <is>
          <t>Salud financiera del contrato</t>
        </is>
      </c>
      <c r="D41" s="152" t="inlineStr">
        <is>
          <t>Negocio PS</t>
        </is>
      </c>
      <c r="E41" s="160">
        <f>IF($D$8="Mesa de Ayuda","N2 · Administrado",IF($D$8="Mesa de Soporte","N2 · Administrado","—"))</f>
        <v/>
      </c>
      <c r="F41" s="164" t="n"/>
      <c r="G41" s="165" t="n"/>
      <c r="H41" s="166">
        <f>IF(AND(F41&lt;&gt;"",G41&lt;&gt;""),G41-F41,"")</f>
        <v/>
      </c>
      <c r="I41" s="167" t="n"/>
      <c r="J41" s="167" t="n"/>
      <c r="K41" s="168">
        <f>IF(F41="","—",IF(F41&lt;2,"⛔ Bajo N2",IF(F41=2,"✅ En N2","✔ Sobre N2")))</f>
        <v/>
      </c>
    </row>
    <row r="42" ht="30" customHeight="1" s="102">
      <c r="A42" s="104" t="n"/>
      <c r="B42" s="141" t="n">
        <v>19</v>
      </c>
      <c r="C42" s="151" t="inlineStr">
        <is>
          <t>Retención y crecimiento de cuenta</t>
        </is>
      </c>
      <c r="D42" s="152" t="inlineStr">
        <is>
          <t>Negocio PS</t>
        </is>
      </c>
      <c r="E42" s="160">
        <f>IF($D$8="Mesa de Ayuda","N2 · Administrado",IF($D$8="Mesa de Soporte","N2 · Administrado","—"))</f>
        <v/>
      </c>
      <c r="F42" s="164" t="n"/>
      <c r="G42" s="165" t="n"/>
      <c r="H42" s="166">
        <f>IF(AND(F42&lt;&gt;"",G42&lt;&gt;""),G42-F42,"")</f>
        <v/>
      </c>
      <c r="I42" s="167" t="n"/>
      <c r="J42" s="167" t="n"/>
      <c r="K42" s="168">
        <f>IF(F42="","—",IF(F42&lt;2,"⛔ Bajo N2",IF(F42=2,"✅ En N2","✔ Sobre N2")))</f>
        <v/>
      </c>
    </row>
    <row r="43" ht="30" customHeight="1" s="102">
      <c r="A43" s="104" t="n"/>
      <c r="B43" s="141" t="n">
        <v>20</v>
      </c>
      <c r="C43" s="151" t="inlineStr">
        <is>
          <t>NPS / CSAT / XLA del cliente final</t>
        </is>
      </c>
      <c r="D43" s="152" t="inlineStr">
        <is>
          <t>Negocio PS</t>
        </is>
      </c>
      <c r="E43" s="160">
        <f>IF($D$8="Mesa de Ayuda","N2 · Administrado",IF($D$8="Mesa de Soporte","N2 · Administrado","—"))</f>
        <v/>
      </c>
      <c r="F43" s="164" t="n"/>
      <c r="G43" s="165" t="n"/>
      <c r="H43" s="166">
        <f>IF(AND(F43&lt;&gt;"",G43&lt;&gt;""),G43-F43,"")</f>
        <v/>
      </c>
      <c r="I43" s="167" t="n"/>
      <c r="J43" s="167" t="n"/>
      <c r="K43" s="168">
        <f>IF(F43="","—",IF(F43&lt;2,"⛔ Bajo N2",IF(F43=2,"✅ En N2","✔ Sobre N2")))</f>
        <v/>
      </c>
    </row>
    <row r="44" ht="30" customHeight="1" s="102">
      <c r="A44" s="104" t="n"/>
      <c r="B44" s="141" t="n">
        <v>21</v>
      </c>
      <c r="C44" s="151" t="inlineStr">
        <is>
          <t>Eficiencia de costo operativo</t>
        </is>
      </c>
      <c r="D44" s="152" t="inlineStr">
        <is>
          <t>Negocio PS</t>
        </is>
      </c>
      <c r="E44" s="160">
        <f>IF($D$8="Mesa de Ayuda","N2 · Administrado",IF($D$8="Mesa de Soporte","N2 · Administrado","—"))</f>
        <v/>
      </c>
      <c r="F44" s="164" t="n"/>
      <c r="G44" s="165" t="n"/>
      <c r="H44" s="166">
        <f>IF(AND(F44&lt;&gt;"",G44&lt;&gt;""),G44-F44,"")</f>
        <v/>
      </c>
      <c r="I44" s="167" t="n"/>
      <c r="J44" s="167" t="n"/>
      <c r="K44" s="168">
        <f>IF(F44="","—",IF(F44&lt;2,"⛔ Bajo N2",IF(F44=2,"✅ En N2","✔ Sobre N2")))</f>
        <v/>
      </c>
    </row>
  </sheetData>
  <mergeCells count="17">
    <mergeCell ref="D12:H12"/>
    <mergeCell ref="C3:J3"/>
    <mergeCell ref="D7:H7"/>
    <mergeCell ref="D8:H8"/>
    <mergeCell ref="D6:H6"/>
    <mergeCell ref="B19:J19"/>
    <mergeCell ref="D10:H10"/>
    <mergeCell ref="B22:J22"/>
    <mergeCell ref="B32:J32"/>
    <mergeCell ref="C2:J2"/>
    <mergeCell ref="D11:H11"/>
    <mergeCell ref="D13:H13"/>
    <mergeCell ref="D5:H5"/>
    <mergeCell ref="B27:J27"/>
    <mergeCell ref="D15:G15"/>
    <mergeCell ref="B40:J40"/>
    <mergeCell ref="D9:H9"/>
  </mergeCells>
  <conditionalFormatting sqref="F19:F44">
    <cfRule type="expression" rank="0" priority="2" equalAverage="0" aboveAverage="0" dxfId="0" text="" percent="0" bottom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rank="0" priority="4" equalAverage="0" operator="greaterThan" aboveAverage="0" dxfId="1" text="" percent="0" bottom="0">
      <formula>1</formula>
    </cfRule>
    <cfRule type="cellIs" rank="0" priority="5" equalAverage="0" operator="lessThan" aboveAverage="0" dxfId="0" text="" percent="0" bottom="0">
      <formula>0</formula>
    </cfRule>
  </conditionalFormatting>
  <conditionalFormatting sqref="H20:H44">
    <cfRule type="cellIs" rank="0" priority="6" equalAverage="0" operator="lessThan" aboveAverage="0" dxfId="2" text="" percent="0" bottom="0">
      <formula>0</formula>
    </cfRule>
    <cfRule type="cellIs" rank="0" priority="7" equalAverage="0" operator="equal" aboveAverage="0" dxfId="3" text="" percent="0" bottom="0">
      <formula>0</formula>
    </cfRule>
    <cfRule type="cellIs" rank="0" priority="8" equalAverage="0" operator="greaterThan" aboveAverage="0" dxfId="4" text="" percent="0" bottom="0">
      <formula>0</formula>
    </cfRule>
  </conditionalFormatting>
  <dataValidations count="1">
    <dataValidation sqref="F20:F44" showDropDown="0" showInputMessage="0" showErrorMessage="1" allowBlank="1" errorTitle="Nivel inválido" error="Ingresa 0 (N0) a 5 (N5)" type="list" errorStyle="stop" operator="between">
      <formula1>"0,1,2,3,4,5"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001F7A4D"/>
    <outlinePr summaryBelow="1" summaryRight="1"/>
    <pageSetUpPr fitToPage="0"/>
  </sheetPr>
  <dimension ref="A1:K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baseColWidth="8" defaultColWidth="8.6328125" defaultRowHeight="14.25" zeroHeight="0" outlineLevelRow="0"/>
  <cols>
    <col width="2" customWidth="1" style="101" min="1" max="1"/>
    <col width="4" customWidth="1" style="101" min="2" max="2"/>
    <col width="30" customWidth="1" style="101" min="3" max="3"/>
    <col width="20" customWidth="1" style="101" min="4" max="4"/>
    <col width="16" customWidth="1" style="101" min="5" max="5"/>
    <col width="13" customWidth="1" style="101" min="6" max="7"/>
    <col width="8" customWidth="1" style="101" min="8" max="8"/>
    <col width="40" customWidth="1" style="101" min="9" max="9"/>
    <col width="18" customWidth="1" style="101" min="10" max="10"/>
    <col width="14" customWidth="1" style="101" min="11" max="11"/>
  </cols>
  <sheetData>
    <row r="1">
      <c r="A1" s="104" t="n"/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17.25" customHeight="1" s="102">
      <c r="A2" s="104" t="n"/>
      <c r="B2" s="104" t="n"/>
      <c r="C2" s="129" t="inlineStr">
        <is>
          <t>Evaluación de Madurez · Mesa 4</t>
        </is>
      </c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3" ht="15" customHeight="1" s="102">
      <c r="A3" s="104" t="n"/>
      <c r="B3" s="104" t="n"/>
      <c r="C3" s="130" t="inlineStr">
        <is>
          <t>PersonalSoft · SURA · Modelo de Madurez v1.0 · ITIL v5</t>
        </is>
      </c>
      <c r="D3" s="104" t="n"/>
      <c r="E3" s="104" t="n"/>
      <c r="F3" s="104" t="n"/>
      <c r="G3" s="104" t="n"/>
      <c r="H3" s="104" t="n"/>
      <c r="I3" s="104" t="n"/>
      <c r="J3" s="104" t="n"/>
      <c r="K3" s="104" t="n"/>
    </row>
    <row r="4">
      <c r="A4" s="104" t="n"/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</row>
    <row r="5" ht="15" customHeight="1" s="102">
      <c r="A5" s="104" t="n"/>
      <c r="B5" s="104" t="n"/>
      <c r="C5" s="153" t="inlineStr">
        <is>
          <t>Nombre de la mesa:</t>
        </is>
      </c>
      <c r="D5" s="154" t="inlineStr">
        <is>
          <t>Mesa 4</t>
        </is>
      </c>
      <c r="E5" s="140" t="n"/>
      <c r="F5" s="140" t="n"/>
      <c r="G5" s="140" t="n"/>
      <c r="H5" s="118" t="n"/>
      <c r="I5" s="104" t="n"/>
      <c r="J5" s="104" t="n"/>
      <c r="K5" s="104" t="n"/>
    </row>
    <row r="6" ht="15" customHeight="1" s="102">
      <c r="A6" s="104" t="n"/>
      <c r="B6" s="104" t="n"/>
      <c r="C6" s="153" t="inlineStr">
        <is>
          <t>Cliente:</t>
        </is>
      </c>
      <c r="D6" s="154" t="inlineStr">
        <is>
          <t>SURA</t>
        </is>
      </c>
      <c r="E6" s="140" t="n"/>
      <c r="F6" s="140" t="n"/>
      <c r="G6" s="140" t="n"/>
      <c r="H6" s="118" t="n"/>
      <c r="I6" s="104" t="n"/>
      <c r="J6" s="104" t="n"/>
      <c r="K6" s="104" t="n"/>
    </row>
    <row r="7" ht="15" customHeight="1" s="102">
      <c r="A7" s="104" t="n"/>
      <c r="B7" s="104" t="n"/>
      <c r="C7" s="153" t="inlineStr">
        <is>
          <t>Sector:</t>
        </is>
      </c>
      <c r="D7" s="154" t="inlineStr">
        <is>
          <t>Banca/Seguros</t>
        </is>
      </c>
      <c r="E7" s="140" t="n"/>
      <c r="F7" s="140" t="n"/>
      <c r="G7" s="140" t="n"/>
      <c r="H7" s="118" t="n"/>
      <c r="I7" s="104" t="n"/>
      <c r="J7" s="104" t="n"/>
      <c r="K7" s="104" t="n"/>
    </row>
    <row r="8" ht="15" customHeight="1" s="102">
      <c r="A8" s="104" t="n"/>
      <c r="B8" s="104" t="n"/>
      <c r="C8" s="153" t="inlineStr">
        <is>
          <t>Tipo de mesa:</t>
        </is>
      </c>
      <c r="D8" s="154" t="n"/>
      <c r="E8" s="140" t="n"/>
      <c r="F8" s="140" t="n"/>
      <c r="G8" s="140" t="n"/>
      <c r="H8" s="118" t="n"/>
      <c r="I8" s="104" t="n"/>
      <c r="J8" s="104" t="n"/>
      <c r="K8" s="104" t="n"/>
    </row>
    <row r="9" ht="15" customHeight="1" s="102">
      <c r="A9" s="104" t="n"/>
      <c r="B9" s="104" t="n"/>
      <c r="C9" s="153" t="inlineStr">
        <is>
          <t>¿N0 activo?:</t>
        </is>
      </c>
      <c r="D9" s="154" t="inlineStr">
        <is>
          <t>No</t>
        </is>
      </c>
      <c r="E9" s="140" t="n"/>
      <c r="F9" s="140" t="n"/>
      <c r="G9" s="140" t="n"/>
      <c r="H9" s="118" t="n"/>
      <c r="I9" s="104" t="n"/>
      <c r="J9" s="104" t="n"/>
      <c r="K9" s="104" t="n"/>
    </row>
    <row r="10" ht="15" customHeight="1" s="102">
      <c r="A10" s="104" t="n"/>
      <c r="B10" s="104" t="n"/>
      <c r="C10" s="153" t="inlineStr">
        <is>
          <t>Evaluador:</t>
        </is>
      </c>
      <c r="D10" s="154" t="n"/>
      <c r="E10" s="140" t="n"/>
      <c r="F10" s="140" t="n"/>
      <c r="G10" s="140" t="n"/>
      <c r="H10" s="118" t="n"/>
      <c r="I10" s="104" t="n"/>
      <c r="J10" s="104" t="n"/>
      <c r="K10" s="104" t="n"/>
    </row>
    <row r="11" ht="15" customHeight="1" s="102">
      <c r="A11" s="104" t="n"/>
      <c r="B11" s="104" t="n"/>
      <c r="C11" s="153" t="inlineStr">
        <is>
          <t>Fecha de evaluación:</t>
        </is>
      </c>
      <c r="D11" s="155" t="n"/>
      <c r="E11" s="140" t="n"/>
      <c r="F11" s="140" t="n"/>
      <c r="G11" s="140" t="n"/>
      <c r="H11" s="118" t="n"/>
      <c r="I11" s="104" t="n"/>
      <c r="J11" s="104" t="n"/>
      <c r="K11" s="104" t="n"/>
    </row>
    <row r="12" ht="15" customHeight="1" s="102">
      <c r="A12" s="104" t="n"/>
      <c r="B12" s="104" t="n"/>
      <c r="C12" s="153" t="inlineStr">
        <is>
          <t>Herramienta de tickets:</t>
        </is>
      </c>
      <c r="D12" s="154" t="n"/>
      <c r="E12" s="140" t="n"/>
      <c r="F12" s="140" t="n"/>
      <c r="G12" s="140" t="n"/>
      <c r="H12" s="118" t="n"/>
      <c r="I12" s="104" t="n"/>
      <c r="J12" s="104" t="n"/>
      <c r="K12" s="104" t="n"/>
    </row>
    <row r="13" ht="15" customHeight="1" s="102">
      <c r="A13" s="104" t="n"/>
      <c r="B13" s="104" t="n"/>
      <c r="C13" s="153" t="inlineStr">
        <is>
          <t>Horario de servicio:</t>
        </is>
      </c>
      <c r="D13" s="154" t="n"/>
      <c r="E13" s="140" t="n"/>
      <c r="F13" s="140" t="n"/>
      <c r="G13" s="140" t="n"/>
      <c r="H13" s="118" t="n"/>
      <c r="I13" s="104" t="n"/>
      <c r="J13" s="104" t="n"/>
      <c r="K13" s="104" t="n"/>
    </row>
    <row r="14">
      <c r="A14" s="104" t="n"/>
      <c r="B14" s="104" t="n"/>
      <c r="C14" s="104" t="n"/>
      <c r="D14" s="104" t="n"/>
      <c r="E14" s="104" t="n"/>
      <c r="F14" s="104" t="n"/>
      <c r="G14" s="104" t="n"/>
      <c r="H14" s="104" t="n"/>
      <c r="I14" s="104" t="n"/>
      <c r="J14" s="104" t="n"/>
      <c r="K14" s="104" t="n"/>
    </row>
    <row r="15" ht="15.75" customHeight="1" s="102">
      <c r="A15" s="104" t="n"/>
      <c r="B15" s="104" t="n"/>
      <c r="C15" s="156" t="inlineStr">
        <is>
          <t>Nivel mínimo esperado:</t>
        </is>
      </c>
      <c r="D15" s="157">
        <f>IF(D8="Mesa de Ayuda","N2 · Administrado",IF(D8="Mesa de Soporte","N3 · Definido","— Seleccionar tipo"))</f>
        <v/>
      </c>
      <c r="E15" s="140" t="n"/>
      <c r="F15" s="140" t="n"/>
      <c r="G15" s="118" t="n"/>
      <c r="H15" s="104" t="n"/>
      <c r="I15" s="156" t="inlineStr">
        <is>
          <t>Nivel global operativo (promedio):</t>
        </is>
      </c>
      <c r="J15" s="158">
        <f>IFERROR(AVERAGEIF(F20:F39,"&lt;&gt;"),"")</f>
        <v/>
      </c>
      <c r="K15" s="104" t="n"/>
    </row>
    <row r="16" ht="15" customHeight="1" s="102">
      <c r="A16" s="104" t="n"/>
      <c r="B16" s="104" t="n"/>
      <c r="C16" s="159" t="inlineStr">
        <is>
          <t>Nivel mínimo (número):</t>
        </is>
      </c>
      <c r="D16" s="160">
        <f>IF(D8="Mesa de Ayuda",2,IF(D8="Mesa de Soporte",3,0))</f>
        <v/>
      </c>
      <c r="E16" s="104" t="n"/>
      <c r="F16" s="104" t="n"/>
      <c r="G16" s="104" t="n"/>
      <c r="H16" s="104" t="n"/>
      <c r="I16" s="104" t="n"/>
      <c r="J16" s="104" t="n"/>
      <c r="K16" s="104" t="n"/>
    </row>
    <row r="17">
      <c r="A17" s="104" t="n"/>
      <c r="B17" s="104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</row>
    <row r="18" ht="42" customHeight="1" s="102">
      <c r="A18" s="104" t="n"/>
      <c r="B18" s="134" t="inlineStr">
        <is>
          <t>#</t>
        </is>
      </c>
      <c r="C18" s="134" t="inlineStr">
        <is>
          <t>Práctica</t>
        </is>
      </c>
      <c r="D18" s="134" t="inlineStr">
        <is>
          <t>Origen</t>
        </is>
      </c>
      <c r="E18" s="134" t="inlineStr">
        <is>
          <t>Nivel mínimo
esperado</t>
        </is>
      </c>
      <c r="F18" s="161" t="inlineStr">
        <is>
          <t>Nivel actual
(0=N0 · 5=N5)
▼ dropdown</t>
        </is>
      </c>
      <c r="G18" s="134" t="inlineStr">
        <is>
          <t>Nivel objetivo
(N0–N5)</t>
        </is>
      </c>
      <c r="H18" s="162" t="inlineStr">
        <is>
          <t>Brecha</t>
        </is>
      </c>
      <c r="I18" s="134" t="inlineStr">
        <is>
          <t>Evidencia / observación</t>
        </is>
      </c>
      <c r="J18" s="134" t="inlineStr">
        <is>
          <t>Herramienta / Nota</t>
        </is>
      </c>
      <c r="K18" s="163" t="inlineStr">
        <is>
          <t>¿Bajo mínimo?</t>
        </is>
      </c>
    </row>
    <row r="19" ht="19.5" customHeight="1" s="102">
      <c r="A19" s="104" t="n"/>
      <c r="B19" s="112" t="inlineStr">
        <is>
          <t>D1 · Organizaciones y Personas</t>
        </is>
      </c>
      <c r="C19" s="140" t="n"/>
      <c r="D19" s="140" t="n"/>
      <c r="E19" s="140" t="n"/>
      <c r="F19" s="140" t="n"/>
      <c r="G19" s="140" t="n"/>
      <c r="H19" s="140" t="n"/>
      <c r="I19" s="140" t="n"/>
      <c r="J19" s="118" t="n"/>
      <c r="K19" s="104" t="n"/>
    </row>
    <row r="20" ht="30" customHeight="1" s="102">
      <c r="A20" s="104" t="n"/>
      <c r="B20" s="141" t="n">
        <v>1</v>
      </c>
      <c r="C20" s="112" t="inlineStr">
        <is>
          <t>Gobierno de roles (RACI)</t>
        </is>
      </c>
      <c r="D20" s="142" t="inlineStr">
        <is>
          <t>Feedback operativo</t>
        </is>
      </c>
      <c r="E20" s="135">
        <f>IF($D$8="Mesa de Ayuda","N2 · Administrado",IF($D$8="Mesa de Soporte","N3 · Definido","—"))</f>
        <v/>
      </c>
      <c r="F20" s="164" t="n"/>
      <c r="G20" s="165" t="n"/>
      <c r="H20" s="166">
        <f>IF(AND(F20&lt;&gt;"",G20&lt;&gt;""),G20-F20,"")</f>
        <v/>
      </c>
      <c r="I20" s="167" t="n"/>
      <c r="J20" s="167" t="n"/>
      <c r="K20" s="168">
        <f>IF(F20="","—",IF(F20&lt;$D$16,"⛔ Bajo mínimo",IF(F20=$D$16,"✅ En mínimo","✔ Sobre mínimo")))</f>
        <v/>
      </c>
    </row>
    <row r="21" ht="30" customHeight="1" s="102">
      <c r="A21" s="104" t="n"/>
      <c r="B21" s="141" t="n">
        <v>2</v>
      </c>
      <c r="C21" s="112" t="inlineStr">
        <is>
          <t>Capacidad y dimensionamiento del equipo</t>
        </is>
      </c>
      <c r="D21" s="144" t="inlineStr">
        <is>
          <t>ITIL Foundation</t>
        </is>
      </c>
      <c r="E21" s="135">
        <f>IF($D$8="Mesa de Ayuda","N2 · Administrado",IF($D$8="Mesa de Soporte","N3 · Definido","—"))</f>
        <v/>
      </c>
      <c r="F21" s="164" t="n"/>
      <c r="G21" s="165" t="n"/>
      <c r="H21" s="166">
        <f>IF(AND(F21&lt;&gt;"",G21&lt;&gt;""),G21-F21,"")</f>
        <v/>
      </c>
      <c r="I21" s="167" t="n"/>
      <c r="J21" s="167" t="n"/>
      <c r="K21" s="168">
        <f>IF(F21="","—",IF(F21&lt;$D$16,"⛔ Bajo mínimo",IF(F21=$D$16,"✅ En mínimo","✔ Sobre mínimo")))</f>
        <v/>
      </c>
    </row>
    <row r="22" ht="19.5" customHeight="1" s="102">
      <c r="A22" s="104" t="n"/>
      <c r="B22" s="125" t="inlineStr">
        <is>
          <t>D2 · Información y Tecnología</t>
        </is>
      </c>
      <c r="C22" s="140" t="n"/>
      <c r="D22" s="140" t="n"/>
      <c r="E22" s="140" t="n"/>
      <c r="F22" s="140" t="n"/>
      <c r="G22" s="140" t="n"/>
      <c r="H22" s="140" t="n"/>
      <c r="I22" s="140" t="n"/>
      <c r="J22" s="118" t="n"/>
      <c r="K22" s="104" t="n"/>
    </row>
    <row r="23" ht="30" customHeight="1" s="102">
      <c r="A23" s="104" t="n"/>
      <c r="B23" s="141" t="n">
        <v>3</v>
      </c>
      <c r="C23" s="125" t="inlineStr">
        <is>
          <t>Herramientas y automatización</t>
        </is>
      </c>
      <c r="D23" s="144" t="inlineStr">
        <is>
          <t>ITIL Foundation</t>
        </is>
      </c>
      <c r="E23" s="135">
        <f>IF($D$8="Mesa de Ayuda","N2 · Administrado",IF($D$8="Mesa de Soporte","N3 · Definido","—"))</f>
        <v/>
      </c>
      <c r="F23" s="164" t="n"/>
      <c r="G23" s="165" t="n"/>
      <c r="H23" s="166">
        <f>IF(AND(F23&lt;&gt;"",G23&lt;&gt;""),G23-F23,"")</f>
        <v/>
      </c>
      <c r="I23" s="167" t="n"/>
      <c r="J23" s="167" t="n"/>
      <c r="K23" s="168">
        <f>IF(F23="","—",IF(F23&lt;$D$16,"⛔ Bajo mínimo",IF(F23=$D$16,"✅ En mínimo","✔ Sobre mínimo")))</f>
        <v/>
      </c>
    </row>
    <row r="24" ht="30" customHeight="1" s="102">
      <c r="A24" s="104" t="n"/>
      <c r="B24" s="141" t="n">
        <v>4</v>
      </c>
      <c r="C24" s="125" t="inlineStr">
        <is>
          <t>Gestión del conocimiento (KEDB)</t>
        </is>
      </c>
      <c r="D24" s="146" t="inlineStr">
        <is>
          <t>Monitor, Support &amp; Fulfill</t>
        </is>
      </c>
      <c r="E24" s="135">
        <f>IF($D$8="Mesa de Ayuda","N2 · Administrado",IF($D$8="Mesa de Soporte","N3 · Definido","—"))</f>
        <v/>
      </c>
      <c r="F24" s="164" t="n"/>
      <c r="G24" s="165" t="n"/>
      <c r="H24" s="166">
        <f>IF(AND(F24&lt;&gt;"",G24&lt;&gt;""),G24-F24,"")</f>
        <v/>
      </c>
      <c r="I24" s="167" t="n"/>
      <c r="J24" s="167" t="n"/>
      <c r="K24" s="168">
        <f>IF(F24="","—",IF(F24&lt;$D$16,"⛔ Bajo mínimo",IF(F24=$D$16,"✅ En mínimo","✔ Sobre mínimo")))</f>
        <v/>
      </c>
    </row>
    <row r="25" ht="30" customHeight="1" s="102">
      <c r="A25" s="104" t="n"/>
      <c r="B25" s="141" t="n">
        <v>5</v>
      </c>
      <c r="C25" s="125" t="inlineStr">
        <is>
          <t>Gestión de integraciones y entorno de aplicaciones</t>
        </is>
      </c>
      <c r="D25" s="142" t="inlineStr">
        <is>
          <t>Feedback operativo</t>
        </is>
      </c>
      <c r="E25" s="135">
        <f>IF($D$8="Mesa de Ayuda","N2 · Administrado",IF($D$8="Mesa de Soporte","N3 · Definido","—"))</f>
        <v/>
      </c>
      <c r="F25" s="164" t="n"/>
      <c r="G25" s="165" t="n"/>
      <c r="H25" s="166">
        <f>IF(AND(F25&lt;&gt;"",G25&lt;&gt;""),G25-F25,"")</f>
        <v/>
      </c>
      <c r="I25" s="167" t="n"/>
      <c r="J25" s="167" t="n"/>
      <c r="K25" s="168">
        <f>IF(F25="","—",IF(F25&lt;$D$16,"⛔ Bajo mínimo",IF(F25=$D$16,"✅ En mínimo","✔ Sobre mínimo")))</f>
        <v/>
      </c>
    </row>
    <row r="26" ht="30" customHeight="1" s="102">
      <c r="A26" s="104" t="n"/>
      <c r="B26" s="141" t="n">
        <v>6</v>
      </c>
      <c r="C26" s="125" t="inlineStr">
        <is>
          <t>Monitoreo y gestión de eventos</t>
        </is>
      </c>
      <c r="D26" s="146" t="inlineStr">
        <is>
          <t>Monitor, Support &amp; Fulfill</t>
        </is>
      </c>
      <c r="E26" s="135">
        <f>IF($D$8="Mesa de Ayuda","N2 · Administrado",IF($D$8="Mesa de Soporte","N3 · Definido","—"))</f>
        <v/>
      </c>
      <c r="F26" s="164" t="n"/>
      <c r="G26" s="165" t="n"/>
      <c r="H26" s="166">
        <f>IF(AND(F26&lt;&gt;"",G26&lt;&gt;""),G26-F26,"")</f>
        <v/>
      </c>
      <c r="I26" s="167" t="n"/>
      <c r="J26" s="167" t="n"/>
      <c r="K26" s="168">
        <f>IF(F26="","—",IF(F26&lt;$D$16,"⛔ Bajo mínimo",IF(F26=$D$16,"✅ En mínimo","✔ Sobre mínimo")))</f>
        <v/>
      </c>
    </row>
    <row r="27" ht="19.5" customHeight="1" s="102">
      <c r="A27" s="104" t="n"/>
      <c r="B27" s="148" t="inlineStr">
        <is>
          <t>D3 · Socios y Proveedores</t>
        </is>
      </c>
      <c r="C27" s="140" t="n"/>
      <c r="D27" s="140" t="n"/>
      <c r="E27" s="140" t="n"/>
      <c r="F27" s="140" t="n"/>
      <c r="G27" s="140" t="n"/>
      <c r="H27" s="140" t="n"/>
      <c r="I27" s="140" t="n"/>
      <c r="J27" s="118" t="n"/>
      <c r="K27" s="104" t="n"/>
    </row>
    <row r="28" ht="30" customHeight="1" s="102">
      <c r="A28" s="104" t="n"/>
      <c r="B28" s="141" t="n">
        <v>7</v>
      </c>
      <c r="C28" s="148" t="inlineStr">
        <is>
          <t>Service Desk — punto único de contacto</t>
        </is>
      </c>
      <c r="D28" s="146" t="inlineStr">
        <is>
          <t>Monitor, Support &amp; Fulfill</t>
        </is>
      </c>
      <c r="E28" s="135">
        <f>IF($D$8="Mesa de Ayuda","N2 · Administrado",IF($D$8="Mesa de Soporte","N3 · Definido","—"))</f>
        <v/>
      </c>
      <c r="F28" s="164" t="n"/>
      <c r="G28" s="165" t="n"/>
      <c r="H28" s="166">
        <f>IF(AND(F28&lt;&gt;"",G28&lt;&gt;""),G28-F28,"")</f>
        <v/>
      </c>
      <c r="I28" s="167" t="n"/>
      <c r="J28" s="167" t="n"/>
      <c r="K28" s="168">
        <f>IF(F28="","—",IF(F28&lt;$D$16,"⛔ Bajo mínimo",IF(F28=$D$16,"✅ En mínimo","✔ Sobre mínimo")))</f>
        <v/>
      </c>
    </row>
    <row r="29" ht="30" customHeight="1" s="102">
      <c r="A29" s="104" t="n"/>
      <c r="B29" s="141" t="n">
        <v>8</v>
      </c>
      <c r="C29" s="148" t="inlineStr">
        <is>
          <t>Catálogo de servicios y límites del alcance</t>
        </is>
      </c>
      <c r="D29" s="146" t="inlineStr">
        <is>
          <t>ITIL Service</t>
        </is>
      </c>
      <c r="E29" s="135">
        <f>IF($D$8="Mesa de Ayuda","N2 · Administrado",IF($D$8="Mesa de Soporte","N3 · Definido","—"))</f>
        <v/>
      </c>
      <c r="F29" s="164" t="n"/>
      <c r="G29" s="165" t="n"/>
      <c r="H29" s="166">
        <f>IF(AND(F29&lt;&gt;"",G29&lt;&gt;""),G29-F29,"")</f>
        <v/>
      </c>
      <c r="I29" s="167" t="n"/>
      <c r="J29" s="167" t="n"/>
      <c r="K29" s="168">
        <f>IF(F29="","—",IF(F29&lt;$D$16,"⛔ Bajo mínimo",IF(F29=$D$16,"✅ En mínimo","✔ Sobre mínimo")))</f>
        <v/>
      </c>
    </row>
    <row r="30" ht="30" customHeight="1" s="102">
      <c r="A30" s="104" t="n"/>
      <c r="B30" s="141" t="n">
        <v>9</v>
      </c>
      <c r="C30" s="148" t="inlineStr">
        <is>
          <t>SLA / ANS + XLA por prioridad</t>
        </is>
      </c>
      <c r="D30" s="146" t="inlineStr">
        <is>
          <t>ITIL Service</t>
        </is>
      </c>
      <c r="E30" s="135">
        <f>IF($D$8="Mesa de Ayuda","N2 · Administrado",IF($D$8="Mesa de Soporte","N3 · Definido","—"))</f>
        <v/>
      </c>
      <c r="F30" s="164" t="n"/>
      <c r="G30" s="165" t="n"/>
      <c r="H30" s="166">
        <f>IF(AND(F30&lt;&gt;"",G30&lt;&gt;""),G30-F30,"")</f>
        <v/>
      </c>
      <c r="I30" s="167" t="n"/>
      <c r="J30" s="167" t="n"/>
      <c r="K30" s="168">
        <f>IF(F30="","—",IF(F30&lt;$D$16,"⛔ Bajo mínimo",IF(F30=$D$16,"✅ En mínimo","✔ Sobre mínimo")))</f>
        <v/>
      </c>
    </row>
    <row r="31" ht="30" customHeight="1" s="102">
      <c r="A31" s="104" t="n"/>
      <c r="B31" s="141" t="n">
        <v>10</v>
      </c>
      <c r="C31" s="148" t="inlineStr">
        <is>
          <t>Disponibilidad y cobertura horaria</t>
        </is>
      </c>
      <c r="D31" s="142" t="inlineStr">
        <is>
          <t>Feedback operativo</t>
        </is>
      </c>
      <c r="E31" s="135">
        <f>IF($D$8="Mesa de Ayuda","N2 · Administrado",IF($D$8="Mesa de Soporte","N3 · Definido","—"))</f>
        <v/>
      </c>
      <c r="F31" s="164" t="n"/>
      <c r="G31" s="165" t="n"/>
      <c r="H31" s="166">
        <f>IF(AND(F31&lt;&gt;"",G31&lt;&gt;""),G31-F31,"")</f>
        <v/>
      </c>
      <c r="I31" s="167" t="n"/>
      <c r="J31" s="167" t="n"/>
      <c r="K31" s="168">
        <f>IF(F31="","—",IF(F31&lt;$D$16,"⛔ Bajo mínimo",IF(F31=$D$16,"✅ En mínimo","✔ Sobre mínimo")))</f>
        <v/>
      </c>
    </row>
    <row r="32" ht="19.5" customHeight="1" s="102">
      <c r="A32" s="104" t="n"/>
      <c r="B32" s="112" t="inlineStr">
        <is>
          <t>D4 · Flujos de Valor y Procesos</t>
        </is>
      </c>
      <c r="C32" s="140" t="n"/>
      <c r="D32" s="140" t="n"/>
      <c r="E32" s="140" t="n"/>
      <c r="F32" s="140" t="n"/>
      <c r="G32" s="140" t="n"/>
      <c r="H32" s="140" t="n"/>
      <c r="I32" s="140" t="n"/>
      <c r="J32" s="118" t="n"/>
      <c r="K32" s="104" t="n"/>
    </row>
    <row r="33" ht="30" customHeight="1" s="102">
      <c r="A33" s="104" t="n"/>
      <c r="B33" s="141" t="n">
        <v>11</v>
      </c>
      <c r="C33" s="112" t="inlineStr">
        <is>
          <t>Gestión de incidentes</t>
        </is>
      </c>
      <c r="D33" s="146" t="inlineStr">
        <is>
          <t>Monitor, Support &amp; Fulfill</t>
        </is>
      </c>
      <c r="E33" s="135">
        <f>IF($D$8="Mesa de Ayuda","N2 · Administrado",IF($D$8="Mesa de Soporte","N3 · Definido","—"))</f>
        <v/>
      </c>
      <c r="F33" s="164" t="n"/>
      <c r="G33" s="165" t="n"/>
      <c r="H33" s="166">
        <f>IF(AND(F33&lt;&gt;"",G33&lt;&gt;""),G33-F33,"")</f>
        <v/>
      </c>
      <c r="I33" s="167" t="n"/>
      <c r="J33" s="167" t="n"/>
      <c r="K33" s="168">
        <f>IF(F33="","—",IF(F33&lt;$D$16,"⛔ Bajo mínimo",IF(F33=$D$16,"✅ En mínimo","✔ Sobre mínimo")))</f>
        <v/>
      </c>
    </row>
    <row r="34" ht="30" customHeight="1" s="102">
      <c r="A34" s="104" t="n"/>
      <c r="B34" s="141" t="n">
        <v>12</v>
      </c>
      <c r="C34" s="112" t="inlineStr">
        <is>
          <t>Gestión de solicitudes</t>
        </is>
      </c>
      <c r="D34" s="146" t="inlineStr">
        <is>
          <t>Monitor, Support &amp; Fulfill</t>
        </is>
      </c>
      <c r="E34" s="135">
        <f>IF($D$8="Mesa de Ayuda","N2 · Administrado",IF($D$8="Mesa de Soporte","N3 · Definido","—"))</f>
        <v/>
      </c>
      <c r="F34" s="164" t="n"/>
      <c r="G34" s="165" t="n"/>
      <c r="H34" s="166">
        <f>IF(AND(F34&lt;&gt;"",G34&lt;&gt;""),G34-F34,"")</f>
        <v/>
      </c>
      <c r="I34" s="167" t="n"/>
      <c r="J34" s="167" t="n"/>
      <c r="K34" s="168">
        <f>IF(F34="","—",IF(F34&lt;$D$16,"⛔ Bajo mínimo",IF(F34=$D$16,"✅ En mínimo","✔ Sobre mínimo")))</f>
        <v/>
      </c>
    </row>
    <row r="35" ht="30" customHeight="1" s="102">
      <c r="A35" s="104" t="n"/>
      <c r="B35" s="141" t="n">
        <v>13</v>
      </c>
      <c r="C35" s="112" t="inlineStr">
        <is>
          <t>Gestión de problemas (causa raíz)</t>
        </is>
      </c>
      <c r="D35" s="146" t="inlineStr">
        <is>
          <t>Monitor, Support &amp; Fulfill</t>
        </is>
      </c>
      <c r="E35" s="135">
        <f>IF($D$8="Mesa de Ayuda","N2 · Administrado",IF($D$8="Mesa de Soporte","N3 · Definido","—"))</f>
        <v/>
      </c>
      <c r="F35" s="164" t="n"/>
      <c r="G35" s="165" t="n"/>
      <c r="H35" s="166">
        <f>IF(AND(F35&lt;&gt;"",G35&lt;&gt;""),G35-F35,"")</f>
        <v/>
      </c>
      <c r="I35" s="167" t="n"/>
      <c r="J35" s="167" t="n"/>
      <c r="K35" s="168">
        <f>IF(F35="","—",IF(F35&lt;$D$16,"⛔ Bajo mínimo",IF(F35=$D$16,"✅ En mínimo","✔ Sobre mínimo")))</f>
        <v/>
      </c>
    </row>
    <row r="36" ht="30" customHeight="1" s="102">
      <c r="A36" s="104" t="n"/>
      <c r="B36" s="141" t="n">
        <v>14</v>
      </c>
      <c r="C36" s="112" t="inlineStr">
        <is>
          <t>Gestión del cambio (Change Enablement)</t>
        </is>
      </c>
      <c r="D36" s="146" t="inlineStr">
        <is>
          <t>ITIL Service</t>
        </is>
      </c>
      <c r="E36" s="135">
        <f>IF($D$8="Mesa de Ayuda","N2 · Administrado",IF($D$8="Mesa de Soporte","N3 · Definido","—"))</f>
        <v/>
      </c>
      <c r="F36" s="164" t="n"/>
      <c r="G36" s="165" t="n"/>
      <c r="H36" s="166">
        <f>IF(AND(F36&lt;&gt;"",G36&lt;&gt;""),G36-F36,"")</f>
        <v/>
      </c>
      <c r="I36" s="167" t="n"/>
      <c r="J36" s="167" t="n"/>
      <c r="K36" s="168">
        <f>IF(F36="","—",IF(F36&lt;$D$16,"⛔ Bajo mínimo",IF(F36=$D$16,"✅ En mínimo","✔ Sobre mínimo")))</f>
        <v/>
      </c>
    </row>
    <row r="37" ht="30" customHeight="1" s="102">
      <c r="A37" s="104" t="n"/>
      <c r="B37" s="141" t="n">
        <v>15</v>
      </c>
      <c r="C37" s="112" t="inlineStr">
        <is>
          <t>Transición y onboarding</t>
        </is>
      </c>
      <c r="D37" s="146" t="inlineStr">
        <is>
          <t>ITIL Service</t>
        </is>
      </c>
      <c r="E37" s="135">
        <f>IF($D$8="Mesa de Ayuda","N2 · Administrado",IF($D$8="Mesa de Soporte","N3 · Definido","—"))</f>
        <v/>
      </c>
      <c r="F37" s="164" t="n"/>
      <c r="G37" s="165" t="n"/>
      <c r="H37" s="166">
        <f>IF(AND(F37&lt;&gt;"",G37&lt;&gt;""),G37-F37,"")</f>
        <v/>
      </c>
      <c r="I37" s="167" t="n"/>
      <c r="J37" s="167" t="n"/>
      <c r="K37" s="168">
        <f>IF(F37="","—",IF(F37&lt;$D$16,"⛔ Bajo mínimo",IF(F37=$D$16,"✅ En mínimo","✔ Sobre mínimo")))</f>
        <v/>
      </c>
    </row>
    <row r="38" ht="30" customHeight="1" s="102">
      <c r="A38" s="104" t="n"/>
      <c r="B38" s="141" t="n">
        <v>16</v>
      </c>
      <c r="C38" s="112" t="inlineStr">
        <is>
          <t>Mejora continua del servicio</t>
        </is>
      </c>
      <c r="D38" s="146" t="inlineStr">
        <is>
          <t>Collaborate, Assure &amp; Improve</t>
        </is>
      </c>
      <c r="E38" s="135">
        <f>IF($D$8="Mesa de Ayuda","N2 · Administrado",IF($D$8="Mesa de Soporte","N3 · Definido","—"))</f>
        <v/>
      </c>
      <c r="F38" s="164" t="n"/>
      <c r="G38" s="165" t="n"/>
      <c r="H38" s="166">
        <f>IF(AND(F38&lt;&gt;"",G38&lt;&gt;""),G38-F38,"")</f>
        <v/>
      </c>
      <c r="I38" s="167" t="n"/>
      <c r="J38" s="167" t="n"/>
      <c r="K38" s="168">
        <f>IF(F38="","—",IF(F38&lt;$D$16,"⛔ Bajo mínimo",IF(F38=$D$16,"✅ En mínimo","✔ Sobre mínimo")))</f>
        <v/>
      </c>
    </row>
    <row r="39" ht="30" customHeight="1" s="102">
      <c r="A39" s="104" t="n"/>
      <c r="B39" s="141" t="n">
        <v>17</v>
      </c>
      <c r="C39" s="112" t="inlineStr">
        <is>
          <t>Experiencia del cliente (CX / NPS / CSAT / XLA)</t>
        </is>
      </c>
      <c r="D39" s="149" t="inlineStr">
        <is>
          <t>ITIL Experience</t>
        </is>
      </c>
      <c r="E39" s="135">
        <f>IF($D$8="Mesa de Ayuda","N2 · Administrado",IF($D$8="Mesa de Soporte","N3 · Definido","—"))</f>
        <v/>
      </c>
      <c r="F39" s="164" t="n"/>
      <c r="G39" s="165" t="n"/>
      <c r="H39" s="166">
        <f>IF(AND(F39&lt;&gt;"",G39&lt;&gt;""),G39-F39,"")</f>
        <v/>
      </c>
      <c r="I39" s="167" t="n"/>
      <c r="J39" s="167" t="n"/>
      <c r="K39" s="168">
        <f>IF(F39="","—",IF(F39&lt;$D$16,"⛔ Bajo mínimo",IF(F39=$D$16,"✅ En mínimo","✔ Sobre mínimo")))</f>
        <v/>
      </c>
    </row>
    <row r="40" ht="19.5" customHeight="1" s="102">
      <c r="A40" s="104" t="n"/>
      <c r="B40" s="151" t="inlineStr">
        <is>
          <t>Dimensión de Negocio · Éxito comercial y rentabilidad PS</t>
        </is>
      </c>
      <c r="C40" s="140" t="n"/>
      <c r="D40" s="140" t="n"/>
      <c r="E40" s="140" t="n"/>
      <c r="F40" s="140" t="n"/>
      <c r="G40" s="140" t="n"/>
      <c r="H40" s="140" t="n"/>
      <c r="I40" s="140" t="n"/>
      <c r="J40" s="118" t="n"/>
      <c r="K40" s="104" t="n"/>
    </row>
    <row r="41" ht="30" customHeight="1" s="102">
      <c r="A41" s="104" t="n"/>
      <c r="B41" s="141" t="n">
        <v>18</v>
      </c>
      <c r="C41" s="151" t="inlineStr">
        <is>
          <t>Salud financiera del contrato</t>
        </is>
      </c>
      <c r="D41" s="152" t="inlineStr">
        <is>
          <t>Negocio PS</t>
        </is>
      </c>
      <c r="E41" s="160">
        <f>IF($D$8="Mesa de Ayuda","N2 · Administrado",IF($D$8="Mesa de Soporte","N2 · Administrado","—"))</f>
        <v/>
      </c>
      <c r="F41" s="164" t="n"/>
      <c r="G41" s="165" t="n"/>
      <c r="H41" s="166">
        <f>IF(AND(F41&lt;&gt;"",G41&lt;&gt;""),G41-F41,"")</f>
        <v/>
      </c>
      <c r="I41" s="167" t="n"/>
      <c r="J41" s="167" t="n"/>
      <c r="K41" s="168">
        <f>IF(F41="","—",IF(F41&lt;2,"⛔ Bajo N2",IF(F41=2,"✅ En N2","✔ Sobre N2")))</f>
        <v/>
      </c>
    </row>
    <row r="42" ht="30" customHeight="1" s="102">
      <c r="A42" s="104" t="n"/>
      <c r="B42" s="141" t="n">
        <v>19</v>
      </c>
      <c r="C42" s="151" t="inlineStr">
        <is>
          <t>Retención y crecimiento de cuenta</t>
        </is>
      </c>
      <c r="D42" s="152" t="inlineStr">
        <is>
          <t>Negocio PS</t>
        </is>
      </c>
      <c r="E42" s="160">
        <f>IF($D$8="Mesa de Ayuda","N2 · Administrado",IF($D$8="Mesa de Soporte","N2 · Administrado","—"))</f>
        <v/>
      </c>
      <c r="F42" s="164" t="n"/>
      <c r="G42" s="165" t="n"/>
      <c r="H42" s="166">
        <f>IF(AND(F42&lt;&gt;"",G42&lt;&gt;""),G42-F42,"")</f>
        <v/>
      </c>
      <c r="I42" s="167" t="n"/>
      <c r="J42" s="167" t="n"/>
      <c r="K42" s="168">
        <f>IF(F42="","—",IF(F42&lt;2,"⛔ Bajo N2",IF(F42=2,"✅ En N2","✔ Sobre N2")))</f>
        <v/>
      </c>
    </row>
    <row r="43" ht="30" customHeight="1" s="102">
      <c r="A43" s="104" t="n"/>
      <c r="B43" s="141" t="n">
        <v>20</v>
      </c>
      <c r="C43" s="151" t="inlineStr">
        <is>
          <t>NPS / CSAT / XLA del cliente final</t>
        </is>
      </c>
      <c r="D43" s="152" t="inlineStr">
        <is>
          <t>Negocio PS</t>
        </is>
      </c>
      <c r="E43" s="160">
        <f>IF($D$8="Mesa de Ayuda","N2 · Administrado",IF($D$8="Mesa de Soporte","N2 · Administrado","—"))</f>
        <v/>
      </c>
      <c r="F43" s="164" t="n"/>
      <c r="G43" s="165" t="n"/>
      <c r="H43" s="166">
        <f>IF(AND(F43&lt;&gt;"",G43&lt;&gt;""),G43-F43,"")</f>
        <v/>
      </c>
      <c r="I43" s="167" t="n"/>
      <c r="J43" s="167" t="n"/>
      <c r="K43" s="168">
        <f>IF(F43="","—",IF(F43&lt;2,"⛔ Bajo N2",IF(F43=2,"✅ En N2","✔ Sobre N2")))</f>
        <v/>
      </c>
    </row>
    <row r="44" ht="30" customHeight="1" s="102">
      <c r="A44" s="104" t="n"/>
      <c r="B44" s="141" t="n">
        <v>21</v>
      </c>
      <c r="C44" s="151" t="inlineStr">
        <is>
          <t>Eficiencia de costo operativo</t>
        </is>
      </c>
      <c r="D44" s="152" t="inlineStr">
        <is>
          <t>Negocio PS</t>
        </is>
      </c>
      <c r="E44" s="160">
        <f>IF($D$8="Mesa de Ayuda","N2 · Administrado",IF($D$8="Mesa de Soporte","N2 · Administrado","—"))</f>
        <v/>
      </c>
      <c r="F44" s="164" t="n"/>
      <c r="G44" s="165" t="n"/>
      <c r="H44" s="166">
        <f>IF(AND(F44&lt;&gt;"",G44&lt;&gt;""),G44-F44,"")</f>
        <v/>
      </c>
      <c r="I44" s="167" t="n"/>
      <c r="J44" s="167" t="n"/>
      <c r="K44" s="168">
        <f>IF(F44="","—",IF(F44&lt;2,"⛔ Bajo N2",IF(F44=2,"✅ En N2","✔ Sobre N2")))</f>
        <v/>
      </c>
    </row>
  </sheetData>
  <mergeCells count="17">
    <mergeCell ref="D12:H12"/>
    <mergeCell ref="C3:J3"/>
    <mergeCell ref="D7:H7"/>
    <mergeCell ref="D8:H8"/>
    <mergeCell ref="D6:H6"/>
    <mergeCell ref="B19:J19"/>
    <mergeCell ref="D10:H10"/>
    <mergeCell ref="B22:J22"/>
    <mergeCell ref="B32:J32"/>
    <mergeCell ref="C2:J2"/>
    <mergeCell ref="D11:H11"/>
    <mergeCell ref="D13:H13"/>
    <mergeCell ref="D5:H5"/>
    <mergeCell ref="B27:J27"/>
    <mergeCell ref="D15:G15"/>
    <mergeCell ref="B40:J40"/>
    <mergeCell ref="D9:H9"/>
  </mergeCells>
  <conditionalFormatting sqref="F19:F44">
    <cfRule type="expression" rank="0" priority="2" equalAverage="0" aboveAverage="0" dxfId="0" text="" percent="0" bottom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rank="0" priority="4" equalAverage="0" operator="greaterThan" aboveAverage="0" dxfId="1" text="" percent="0" bottom="0">
      <formula>1</formula>
    </cfRule>
    <cfRule type="cellIs" rank="0" priority="5" equalAverage="0" operator="lessThan" aboveAverage="0" dxfId="0" text="" percent="0" bottom="0">
      <formula>0</formula>
    </cfRule>
  </conditionalFormatting>
  <conditionalFormatting sqref="H20:H44">
    <cfRule type="cellIs" rank="0" priority="6" equalAverage="0" operator="lessThan" aboveAverage="0" dxfId="2" text="" percent="0" bottom="0">
      <formula>0</formula>
    </cfRule>
    <cfRule type="cellIs" rank="0" priority="7" equalAverage="0" operator="equal" aboveAverage="0" dxfId="3" text="" percent="0" bottom="0">
      <formula>0</formula>
    </cfRule>
    <cfRule type="cellIs" rank="0" priority="8" equalAverage="0" operator="greaterThan" aboveAverage="0" dxfId="4" text="" percent="0" bottom="0">
      <formula>0</formula>
    </cfRule>
  </conditionalFormatting>
  <dataValidations count="1">
    <dataValidation sqref="F20:F44" showDropDown="0" showInputMessage="0" showErrorMessage="1" allowBlank="1" errorTitle="Nivel inválido" error="Ingresa 0 (N0) a 5 (N5)" type="list" errorStyle="stop" operator="between">
      <formula1>"0,1,2,3,4,5"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000072BC"/>
    <outlinePr summaryBelow="1" summaryRight="1"/>
    <pageSetUpPr fitToPage="0"/>
  </sheetPr>
  <dimension ref="A1:K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baseColWidth="8" defaultColWidth="8.6328125" defaultRowHeight="14.25" zeroHeight="0" outlineLevelRow="0"/>
  <cols>
    <col width="2" customWidth="1" style="101" min="1" max="1"/>
    <col width="4" customWidth="1" style="101" min="2" max="2"/>
    <col width="30" customWidth="1" style="101" min="3" max="3"/>
    <col width="20" customWidth="1" style="101" min="4" max="4"/>
    <col width="16" customWidth="1" style="101" min="5" max="5"/>
    <col width="13" customWidth="1" style="101" min="6" max="7"/>
    <col width="8" customWidth="1" style="101" min="8" max="8"/>
    <col width="40" customWidth="1" style="101" min="9" max="9"/>
    <col width="18" customWidth="1" style="101" min="10" max="10"/>
    <col width="14" customWidth="1" style="101" min="11" max="11"/>
  </cols>
  <sheetData>
    <row r="1">
      <c r="A1" s="104" t="n"/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17.25" customHeight="1" s="102">
      <c r="A2" s="104" t="n"/>
      <c r="B2" s="104" t="n"/>
      <c r="C2" s="129" t="inlineStr">
        <is>
          <t>Evaluación de Madurez · GIOTI 1</t>
        </is>
      </c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3" ht="15" customHeight="1" s="102">
      <c r="A3" s="104" t="n"/>
      <c r="B3" s="104" t="n"/>
      <c r="C3" s="130" t="inlineStr">
        <is>
          <t>PersonalSoft · Bancolombia · Modelo de Madurez v1.0 · ITIL v5</t>
        </is>
      </c>
      <c r="D3" s="104" t="n"/>
      <c r="E3" s="104" t="n"/>
      <c r="F3" s="104" t="n"/>
      <c r="G3" s="104" t="n"/>
      <c r="H3" s="104" t="n"/>
      <c r="I3" s="104" t="n"/>
      <c r="J3" s="104" t="n"/>
      <c r="K3" s="104" t="n"/>
    </row>
    <row r="4">
      <c r="A4" s="104" t="n"/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</row>
    <row r="5" ht="15" customHeight="1" s="102">
      <c r="A5" s="104" t="n"/>
      <c r="B5" s="104" t="n"/>
      <c r="C5" s="153" t="inlineStr">
        <is>
          <t>Nombre de la mesa:</t>
        </is>
      </c>
      <c r="D5" s="154" t="inlineStr">
        <is>
          <t>GIOTI 1</t>
        </is>
      </c>
      <c r="E5" s="140" t="n"/>
      <c r="F5" s="140" t="n"/>
      <c r="G5" s="140" t="n"/>
      <c r="H5" s="118" t="n"/>
      <c r="I5" s="104" t="n"/>
      <c r="J5" s="104" t="n"/>
      <c r="K5" s="104" t="n"/>
    </row>
    <row r="6" ht="15" customHeight="1" s="102">
      <c r="A6" s="104" t="n"/>
      <c r="B6" s="104" t="n"/>
      <c r="C6" s="153" t="inlineStr">
        <is>
          <t>Cliente:</t>
        </is>
      </c>
      <c r="D6" s="154" t="inlineStr">
        <is>
          <t>Bancolombia</t>
        </is>
      </c>
      <c r="E6" s="140" t="n"/>
      <c r="F6" s="140" t="n"/>
      <c r="G6" s="140" t="n"/>
      <c r="H6" s="118" t="n"/>
      <c r="I6" s="104" t="n"/>
      <c r="J6" s="104" t="n"/>
      <c r="K6" s="104" t="n"/>
    </row>
    <row r="7" ht="15" customHeight="1" s="102">
      <c r="A7" s="104" t="n"/>
      <c r="B7" s="104" t="n"/>
      <c r="C7" s="153" t="inlineStr">
        <is>
          <t>Sector:</t>
        </is>
      </c>
      <c r="D7" s="154" t="inlineStr">
        <is>
          <t>Banca</t>
        </is>
      </c>
      <c r="E7" s="140" t="n"/>
      <c r="F7" s="140" t="n"/>
      <c r="G7" s="140" t="n"/>
      <c r="H7" s="118" t="n"/>
      <c r="I7" s="104" t="n"/>
      <c r="J7" s="104" t="n"/>
      <c r="K7" s="104" t="n"/>
    </row>
    <row r="8" ht="15" customHeight="1" s="102">
      <c r="A8" s="104" t="n"/>
      <c r="B8" s="104" t="n"/>
      <c r="C8" s="153" t="inlineStr">
        <is>
          <t>Tipo de mesa:</t>
        </is>
      </c>
      <c r="D8" s="154" t="n"/>
      <c r="E8" s="140" t="n"/>
      <c r="F8" s="140" t="n"/>
      <c r="G8" s="140" t="n"/>
      <c r="H8" s="118" t="n"/>
      <c r="I8" s="104" t="n"/>
      <c r="J8" s="104" t="n"/>
      <c r="K8" s="104" t="n"/>
    </row>
    <row r="9" ht="15" customHeight="1" s="102">
      <c r="A9" s="104" t="n"/>
      <c r="B9" s="104" t="n"/>
      <c r="C9" s="153" t="inlineStr">
        <is>
          <t>¿N0 activo?:</t>
        </is>
      </c>
      <c r="D9" s="154" t="inlineStr">
        <is>
          <t>No</t>
        </is>
      </c>
      <c r="E9" s="140" t="n"/>
      <c r="F9" s="140" t="n"/>
      <c r="G9" s="140" t="n"/>
      <c r="H9" s="118" t="n"/>
      <c r="I9" s="104" t="n"/>
      <c r="J9" s="104" t="n"/>
      <c r="K9" s="104" t="n"/>
    </row>
    <row r="10" ht="15" customHeight="1" s="102">
      <c r="A10" s="104" t="n"/>
      <c r="B10" s="104" t="n"/>
      <c r="C10" s="153" t="inlineStr">
        <is>
          <t>Evaluador:</t>
        </is>
      </c>
      <c r="D10" s="154" t="n"/>
      <c r="E10" s="140" t="n"/>
      <c r="F10" s="140" t="n"/>
      <c r="G10" s="140" t="n"/>
      <c r="H10" s="118" t="n"/>
      <c r="I10" s="104" t="n"/>
      <c r="J10" s="104" t="n"/>
      <c r="K10" s="104" t="n"/>
    </row>
    <row r="11" ht="15" customHeight="1" s="102">
      <c r="A11" s="104" t="n"/>
      <c r="B11" s="104" t="n"/>
      <c r="C11" s="153" t="inlineStr">
        <is>
          <t>Fecha de evaluación:</t>
        </is>
      </c>
      <c r="D11" s="155" t="n"/>
      <c r="E11" s="140" t="n"/>
      <c r="F11" s="140" t="n"/>
      <c r="G11" s="140" t="n"/>
      <c r="H11" s="118" t="n"/>
      <c r="I11" s="104" t="n"/>
      <c r="J11" s="104" t="n"/>
      <c r="K11" s="104" t="n"/>
    </row>
    <row r="12" ht="15" customHeight="1" s="102">
      <c r="A12" s="104" t="n"/>
      <c r="B12" s="104" t="n"/>
      <c r="C12" s="153" t="inlineStr">
        <is>
          <t>Herramienta de tickets:</t>
        </is>
      </c>
      <c r="D12" s="154" t="n"/>
      <c r="E12" s="140" t="n"/>
      <c r="F12" s="140" t="n"/>
      <c r="G12" s="140" t="n"/>
      <c r="H12" s="118" t="n"/>
      <c r="I12" s="104" t="n"/>
      <c r="J12" s="104" t="n"/>
      <c r="K12" s="104" t="n"/>
    </row>
    <row r="13" ht="15" customHeight="1" s="102">
      <c r="A13" s="104" t="n"/>
      <c r="B13" s="104" t="n"/>
      <c r="C13" s="153" t="inlineStr">
        <is>
          <t>Horario de servicio:</t>
        </is>
      </c>
      <c r="D13" s="154" t="n"/>
      <c r="E13" s="140" t="n"/>
      <c r="F13" s="140" t="n"/>
      <c r="G13" s="140" t="n"/>
      <c r="H13" s="118" t="n"/>
      <c r="I13" s="104" t="n"/>
      <c r="J13" s="104" t="n"/>
      <c r="K13" s="104" t="n"/>
    </row>
    <row r="14">
      <c r="A14" s="104" t="n"/>
      <c r="B14" s="104" t="n"/>
      <c r="C14" s="104" t="n"/>
      <c r="D14" s="104" t="n"/>
      <c r="E14" s="104" t="n"/>
      <c r="F14" s="104" t="n"/>
      <c r="G14" s="104" t="n"/>
      <c r="H14" s="104" t="n"/>
      <c r="I14" s="104" t="n"/>
      <c r="J14" s="104" t="n"/>
      <c r="K14" s="104" t="n"/>
    </row>
    <row r="15" ht="15.75" customHeight="1" s="102">
      <c r="A15" s="104" t="n"/>
      <c r="B15" s="104" t="n"/>
      <c r="C15" s="156" t="inlineStr">
        <is>
          <t>Nivel mínimo esperado:</t>
        </is>
      </c>
      <c r="D15" s="157">
        <f>IF(D8="Mesa de Ayuda","N2 · Administrado",IF(D8="Mesa de Soporte","N3 · Definido","— Seleccionar tipo"))</f>
        <v/>
      </c>
      <c r="E15" s="140" t="n"/>
      <c r="F15" s="140" t="n"/>
      <c r="G15" s="118" t="n"/>
      <c r="H15" s="104" t="n"/>
      <c r="I15" s="156" t="inlineStr">
        <is>
          <t>Nivel global operativo (promedio):</t>
        </is>
      </c>
      <c r="J15" s="158">
        <f>IFERROR(AVERAGEIF(F20:F39,"&lt;&gt;"),"")</f>
        <v/>
      </c>
      <c r="K15" s="104" t="n"/>
    </row>
    <row r="16" ht="15" customHeight="1" s="102">
      <c r="A16" s="104" t="n"/>
      <c r="B16" s="104" t="n"/>
      <c r="C16" s="159" t="inlineStr">
        <is>
          <t>Nivel mínimo (número):</t>
        </is>
      </c>
      <c r="D16" s="160">
        <f>IF(D8="Mesa de Ayuda",2,IF(D8="Mesa de Soporte",3,0))</f>
        <v/>
      </c>
      <c r="E16" s="104" t="n"/>
      <c r="F16" s="104" t="n"/>
      <c r="G16" s="104" t="n"/>
      <c r="H16" s="104" t="n"/>
      <c r="I16" s="104" t="n"/>
      <c r="J16" s="104" t="n"/>
      <c r="K16" s="104" t="n"/>
    </row>
    <row r="17">
      <c r="A17" s="104" t="n"/>
      <c r="B17" s="104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</row>
    <row r="18" ht="42" customHeight="1" s="102">
      <c r="A18" s="104" t="n"/>
      <c r="B18" s="134" t="inlineStr">
        <is>
          <t>#</t>
        </is>
      </c>
      <c r="C18" s="134" t="inlineStr">
        <is>
          <t>Práctica</t>
        </is>
      </c>
      <c r="D18" s="134" t="inlineStr">
        <is>
          <t>Origen</t>
        </is>
      </c>
      <c r="E18" s="134" t="inlineStr">
        <is>
          <t>Nivel mínimo
esperado</t>
        </is>
      </c>
      <c r="F18" s="161" t="inlineStr">
        <is>
          <t>Nivel actual
(0=N0 · 5=N5)
▼ dropdown</t>
        </is>
      </c>
      <c r="G18" s="134" t="inlineStr">
        <is>
          <t>Nivel objetivo
(N0–N5)</t>
        </is>
      </c>
      <c r="H18" s="162" t="inlineStr">
        <is>
          <t>Brecha</t>
        </is>
      </c>
      <c r="I18" s="134" t="inlineStr">
        <is>
          <t>Evidencia / observación</t>
        </is>
      </c>
      <c r="J18" s="134" t="inlineStr">
        <is>
          <t>Herramienta / Nota</t>
        </is>
      </c>
      <c r="K18" s="163" t="inlineStr">
        <is>
          <t>¿Bajo mínimo?</t>
        </is>
      </c>
    </row>
    <row r="19" ht="19.5" customHeight="1" s="102">
      <c r="A19" s="104" t="n"/>
      <c r="B19" s="112" t="inlineStr">
        <is>
          <t>D1 · Organizaciones y Personas</t>
        </is>
      </c>
      <c r="C19" s="140" t="n"/>
      <c r="D19" s="140" t="n"/>
      <c r="E19" s="140" t="n"/>
      <c r="F19" s="140" t="n"/>
      <c r="G19" s="140" t="n"/>
      <c r="H19" s="140" t="n"/>
      <c r="I19" s="140" t="n"/>
      <c r="J19" s="118" t="n"/>
      <c r="K19" s="104" t="n"/>
    </row>
    <row r="20" ht="30" customHeight="1" s="102">
      <c r="A20" s="104" t="n"/>
      <c r="B20" s="141" t="n">
        <v>1</v>
      </c>
      <c r="C20" s="112" t="inlineStr">
        <is>
          <t>Gobierno de roles (RACI)</t>
        </is>
      </c>
      <c r="D20" s="142" t="inlineStr">
        <is>
          <t>Feedback operativo</t>
        </is>
      </c>
      <c r="E20" s="135">
        <f>IF($D$8="Mesa de Ayuda","N2 · Administrado",IF($D$8="Mesa de Soporte","N3 · Definido","—"))</f>
        <v/>
      </c>
      <c r="F20" s="164" t="n"/>
      <c r="G20" s="165" t="n"/>
      <c r="H20" s="166">
        <f>IF(AND(F20&lt;&gt;"",G20&lt;&gt;""),G20-F20,"")</f>
        <v/>
      </c>
      <c r="I20" s="167" t="n"/>
      <c r="J20" s="167" t="n"/>
      <c r="K20" s="168">
        <f>IF(F20="","—",IF(F20&lt;$D$16,"⛔ Bajo mínimo",IF(F20=$D$16,"✅ En mínimo","✔ Sobre mínimo")))</f>
        <v/>
      </c>
    </row>
    <row r="21" ht="30" customHeight="1" s="102">
      <c r="A21" s="104" t="n"/>
      <c r="B21" s="141" t="n">
        <v>2</v>
      </c>
      <c r="C21" s="112" t="inlineStr">
        <is>
          <t>Capacidad y dimensionamiento del equipo</t>
        </is>
      </c>
      <c r="D21" s="144" t="inlineStr">
        <is>
          <t>ITIL Foundation</t>
        </is>
      </c>
      <c r="E21" s="135">
        <f>IF($D$8="Mesa de Ayuda","N2 · Administrado",IF($D$8="Mesa de Soporte","N3 · Definido","—"))</f>
        <v/>
      </c>
      <c r="F21" s="164" t="n"/>
      <c r="G21" s="165" t="n"/>
      <c r="H21" s="166">
        <f>IF(AND(F21&lt;&gt;"",G21&lt;&gt;""),G21-F21,"")</f>
        <v/>
      </c>
      <c r="I21" s="167" t="n"/>
      <c r="J21" s="167" t="n"/>
      <c r="K21" s="168">
        <f>IF(F21="","—",IF(F21&lt;$D$16,"⛔ Bajo mínimo",IF(F21=$D$16,"✅ En mínimo","✔ Sobre mínimo")))</f>
        <v/>
      </c>
    </row>
    <row r="22" ht="19.5" customHeight="1" s="102">
      <c r="A22" s="104" t="n"/>
      <c r="B22" s="125" t="inlineStr">
        <is>
          <t>D2 · Información y Tecnología</t>
        </is>
      </c>
      <c r="C22" s="140" t="n"/>
      <c r="D22" s="140" t="n"/>
      <c r="E22" s="140" t="n"/>
      <c r="F22" s="140" t="n"/>
      <c r="G22" s="140" t="n"/>
      <c r="H22" s="140" t="n"/>
      <c r="I22" s="140" t="n"/>
      <c r="J22" s="118" t="n"/>
      <c r="K22" s="104" t="n"/>
    </row>
    <row r="23" ht="30" customHeight="1" s="102">
      <c r="A23" s="104" t="n"/>
      <c r="B23" s="141" t="n">
        <v>3</v>
      </c>
      <c r="C23" s="125" t="inlineStr">
        <is>
          <t>Herramientas y automatización</t>
        </is>
      </c>
      <c r="D23" s="144" t="inlineStr">
        <is>
          <t>ITIL Foundation</t>
        </is>
      </c>
      <c r="E23" s="135">
        <f>IF($D$8="Mesa de Ayuda","N2 · Administrado",IF($D$8="Mesa de Soporte","N3 · Definido","—"))</f>
        <v/>
      </c>
      <c r="F23" s="164" t="n"/>
      <c r="G23" s="165" t="n"/>
      <c r="H23" s="166">
        <f>IF(AND(F23&lt;&gt;"",G23&lt;&gt;""),G23-F23,"")</f>
        <v/>
      </c>
      <c r="I23" s="167" t="n"/>
      <c r="J23" s="167" t="n"/>
      <c r="K23" s="168">
        <f>IF(F23="","—",IF(F23&lt;$D$16,"⛔ Bajo mínimo",IF(F23=$D$16,"✅ En mínimo","✔ Sobre mínimo")))</f>
        <v/>
      </c>
    </row>
    <row r="24" ht="30" customHeight="1" s="102">
      <c r="A24" s="104" t="n"/>
      <c r="B24" s="141" t="n">
        <v>4</v>
      </c>
      <c r="C24" s="125" t="inlineStr">
        <is>
          <t>Gestión del conocimiento (KEDB)</t>
        </is>
      </c>
      <c r="D24" s="146" t="inlineStr">
        <is>
          <t>Monitor, Support &amp; Fulfill</t>
        </is>
      </c>
      <c r="E24" s="135">
        <f>IF($D$8="Mesa de Ayuda","N2 · Administrado",IF($D$8="Mesa de Soporte","N3 · Definido","—"))</f>
        <v/>
      </c>
      <c r="F24" s="164" t="n"/>
      <c r="G24" s="165" t="n"/>
      <c r="H24" s="166">
        <f>IF(AND(F24&lt;&gt;"",G24&lt;&gt;""),G24-F24,"")</f>
        <v/>
      </c>
      <c r="I24" s="167" t="n"/>
      <c r="J24" s="167" t="n"/>
      <c r="K24" s="168">
        <f>IF(F24="","—",IF(F24&lt;$D$16,"⛔ Bajo mínimo",IF(F24=$D$16,"✅ En mínimo","✔ Sobre mínimo")))</f>
        <v/>
      </c>
    </row>
    <row r="25" ht="30" customHeight="1" s="102">
      <c r="A25" s="104" t="n"/>
      <c r="B25" s="141" t="n">
        <v>5</v>
      </c>
      <c r="C25" s="125" t="inlineStr">
        <is>
          <t>Gestión de integraciones y entorno de aplicaciones</t>
        </is>
      </c>
      <c r="D25" s="142" t="inlineStr">
        <is>
          <t>Feedback operativo</t>
        </is>
      </c>
      <c r="E25" s="135">
        <f>IF($D$8="Mesa de Ayuda","N2 · Administrado",IF($D$8="Mesa de Soporte","N3 · Definido","—"))</f>
        <v/>
      </c>
      <c r="F25" s="164" t="n"/>
      <c r="G25" s="165" t="n"/>
      <c r="H25" s="166">
        <f>IF(AND(F25&lt;&gt;"",G25&lt;&gt;""),G25-F25,"")</f>
        <v/>
      </c>
      <c r="I25" s="167" t="n"/>
      <c r="J25" s="167" t="n"/>
      <c r="K25" s="168">
        <f>IF(F25="","—",IF(F25&lt;$D$16,"⛔ Bajo mínimo",IF(F25=$D$16,"✅ En mínimo","✔ Sobre mínimo")))</f>
        <v/>
      </c>
    </row>
    <row r="26" ht="30" customHeight="1" s="102">
      <c r="A26" s="104" t="n"/>
      <c r="B26" s="141" t="n">
        <v>6</v>
      </c>
      <c r="C26" s="125" t="inlineStr">
        <is>
          <t>Monitoreo y gestión de eventos</t>
        </is>
      </c>
      <c r="D26" s="146" t="inlineStr">
        <is>
          <t>Monitor, Support &amp; Fulfill</t>
        </is>
      </c>
      <c r="E26" s="135">
        <f>IF($D$8="Mesa de Ayuda","N2 · Administrado",IF($D$8="Mesa de Soporte","N3 · Definido","—"))</f>
        <v/>
      </c>
      <c r="F26" s="164" t="n"/>
      <c r="G26" s="165" t="n"/>
      <c r="H26" s="166">
        <f>IF(AND(F26&lt;&gt;"",G26&lt;&gt;""),G26-F26,"")</f>
        <v/>
      </c>
      <c r="I26" s="167" t="n"/>
      <c r="J26" s="167" t="n"/>
      <c r="K26" s="168">
        <f>IF(F26="","—",IF(F26&lt;$D$16,"⛔ Bajo mínimo",IF(F26=$D$16,"✅ En mínimo","✔ Sobre mínimo")))</f>
        <v/>
      </c>
    </row>
    <row r="27" ht="19.5" customHeight="1" s="102">
      <c r="A27" s="104" t="n"/>
      <c r="B27" s="148" t="inlineStr">
        <is>
          <t>D3 · Socios y Proveedores</t>
        </is>
      </c>
      <c r="C27" s="140" t="n"/>
      <c r="D27" s="140" t="n"/>
      <c r="E27" s="140" t="n"/>
      <c r="F27" s="140" t="n"/>
      <c r="G27" s="140" t="n"/>
      <c r="H27" s="140" t="n"/>
      <c r="I27" s="140" t="n"/>
      <c r="J27" s="118" t="n"/>
      <c r="K27" s="104" t="n"/>
    </row>
    <row r="28" ht="30" customHeight="1" s="102">
      <c r="A28" s="104" t="n"/>
      <c r="B28" s="141" t="n">
        <v>7</v>
      </c>
      <c r="C28" s="148" t="inlineStr">
        <is>
          <t>Service Desk — punto único de contacto</t>
        </is>
      </c>
      <c r="D28" s="146" t="inlineStr">
        <is>
          <t>Monitor, Support &amp; Fulfill</t>
        </is>
      </c>
      <c r="E28" s="135">
        <f>IF($D$8="Mesa de Ayuda","N2 · Administrado",IF($D$8="Mesa de Soporte","N3 · Definido","—"))</f>
        <v/>
      </c>
      <c r="F28" s="164" t="n"/>
      <c r="G28" s="165" t="n"/>
      <c r="H28" s="166">
        <f>IF(AND(F28&lt;&gt;"",G28&lt;&gt;""),G28-F28,"")</f>
        <v/>
      </c>
      <c r="I28" s="167" t="n"/>
      <c r="J28" s="167" t="n"/>
      <c r="K28" s="168">
        <f>IF(F28="","—",IF(F28&lt;$D$16,"⛔ Bajo mínimo",IF(F28=$D$16,"✅ En mínimo","✔ Sobre mínimo")))</f>
        <v/>
      </c>
    </row>
    <row r="29" ht="30" customHeight="1" s="102">
      <c r="A29" s="104" t="n"/>
      <c r="B29" s="141" t="n">
        <v>8</v>
      </c>
      <c r="C29" s="148" t="inlineStr">
        <is>
          <t>Catálogo de servicios y límites del alcance</t>
        </is>
      </c>
      <c r="D29" s="146" t="inlineStr">
        <is>
          <t>ITIL Service</t>
        </is>
      </c>
      <c r="E29" s="135">
        <f>IF($D$8="Mesa de Ayuda","N2 · Administrado",IF($D$8="Mesa de Soporte","N3 · Definido","—"))</f>
        <v/>
      </c>
      <c r="F29" s="164" t="n"/>
      <c r="G29" s="165" t="n"/>
      <c r="H29" s="166">
        <f>IF(AND(F29&lt;&gt;"",G29&lt;&gt;""),G29-F29,"")</f>
        <v/>
      </c>
      <c r="I29" s="167" t="n"/>
      <c r="J29" s="167" t="n"/>
      <c r="K29" s="168">
        <f>IF(F29="","—",IF(F29&lt;$D$16,"⛔ Bajo mínimo",IF(F29=$D$16,"✅ En mínimo","✔ Sobre mínimo")))</f>
        <v/>
      </c>
    </row>
    <row r="30" ht="30" customHeight="1" s="102">
      <c r="A30" s="104" t="n"/>
      <c r="B30" s="141" t="n">
        <v>9</v>
      </c>
      <c r="C30" s="148" t="inlineStr">
        <is>
          <t>SLA / ANS + XLA por prioridad</t>
        </is>
      </c>
      <c r="D30" s="146" t="inlineStr">
        <is>
          <t>ITIL Service</t>
        </is>
      </c>
      <c r="E30" s="135">
        <f>IF($D$8="Mesa de Ayuda","N2 · Administrado",IF($D$8="Mesa de Soporte","N3 · Definido","—"))</f>
        <v/>
      </c>
      <c r="F30" s="164" t="n"/>
      <c r="G30" s="165" t="n"/>
      <c r="H30" s="166">
        <f>IF(AND(F30&lt;&gt;"",G30&lt;&gt;""),G30-F30,"")</f>
        <v/>
      </c>
      <c r="I30" s="167" t="n"/>
      <c r="J30" s="167" t="n"/>
      <c r="K30" s="168">
        <f>IF(F30="","—",IF(F30&lt;$D$16,"⛔ Bajo mínimo",IF(F30=$D$16,"✅ En mínimo","✔ Sobre mínimo")))</f>
        <v/>
      </c>
    </row>
    <row r="31" ht="30" customHeight="1" s="102">
      <c r="A31" s="104" t="n"/>
      <c r="B31" s="141" t="n">
        <v>10</v>
      </c>
      <c r="C31" s="148" t="inlineStr">
        <is>
          <t>Disponibilidad y cobertura horaria</t>
        </is>
      </c>
      <c r="D31" s="142" t="inlineStr">
        <is>
          <t>Feedback operativo</t>
        </is>
      </c>
      <c r="E31" s="135">
        <f>IF($D$8="Mesa de Ayuda","N2 · Administrado",IF($D$8="Mesa de Soporte","N3 · Definido","—"))</f>
        <v/>
      </c>
      <c r="F31" s="164" t="n"/>
      <c r="G31" s="165" t="n"/>
      <c r="H31" s="166">
        <f>IF(AND(F31&lt;&gt;"",G31&lt;&gt;""),G31-F31,"")</f>
        <v/>
      </c>
      <c r="I31" s="167" t="n"/>
      <c r="J31" s="167" t="n"/>
      <c r="K31" s="168">
        <f>IF(F31="","—",IF(F31&lt;$D$16,"⛔ Bajo mínimo",IF(F31=$D$16,"✅ En mínimo","✔ Sobre mínimo")))</f>
        <v/>
      </c>
    </row>
    <row r="32" ht="19.5" customHeight="1" s="102">
      <c r="A32" s="104" t="n"/>
      <c r="B32" s="112" t="inlineStr">
        <is>
          <t>D4 · Flujos de Valor y Procesos</t>
        </is>
      </c>
      <c r="C32" s="140" t="n"/>
      <c r="D32" s="140" t="n"/>
      <c r="E32" s="140" t="n"/>
      <c r="F32" s="140" t="n"/>
      <c r="G32" s="140" t="n"/>
      <c r="H32" s="140" t="n"/>
      <c r="I32" s="140" t="n"/>
      <c r="J32" s="118" t="n"/>
      <c r="K32" s="104" t="n"/>
    </row>
    <row r="33" ht="30" customHeight="1" s="102">
      <c r="A33" s="104" t="n"/>
      <c r="B33" s="141" t="n">
        <v>11</v>
      </c>
      <c r="C33" s="112" t="inlineStr">
        <is>
          <t>Gestión de incidentes</t>
        </is>
      </c>
      <c r="D33" s="146" t="inlineStr">
        <is>
          <t>Monitor, Support &amp; Fulfill</t>
        </is>
      </c>
      <c r="E33" s="135">
        <f>IF($D$8="Mesa de Ayuda","N2 · Administrado",IF($D$8="Mesa de Soporte","N3 · Definido","—"))</f>
        <v/>
      </c>
      <c r="F33" s="164" t="n"/>
      <c r="G33" s="165" t="n"/>
      <c r="H33" s="166">
        <f>IF(AND(F33&lt;&gt;"",G33&lt;&gt;""),G33-F33,"")</f>
        <v/>
      </c>
      <c r="I33" s="167" t="n"/>
      <c r="J33" s="167" t="n"/>
      <c r="K33" s="168">
        <f>IF(F33="","—",IF(F33&lt;$D$16,"⛔ Bajo mínimo",IF(F33=$D$16,"✅ En mínimo","✔ Sobre mínimo")))</f>
        <v/>
      </c>
    </row>
    <row r="34" ht="30" customHeight="1" s="102">
      <c r="A34" s="104" t="n"/>
      <c r="B34" s="141" t="n">
        <v>12</v>
      </c>
      <c r="C34" s="112" t="inlineStr">
        <is>
          <t>Gestión de solicitudes</t>
        </is>
      </c>
      <c r="D34" s="146" t="inlineStr">
        <is>
          <t>Monitor, Support &amp; Fulfill</t>
        </is>
      </c>
      <c r="E34" s="135">
        <f>IF($D$8="Mesa de Ayuda","N2 · Administrado",IF($D$8="Mesa de Soporte","N3 · Definido","—"))</f>
        <v/>
      </c>
      <c r="F34" s="164" t="n"/>
      <c r="G34" s="165" t="n"/>
      <c r="H34" s="166">
        <f>IF(AND(F34&lt;&gt;"",G34&lt;&gt;""),G34-F34,"")</f>
        <v/>
      </c>
      <c r="I34" s="167" t="n"/>
      <c r="J34" s="167" t="n"/>
      <c r="K34" s="168">
        <f>IF(F34="","—",IF(F34&lt;$D$16,"⛔ Bajo mínimo",IF(F34=$D$16,"✅ En mínimo","✔ Sobre mínimo")))</f>
        <v/>
      </c>
    </row>
    <row r="35" ht="30" customHeight="1" s="102">
      <c r="A35" s="104" t="n"/>
      <c r="B35" s="141" t="n">
        <v>13</v>
      </c>
      <c r="C35" s="112" t="inlineStr">
        <is>
          <t>Gestión de problemas (causa raíz)</t>
        </is>
      </c>
      <c r="D35" s="146" t="inlineStr">
        <is>
          <t>Monitor, Support &amp; Fulfill</t>
        </is>
      </c>
      <c r="E35" s="135">
        <f>IF($D$8="Mesa de Ayuda","N2 · Administrado",IF($D$8="Mesa de Soporte","N3 · Definido","—"))</f>
        <v/>
      </c>
      <c r="F35" s="164" t="n"/>
      <c r="G35" s="165" t="n"/>
      <c r="H35" s="166">
        <f>IF(AND(F35&lt;&gt;"",G35&lt;&gt;""),G35-F35,"")</f>
        <v/>
      </c>
      <c r="I35" s="167" t="n"/>
      <c r="J35" s="167" t="n"/>
      <c r="K35" s="168">
        <f>IF(F35="","—",IF(F35&lt;$D$16,"⛔ Bajo mínimo",IF(F35=$D$16,"✅ En mínimo","✔ Sobre mínimo")))</f>
        <v/>
      </c>
    </row>
    <row r="36" ht="30" customHeight="1" s="102">
      <c r="A36" s="104" t="n"/>
      <c r="B36" s="141" t="n">
        <v>14</v>
      </c>
      <c r="C36" s="112" t="inlineStr">
        <is>
          <t>Gestión del cambio (Change Enablement)</t>
        </is>
      </c>
      <c r="D36" s="146" t="inlineStr">
        <is>
          <t>ITIL Service</t>
        </is>
      </c>
      <c r="E36" s="135">
        <f>IF($D$8="Mesa de Ayuda","N2 · Administrado",IF($D$8="Mesa de Soporte","N3 · Definido","—"))</f>
        <v/>
      </c>
      <c r="F36" s="164" t="n"/>
      <c r="G36" s="165" t="n"/>
      <c r="H36" s="166">
        <f>IF(AND(F36&lt;&gt;"",G36&lt;&gt;""),G36-F36,"")</f>
        <v/>
      </c>
      <c r="I36" s="167" t="n"/>
      <c r="J36" s="167" t="n"/>
      <c r="K36" s="168">
        <f>IF(F36="","—",IF(F36&lt;$D$16,"⛔ Bajo mínimo",IF(F36=$D$16,"✅ En mínimo","✔ Sobre mínimo")))</f>
        <v/>
      </c>
    </row>
    <row r="37" ht="30" customHeight="1" s="102">
      <c r="A37" s="104" t="n"/>
      <c r="B37" s="141" t="n">
        <v>15</v>
      </c>
      <c r="C37" s="112" t="inlineStr">
        <is>
          <t>Transición y onboarding</t>
        </is>
      </c>
      <c r="D37" s="146" t="inlineStr">
        <is>
          <t>ITIL Service</t>
        </is>
      </c>
      <c r="E37" s="135">
        <f>IF($D$8="Mesa de Ayuda","N2 · Administrado",IF($D$8="Mesa de Soporte","N3 · Definido","—"))</f>
        <v/>
      </c>
      <c r="F37" s="164" t="n"/>
      <c r="G37" s="165" t="n"/>
      <c r="H37" s="166">
        <f>IF(AND(F37&lt;&gt;"",G37&lt;&gt;""),G37-F37,"")</f>
        <v/>
      </c>
      <c r="I37" s="167" t="n"/>
      <c r="J37" s="167" t="n"/>
      <c r="K37" s="168">
        <f>IF(F37="","—",IF(F37&lt;$D$16,"⛔ Bajo mínimo",IF(F37=$D$16,"✅ En mínimo","✔ Sobre mínimo")))</f>
        <v/>
      </c>
    </row>
    <row r="38" ht="30" customHeight="1" s="102">
      <c r="A38" s="104" t="n"/>
      <c r="B38" s="141" t="n">
        <v>16</v>
      </c>
      <c r="C38" s="112" t="inlineStr">
        <is>
          <t>Mejora continua del servicio</t>
        </is>
      </c>
      <c r="D38" s="146" t="inlineStr">
        <is>
          <t>Collaborate, Assure &amp; Improve</t>
        </is>
      </c>
      <c r="E38" s="135">
        <f>IF($D$8="Mesa de Ayuda","N2 · Administrado",IF($D$8="Mesa de Soporte","N3 · Definido","—"))</f>
        <v/>
      </c>
      <c r="F38" s="164" t="n"/>
      <c r="G38" s="165" t="n"/>
      <c r="H38" s="166">
        <f>IF(AND(F38&lt;&gt;"",G38&lt;&gt;""),G38-F38,"")</f>
        <v/>
      </c>
      <c r="I38" s="167" t="n"/>
      <c r="J38" s="167" t="n"/>
      <c r="K38" s="168">
        <f>IF(F38="","—",IF(F38&lt;$D$16,"⛔ Bajo mínimo",IF(F38=$D$16,"✅ En mínimo","✔ Sobre mínimo")))</f>
        <v/>
      </c>
    </row>
    <row r="39" ht="30" customHeight="1" s="102">
      <c r="A39" s="104" t="n"/>
      <c r="B39" s="141" t="n">
        <v>17</v>
      </c>
      <c r="C39" s="112" t="inlineStr">
        <is>
          <t>Experiencia del cliente (CX / NPS / CSAT / XLA)</t>
        </is>
      </c>
      <c r="D39" s="149" t="inlineStr">
        <is>
          <t>ITIL Experience</t>
        </is>
      </c>
      <c r="E39" s="135">
        <f>IF($D$8="Mesa de Ayuda","N2 · Administrado",IF($D$8="Mesa de Soporte","N3 · Definido","—"))</f>
        <v/>
      </c>
      <c r="F39" s="164" t="n"/>
      <c r="G39" s="165" t="n"/>
      <c r="H39" s="166">
        <f>IF(AND(F39&lt;&gt;"",G39&lt;&gt;""),G39-F39,"")</f>
        <v/>
      </c>
      <c r="I39" s="167" t="n"/>
      <c r="J39" s="167" t="n"/>
      <c r="K39" s="168">
        <f>IF(F39="","—",IF(F39&lt;$D$16,"⛔ Bajo mínimo",IF(F39=$D$16,"✅ En mínimo","✔ Sobre mínimo")))</f>
        <v/>
      </c>
    </row>
    <row r="40" ht="19.5" customHeight="1" s="102">
      <c r="A40" s="104" t="n"/>
      <c r="B40" s="151" t="inlineStr">
        <is>
          <t>Dimensión de Negocio · Éxito comercial y rentabilidad PS</t>
        </is>
      </c>
      <c r="C40" s="140" t="n"/>
      <c r="D40" s="140" t="n"/>
      <c r="E40" s="140" t="n"/>
      <c r="F40" s="140" t="n"/>
      <c r="G40" s="140" t="n"/>
      <c r="H40" s="140" t="n"/>
      <c r="I40" s="140" t="n"/>
      <c r="J40" s="118" t="n"/>
      <c r="K40" s="104" t="n"/>
    </row>
    <row r="41" ht="30" customHeight="1" s="102">
      <c r="A41" s="104" t="n"/>
      <c r="B41" s="141" t="n">
        <v>18</v>
      </c>
      <c r="C41" s="151" t="inlineStr">
        <is>
          <t>Salud financiera del contrato</t>
        </is>
      </c>
      <c r="D41" s="152" t="inlineStr">
        <is>
          <t>Negocio PS</t>
        </is>
      </c>
      <c r="E41" s="160">
        <f>IF($D$8="Mesa de Ayuda","N2 · Administrado",IF($D$8="Mesa de Soporte","N2 · Administrado","—"))</f>
        <v/>
      </c>
      <c r="F41" s="164" t="n"/>
      <c r="G41" s="165" t="n"/>
      <c r="H41" s="166">
        <f>IF(AND(F41&lt;&gt;"",G41&lt;&gt;""),G41-F41,"")</f>
        <v/>
      </c>
      <c r="I41" s="167" t="n"/>
      <c r="J41" s="167" t="n"/>
      <c r="K41" s="168">
        <f>IF(F41="","—",IF(F41&lt;2,"⛔ Bajo N2",IF(F41=2,"✅ En N2","✔ Sobre N2")))</f>
        <v/>
      </c>
    </row>
    <row r="42" ht="30" customHeight="1" s="102">
      <c r="A42" s="104" t="n"/>
      <c r="B42" s="141" t="n">
        <v>19</v>
      </c>
      <c r="C42" s="151" t="inlineStr">
        <is>
          <t>Retención y crecimiento de cuenta</t>
        </is>
      </c>
      <c r="D42" s="152" t="inlineStr">
        <is>
          <t>Negocio PS</t>
        </is>
      </c>
      <c r="E42" s="160">
        <f>IF($D$8="Mesa de Ayuda","N2 · Administrado",IF($D$8="Mesa de Soporte","N2 · Administrado","—"))</f>
        <v/>
      </c>
      <c r="F42" s="164" t="n"/>
      <c r="G42" s="165" t="n"/>
      <c r="H42" s="166">
        <f>IF(AND(F42&lt;&gt;"",G42&lt;&gt;""),G42-F42,"")</f>
        <v/>
      </c>
      <c r="I42" s="167" t="n"/>
      <c r="J42" s="167" t="n"/>
      <c r="K42" s="168">
        <f>IF(F42="","—",IF(F42&lt;2,"⛔ Bajo N2",IF(F42=2,"✅ En N2","✔ Sobre N2")))</f>
        <v/>
      </c>
    </row>
    <row r="43" ht="30" customHeight="1" s="102">
      <c r="A43" s="104" t="n"/>
      <c r="B43" s="141" t="n">
        <v>20</v>
      </c>
      <c r="C43" s="151" t="inlineStr">
        <is>
          <t>NPS / CSAT / XLA del cliente final</t>
        </is>
      </c>
      <c r="D43" s="152" t="inlineStr">
        <is>
          <t>Negocio PS</t>
        </is>
      </c>
      <c r="E43" s="160">
        <f>IF($D$8="Mesa de Ayuda","N2 · Administrado",IF($D$8="Mesa de Soporte","N2 · Administrado","—"))</f>
        <v/>
      </c>
      <c r="F43" s="164" t="n"/>
      <c r="G43" s="165" t="n"/>
      <c r="H43" s="166">
        <f>IF(AND(F43&lt;&gt;"",G43&lt;&gt;""),G43-F43,"")</f>
        <v/>
      </c>
      <c r="I43" s="167" t="n"/>
      <c r="J43" s="167" t="n"/>
      <c r="K43" s="168">
        <f>IF(F43="","—",IF(F43&lt;2,"⛔ Bajo N2",IF(F43=2,"✅ En N2","✔ Sobre N2")))</f>
        <v/>
      </c>
    </row>
    <row r="44" ht="30" customHeight="1" s="102">
      <c r="A44" s="104" t="n"/>
      <c r="B44" s="141" t="n">
        <v>21</v>
      </c>
      <c r="C44" s="151" t="inlineStr">
        <is>
          <t>Eficiencia de costo operativo</t>
        </is>
      </c>
      <c r="D44" s="152" t="inlineStr">
        <is>
          <t>Negocio PS</t>
        </is>
      </c>
      <c r="E44" s="160">
        <f>IF($D$8="Mesa de Ayuda","N2 · Administrado",IF($D$8="Mesa de Soporte","N2 · Administrado","—"))</f>
        <v/>
      </c>
      <c r="F44" s="164" t="n"/>
      <c r="G44" s="165" t="n"/>
      <c r="H44" s="166">
        <f>IF(AND(F44&lt;&gt;"",G44&lt;&gt;""),G44-F44,"")</f>
        <v/>
      </c>
      <c r="I44" s="167" t="n"/>
      <c r="J44" s="167" t="n"/>
      <c r="K44" s="168">
        <f>IF(F44="","—",IF(F44&lt;2,"⛔ Bajo N2",IF(F44=2,"✅ En N2","✔ Sobre N2")))</f>
        <v/>
      </c>
    </row>
  </sheetData>
  <mergeCells count="17">
    <mergeCell ref="D12:H12"/>
    <mergeCell ref="C3:J3"/>
    <mergeCell ref="D7:H7"/>
    <mergeCell ref="D8:H8"/>
    <mergeCell ref="D6:H6"/>
    <mergeCell ref="B19:J19"/>
    <mergeCell ref="D10:H10"/>
    <mergeCell ref="B22:J22"/>
    <mergeCell ref="B32:J32"/>
    <mergeCell ref="C2:J2"/>
    <mergeCell ref="D11:H11"/>
    <mergeCell ref="D13:H13"/>
    <mergeCell ref="D5:H5"/>
    <mergeCell ref="B27:J27"/>
    <mergeCell ref="D15:G15"/>
    <mergeCell ref="B40:J40"/>
    <mergeCell ref="D9:H9"/>
  </mergeCells>
  <conditionalFormatting sqref="F19:F44">
    <cfRule type="expression" rank="0" priority="2" equalAverage="0" aboveAverage="0" dxfId="0" text="" percent="0" bottom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rank="0" priority="4" equalAverage="0" operator="greaterThan" aboveAverage="0" dxfId="1" text="" percent="0" bottom="0">
      <formula>1</formula>
    </cfRule>
    <cfRule type="cellIs" rank="0" priority="5" equalAverage="0" operator="lessThan" aboveAverage="0" dxfId="0" text="" percent="0" bottom="0">
      <formula>0</formula>
    </cfRule>
  </conditionalFormatting>
  <conditionalFormatting sqref="H20:H44">
    <cfRule type="cellIs" rank="0" priority="6" equalAverage="0" operator="lessThan" aboveAverage="0" dxfId="2" text="" percent="0" bottom="0">
      <formula>0</formula>
    </cfRule>
    <cfRule type="cellIs" rank="0" priority="7" equalAverage="0" operator="equal" aboveAverage="0" dxfId="3" text="" percent="0" bottom="0">
      <formula>0</formula>
    </cfRule>
    <cfRule type="cellIs" rank="0" priority="8" equalAverage="0" operator="greaterThan" aboveAverage="0" dxfId="4" text="" percent="0" bottom="0">
      <formula>0</formula>
    </cfRule>
  </conditionalFormatting>
  <dataValidations count="1">
    <dataValidation sqref="F20:F44" showDropDown="0" showInputMessage="0" showErrorMessage="1" allowBlank="1" errorTitle="Nivel inválido" error="Ingresa 0 (N0) a 5 (N5)" type="list" errorStyle="stop" operator="between">
      <formula1>"0,1,2,3,4,5"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000072BC"/>
    <outlinePr summaryBelow="1" summaryRight="1"/>
    <pageSetUpPr fitToPage="0"/>
  </sheetPr>
  <dimension ref="A1:K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baseColWidth="8" defaultColWidth="8.6328125" defaultRowHeight="14.25" zeroHeight="0" outlineLevelRow="0"/>
  <cols>
    <col width="2" customWidth="1" style="101" min="1" max="1"/>
    <col width="4" customWidth="1" style="101" min="2" max="2"/>
    <col width="30" customWidth="1" style="101" min="3" max="3"/>
    <col width="20" customWidth="1" style="101" min="4" max="4"/>
    <col width="16" customWidth="1" style="101" min="5" max="5"/>
    <col width="13" customWidth="1" style="101" min="6" max="7"/>
    <col width="8" customWidth="1" style="101" min="8" max="8"/>
    <col width="40" customWidth="1" style="101" min="9" max="9"/>
    <col width="18" customWidth="1" style="101" min="10" max="10"/>
    <col width="14" customWidth="1" style="101" min="11" max="11"/>
  </cols>
  <sheetData>
    <row r="1">
      <c r="A1" s="104" t="n"/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17.25" customHeight="1" s="102">
      <c r="A2" s="104" t="n"/>
      <c r="B2" s="104" t="n"/>
      <c r="C2" s="129" t="inlineStr">
        <is>
          <t>Evaluación de Madurez · GIOTI 2</t>
        </is>
      </c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3" ht="15" customHeight="1" s="102">
      <c r="A3" s="104" t="n"/>
      <c r="B3" s="104" t="n"/>
      <c r="C3" s="130" t="inlineStr">
        <is>
          <t>PersonalSoft · Bancolombia · Modelo de Madurez v1.0 · ITIL v5</t>
        </is>
      </c>
      <c r="D3" s="104" t="n"/>
      <c r="E3" s="104" t="n"/>
      <c r="F3" s="104" t="n"/>
      <c r="G3" s="104" t="n"/>
      <c r="H3" s="104" t="n"/>
      <c r="I3" s="104" t="n"/>
      <c r="J3" s="104" t="n"/>
      <c r="K3" s="104" t="n"/>
    </row>
    <row r="4">
      <c r="A4" s="104" t="n"/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</row>
    <row r="5" ht="15" customHeight="1" s="102">
      <c r="A5" s="104" t="n"/>
      <c r="B5" s="104" t="n"/>
      <c r="C5" s="153" t="inlineStr">
        <is>
          <t>Nombre de la mesa:</t>
        </is>
      </c>
      <c r="D5" s="154" t="inlineStr">
        <is>
          <t>GIOTI 2</t>
        </is>
      </c>
      <c r="E5" s="140" t="n"/>
      <c r="F5" s="140" t="n"/>
      <c r="G5" s="140" t="n"/>
      <c r="H5" s="118" t="n"/>
      <c r="I5" s="104" t="n"/>
      <c r="J5" s="104" t="n"/>
      <c r="K5" s="104" t="n"/>
    </row>
    <row r="6" ht="15" customHeight="1" s="102">
      <c r="A6" s="104" t="n"/>
      <c r="B6" s="104" t="n"/>
      <c r="C6" s="153" t="inlineStr">
        <is>
          <t>Cliente:</t>
        </is>
      </c>
      <c r="D6" s="154" t="inlineStr">
        <is>
          <t>Bancolombia</t>
        </is>
      </c>
      <c r="E6" s="140" t="n"/>
      <c r="F6" s="140" t="n"/>
      <c r="G6" s="140" t="n"/>
      <c r="H6" s="118" t="n"/>
      <c r="I6" s="104" t="n"/>
      <c r="J6" s="104" t="n"/>
      <c r="K6" s="104" t="n"/>
    </row>
    <row r="7" ht="15" customHeight="1" s="102">
      <c r="A7" s="104" t="n"/>
      <c r="B7" s="104" t="n"/>
      <c r="C7" s="153" t="inlineStr">
        <is>
          <t>Sector:</t>
        </is>
      </c>
      <c r="D7" s="154" t="inlineStr">
        <is>
          <t>Banca</t>
        </is>
      </c>
      <c r="E7" s="140" t="n"/>
      <c r="F7" s="140" t="n"/>
      <c r="G7" s="140" t="n"/>
      <c r="H7" s="118" t="n"/>
      <c r="I7" s="104" t="n"/>
      <c r="J7" s="104" t="n"/>
      <c r="K7" s="104" t="n"/>
    </row>
    <row r="8" ht="15" customHeight="1" s="102">
      <c r="A8" s="104" t="n"/>
      <c r="B8" s="104" t="n"/>
      <c r="C8" s="153" t="inlineStr">
        <is>
          <t>Tipo de mesa:</t>
        </is>
      </c>
      <c r="D8" s="154" t="n"/>
      <c r="E8" s="140" t="n"/>
      <c r="F8" s="140" t="n"/>
      <c r="G8" s="140" t="n"/>
      <c r="H8" s="118" t="n"/>
      <c r="I8" s="104" t="n"/>
      <c r="J8" s="104" t="n"/>
      <c r="K8" s="104" t="n"/>
    </row>
    <row r="9" ht="15" customHeight="1" s="102">
      <c r="A9" s="104" t="n"/>
      <c r="B9" s="104" t="n"/>
      <c r="C9" s="153" t="inlineStr">
        <is>
          <t>¿N0 activo?:</t>
        </is>
      </c>
      <c r="D9" s="154" t="inlineStr">
        <is>
          <t>No</t>
        </is>
      </c>
      <c r="E9" s="140" t="n"/>
      <c r="F9" s="140" t="n"/>
      <c r="G9" s="140" t="n"/>
      <c r="H9" s="118" t="n"/>
      <c r="I9" s="104" t="n"/>
      <c r="J9" s="104" t="n"/>
      <c r="K9" s="104" t="n"/>
    </row>
    <row r="10" ht="15" customHeight="1" s="102">
      <c r="A10" s="104" t="n"/>
      <c r="B10" s="104" t="n"/>
      <c r="C10" s="153" t="inlineStr">
        <is>
          <t>Evaluador:</t>
        </is>
      </c>
      <c r="D10" s="154" t="n"/>
      <c r="E10" s="140" t="n"/>
      <c r="F10" s="140" t="n"/>
      <c r="G10" s="140" t="n"/>
      <c r="H10" s="118" t="n"/>
      <c r="I10" s="104" t="n"/>
      <c r="J10" s="104" t="n"/>
      <c r="K10" s="104" t="n"/>
    </row>
    <row r="11" ht="15" customHeight="1" s="102">
      <c r="A11" s="104" t="n"/>
      <c r="B11" s="104" t="n"/>
      <c r="C11" s="153" t="inlineStr">
        <is>
          <t>Fecha de evaluación:</t>
        </is>
      </c>
      <c r="D11" s="155" t="n"/>
      <c r="E11" s="140" t="n"/>
      <c r="F11" s="140" t="n"/>
      <c r="G11" s="140" t="n"/>
      <c r="H11" s="118" t="n"/>
      <c r="I11" s="104" t="n"/>
      <c r="J11" s="104" t="n"/>
      <c r="K11" s="104" t="n"/>
    </row>
    <row r="12" ht="15" customHeight="1" s="102">
      <c r="A12" s="104" t="n"/>
      <c r="B12" s="104" t="n"/>
      <c r="C12" s="153" t="inlineStr">
        <is>
          <t>Herramienta de tickets:</t>
        </is>
      </c>
      <c r="D12" s="154" t="n"/>
      <c r="E12" s="140" t="n"/>
      <c r="F12" s="140" t="n"/>
      <c r="G12" s="140" t="n"/>
      <c r="H12" s="118" t="n"/>
      <c r="I12" s="104" t="n"/>
      <c r="J12" s="104" t="n"/>
      <c r="K12" s="104" t="n"/>
    </row>
    <row r="13" ht="15" customHeight="1" s="102">
      <c r="A13" s="104" t="n"/>
      <c r="B13" s="104" t="n"/>
      <c r="C13" s="153" t="inlineStr">
        <is>
          <t>Horario de servicio:</t>
        </is>
      </c>
      <c r="D13" s="154" t="n"/>
      <c r="E13" s="140" t="n"/>
      <c r="F13" s="140" t="n"/>
      <c r="G13" s="140" t="n"/>
      <c r="H13" s="118" t="n"/>
      <c r="I13" s="104" t="n"/>
      <c r="J13" s="104" t="n"/>
      <c r="K13" s="104" t="n"/>
    </row>
    <row r="14">
      <c r="A14" s="104" t="n"/>
      <c r="B14" s="104" t="n"/>
      <c r="C14" s="104" t="n"/>
      <c r="D14" s="104" t="n"/>
      <c r="E14" s="104" t="n"/>
      <c r="F14" s="104" t="n"/>
      <c r="G14" s="104" t="n"/>
      <c r="H14" s="104" t="n"/>
      <c r="I14" s="104" t="n"/>
      <c r="J14" s="104" t="n"/>
      <c r="K14" s="104" t="n"/>
    </row>
    <row r="15" ht="15.75" customHeight="1" s="102">
      <c r="A15" s="104" t="n"/>
      <c r="B15" s="104" t="n"/>
      <c r="C15" s="156" t="inlineStr">
        <is>
          <t>Nivel mínimo esperado:</t>
        </is>
      </c>
      <c r="D15" s="157">
        <f>IF(D8="Mesa de Ayuda","N2 · Administrado",IF(D8="Mesa de Soporte","N3 · Definido","— Seleccionar tipo"))</f>
        <v/>
      </c>
      <c r="E15" s="140" t="n"/>
      <c r="F15" s="140" t="n"/>
      <c r="G15" s="118" t="n"/>
      <c r="H15" s="104" t="n"/>
      <c r="I15" s="156" t="inlineStr">
        <is>
          <t>Nivel global operativo (promedio):</t>
        </is>
      </c>
      <c r="J15" s="158">
        <f>IFERROR(AVERAGEIF(F20:F39,"&lt;&gt;"),"")</f>
        <v/>
      </c>
      <c r="K15" s="104" t="n"/>
    </row>
    <row r="16" ht="15" customHeight="1" s="102">
      <c r="A16" s="104" t="n"/>
      <c r="B16" s="104" t="n"/>
      <c r="C16" s="159" t="inlineStr">
        <is>
          <t>Nivel mínimo (número):</t>
        </is>
      </c>
      <c r="D16" s="160">
        <f>IF(D8="Mesa de Ayuda",2,IF(D8="Mesa de Soporte",3,0))</f>
        <v/>
      </c>
      <c r="E16" s="104" t="n"/>
      <c r="F16" s="104" t="n"/>
      <c r="G16" s="104" t="n"/>
      <c r="H16" s="104" t="n"/>
      <c r="I16" s="104" t="n"/>
      <c r="J16" s="104" t="n"/>
      <c r="K16" s="104" t="n"/>
    </row>
    <row r="17">
      <c r="A17" s="104" t="n"/>
      <c r="B17" s="104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</row>
    <row r="18" ht="42" customHeight="1" s="102">
      <c r="A18" s="104" t="n"/>
      <c r="B18" s="134" t="inlineStr">
        <is>
          <t>#</t>
        </is>
      </c>
      <c r="C18" s="134" t="inlineStr">
        <is>
          <t>Práctica</t>
        </is>
      </c>
      <c r="D18" s="134" t="inlineStr">
        <is>
          <t>Origen</t>
        </is>
      </c>
      <c r="E18" s="134" t="inlineStr">
        <is>
          <t>Nivel mínimo
esperado</t>
        </is>
      </c>
      <c r="F18" s="161" t="inlineStr">
        <is>
          <t>Nivel actual
(0=N0 · 5=N5)
▼ dropdown</t>
        </is>
      </c>
      <c r="G18" s="134" t="inlineStr">
        <is>
          <t>Nivel objetivo
(N0–N5)</t>
        </is>
      </c>
      <c r="H18" s="162" t="inlineStr">
        <is>
          <t>Brecha</t>
        </is>
      </c>
      <c r="I18" s="134" t="inlineStr">
        <is>
          <t>Evidencia / observación</t>
        </is>
      </c>
      <c r="J18" s="134" t="inlineStr">
        <is>
          <t>Herramienta / Nota</t>
        </is>
      </c>
      <c r="K18" s="163" t="inlineStr">
        <is>
          <t>¿Bajo mínimo?</t>
        </is>
      </c>
    </row>
    <row r="19" ht="19.5" customHeight="1" s="102">
      <c r="A19" s="104" t="n"/>
      <c r="B19" s="112" t="inlineStr">
        <is>
          <t>D1 · Organizaciones y Personas</t>
        </is>
      </c>
      <c r="C19" s="140" t="n"/>
      <c r="D19" s="140" t="n"/>
      <c r="E19" s="140" t="n"/>
      <c r="F19" s="140" t="n"/>
      <c r="G19" s="140" t="n"/>
      <c r="H19" s="140" t="n"/>
      <c r="I19" s="140" t="n"/>
      <c r="J19" s="118" t="n"/>
      <c r="K19" s="104" t="n"/>
    </row>
    <row r="20" ht="30" customHeight="1" s="102">
      <c r="A20" s="104" t="n"/>
      <c r="B20" s="141" t="n">
        <v>1</v>
      </c>
      <c r="C20" s="112" t="inlineStr">
        <is>
          <t>Gobierno de roles (RACI)</t>
        </is>
      </c>
      <c r="D20" s="142" t="inlineStr">
        <is>
          <t>Feedback operativo</t>
        </is>
      </c>
      <c r="E20" s="135">
        <f>IF($D$8="Mesa de Ayuda","N2 · Administrado",IF($D$8="Mesa de Soporte","N3 · Definido","—"))</f>
        <v/>
      </c>
      <c r="F20" s="164" t="n"/>
      <c r="G20" s="165" t="n"/>
      <c r="H20" s="166">
        <f>IF(AND(F20&lt;&gt;"",G20&lt;&gt;""),G20-F20,"")</f>
        <v/>
      </c>
      <c r="I20" s="167" t="n"/>
      <c r="J20" s="167" t="n"/>
      <c r="K20" s="168">
        <f>IF(F20="","—",IF(F20&lt;$D$16,"⛔ Bajo mínimo",IF(F20=$D$16,"✅ En mínimo","✔ Sobre mínimo")))</f>
        <v/>
      </c>
    </row>
    <row r="21" ht="30" customHeight="1" s="102">
      <c r="A21" s="104" t="n"/>
      <c r="B21" s="141" t="n">
        <v>2</v>
      </c>
      <c r="C21" s="112" t="inlineStr">
        <is>
          <t>Capacidad y dimensionamiento del equipo</t>
        </is>
      </c>
      <c r="D21" s="144" t="inlineStr">
        <is>
          <t>ITIL Foundation</t>
        </is>
      </c>
      <c r="E21" s="135">
        <f>IF($D$8="Mesa de Ayuda","N2 · Administrado",IF($D$8="Mesa de Soporte","N3 · Definido","—"))</f>
        <v/>
      </c>
      <c r="F21" s="164" t="n"/>
      <c r="G21" s="165" t="n"/>
      <c r="H21" s="166">
        <f>IF(AND(F21&lt;&gt;"",G21&lt;&gt;""),G21-F21,"")</f>
        <v/>
      </c>
      <c r="I21" s="167" t="n"/>
      <c r="J21" s="167" t="n"/>
      <c r="K21" s="168">
        <f>IF(F21="","—",IF(F21&lt;$D$16,"⛔ Bajo mínimo",IF(F21=$D$16,"✅ En mínimo","✔ Sobre mínimo")))</f>
        <v/>
      </c>
    </row>
    <row r="22" ht="19.5" customHeight="1" s="102">
      <c r="A22" s="104" t="n"/>
      <c r="B22" s="125" t="inlineStr">
        <is>
          <t>D2 · Información y Tecnología</t>
        </is>
      </c>
      <c r="C22" s="140" t="n"/>
      <c r="D22" s="140" t="n"/>
      <c r="E22" s="140" t="n"/>
      <c r="F22" s="140" t="n"/>
      <c r="G22" s="140" t="n"/>
      <c r="H22" s="140" t="n"/>
      <c r="I22" s="140" t="n"/>
      <c r="J22" s="118" t="n"/>
      <c r="K22" s="104" t="n"/>
    </row>
    <row r="23" ht="30" customHeight="1" s="102">
      <c r="A23" s="104" t="n"/>
      <c r="B23" s="141" t="n">
        <v>3</v>
      </c>
      <c r="C23" s="125" t="inlineStr">
        <is>
          <t>Herramientas y automatización</t>
        </is>
      </c>
      <c r="D23" s="144" t="inlineStr">
        <is>
          <t>ITIL Foundation</t>
        </is>
      </c>
      <c r="E23" s="135">
        <f>IF($D$8="Mesa de Ayuda","N2 · Administrado",IF($D$8="Mesa de Soporte","N3 · Definido","—"))</f>
        <v/>
      </c>
      <c r="F23" s="164" t="n"/>
      <c r="G23" s="165" t="n"/>
      <c r="H23" s="166">
        <f>IF(AND(F23&lt;&gt;"",G23&lt;&gt;""),G23-F23,"")</f>
        <v/>
      </c>
      <c r="I23" s="167" t="n"/>
      <c r="J23" s="167" t="n"/>
      <c r="K23" s="168">
        <f>IF(F23="","—",IF(F23&lt;$D$16,"⛔ Bajo mínimo",IF(F23=$D$16,"✅ En mínimo","✔ Sobre mínimo")))</f>
        <v/>
      </c>
    </row>
    <row r="24" ht="30" customHeight="1" s="102">
      <c r="A24" s="104" t="n"/>
      <c r="B24" s="141" t="n">
        <v>4</v>
      </c>
      <c r="C24" s="125" t="inlineStr">
        <is>
          <t>Gestión del conocimiento (KEDB)</t>
        </is>
      </c>
      <c r="D24" s="146" t="inlineStr">
        <is>
          <t>Monitor, Support &amp; Fulfill</t>
        </is>
      </c>
      <c r="E24" s="135">
        <f>IF($D$8="Mesa de Ayuda","N2 · Administrado",IF($D$8="Mesa de Soporte","N3 · Definido","—"))</f>
        <v/>
      </c>
      <c r="F24" s="164" t="n"/>
      <c r="G24" s="165" t="n"/>
      <c r="H24" s="166">
        <f>IF(AND(F24&lt;&gt;"",G24&lt;&gt;""),G24-F24,"")</f>
        <v/>
      </c>
      <c r="I24" s="167" t="n"/>
      <c r="J24" s="167" t="n"/>
      <c r="K24" s="168">
        <f>IF(F24="","—",IF(F24&lt;$D$16,"⛔ Bajo mínimo",IF(F24=$D$16,"✅ En mínimo","✔ Sobre mínimo")))</f>
        <v/>
      </c>
    </row>
    <row r="25" ht="30" customHeight="1" s="102">
      <c r="A25" s="104" t="n"/>
      <c r="B25" s="141" t="n">
        <v>5</v>
      </c>
      <c r="C25" s="125" t="inlineStr">
        <is>
          <t>Gestión de integraciones y entorno de aplicaciones</t>
        </is>
      </c>
      <c r="D25" s="142" t="inlineStr">
        <is>
          <t>Feedback operativo</t>
        </is>
      </c>
      <c r="E25" s="135">
        <f>IF($D$8="Mesa de Ayuda","N2 · Administrado",IF($D$8="Mesa de Soporte","N3 · Definido","—"))</f>
        <v/>
      </c>
      <c r="F25" s="164" t="n"/>
      <c r="G25" s="165" t="n"/>
      <c r="H25" s="166">
        <f>IF(AND(F25&lt;&gt;"",G25&lt;&gt;""),G25-F25,"")</f>
        <v/>
      </c>
      <c r="I25" s="167" t="n"/>
      <c r="J25" s="167" t="n"/>
      <c r="K25" s="168">
        <f>IF(F25="","—",IF(F25&lt;$D$16,"⛔ Bajo mínimo",IF(F25=$D$16,"✅ En mínimo","✔ Sobre mínimo")))</f>
        <v/>
      </c>
    </row>
    <row r="26" ht="30" customHeight="1" s="102">
      <c r="A26" s="104" t="n"/>
      <c r="B26" s="141" t="n">
        <v>6</v>
      </c>
      <c r="C26" s="125" t="inlineStr">
        <is>
          <t>Monitoreo y gestión de eventos</t>
        </is>
      </c>
      <c r="D26" s="146" t="inlineStr">
        <is>
          <t>Monitor, Support &amp; Fulfill</t>
        </is>
      </c>
      <c r="E26" s="135">
        <f>IF($D$8="Mesa de Ayuda","N2 · Administrado",IF($D$8="Mesa de Soporte","N3 · Definido","—"))</f>
        <v/>
      </c>
      <c r="F26" s="164" t="n"/>
      <c r="G26" s="165" t="n"/>
      <c r="H26" s="166">
        <f>IF(AND(F26&lt;&gt;"",G26&lt;&gt;""),G26-F26,"")</f>
        <v/>
      </c>
      <c r="I26" s="167" t="n"/>
      <c r="J26" s="167" t="n"/>
      <c r="K26" s="168">
        <f>IF(F26="","—",IF(F26&lt;$D$16,"⛔ Bajo mínimo",IF(F26=$D$16,"✅ En mínimo","✔ Sobre mínimo")))</f>
        <v/>
      </c>
    </row>
    <row r="27" ht="19.5" customHeight="1" s="102">
      <c r="A27" s="104" t="n"/>
      <c r="B27" s="148" t="inlineStr">
        <is>
          <t>D3 · Socios y Proveedores</t>
        </is>
      </c>
      <c r="C27" s="140" t="n"/>
      <c r="D27" s="140" t="n"/>
      <c r="E27" s="140" t="n"/>
      <c r="F27" s="140" t="n"/>
      <c r="G27" s="140" t="n"/>
      <c r="H27" s="140" t="n"/>
      <c r="I27" s="140" t="n"/>
      <c r="J27" s="118" t="n"/>
      <c r="K27" s="104" t="n"/>
    </row>
    <row r="28" ht="30" customHeight="1" s="102">
      <c r="A28" s="104" t="n"/>
      <c r="B28" s="141" t="n">
        <v>7</v>
      </c>
      <c r="C28" s="148" t="inlineStr">
        <is>
          <t>Service Desk — punto único de contacto</t>
        </is>
      </c>
      <c r="D28" s="146" t="inlineStr">
        <is>
          <t>Monitor, Support &amp; Fulfill</t>
        </is>
      </c>
      <c r="E28" s="135">
        <f>IF($D$8="Mesa de Ayuda","N2 · Administrado",IF($D$8="Mesa de Soporte","N3 · Definido","—"))</f>
        <v/>
      </c>
      <c r="F28" s="164" t="n"/>
      <c r="G28" s="165" t="n"/>
      <c r="H28" s="166">
        <f>IF(AND(F28&lt;&gt;"",G28&lt;&gt;""),G28-F28,"")</f>
        <v/>
      </c>
      <c r="I28" s="167" t="n"/>
      <c r="J28" s="167" t="n"/>
      <c r="K28" s="168">
        <f>IF(F28="","—",IF(F28&lt;$D$16,"⛔ Bajo mínimo",IF(F28=$D$16,"✅ En mínimo","✔ Sobre mínimo")))</f>
        <v/>
      </c>
    </row>
    <row r="29" ht="30" customHeight="1" s="102">
      <c r="A29" s="104" t="n"/>
      <c r="B29" s="141" t="n">
        <v>8</v>
      </c>
      <c r="C29" s="148" t="inlineStr">
        <is>
          <t>Catálogo de servicios y límites del alcance</t>
        </is>
      </c>
      <c r="D29" s="146" t="inlineStr">
        <is>
          <t>ITIL Service</t>
        </is>
      </c>
      <c r="E29" s="135">
        <f>IF($D$8="Mesa de Ayuda","N2 · Administrado",IF($D$8="Mesa de Soporte","N3 · Definido","—"))</f>
        <v/>
      </c>
      <c r="F29" s="164" t="n"/>
      <c r="G29" s="165" t="n"/>
      <c r="H29" s="166">
        <f>IF(AND(F29&lt;&gt;"",G29&lt;&gt;""),G29-F29,"")</f>
        <v/>
      </c>
      <c r="I29" s="167" t="n"/>
      <c r="J29" s="167" t="n"/>
      <c r="K29" s="168">
        <f>IF(F29="","—",IF(F29&lt;$D$16,"⛔ Bajo mínimo",IF(F29=$D$16,"✅ En mínimo","✔ Sobre mínimo")))</f>
        <v/>
      </c>
    </row>
    <row r="30" ht="30" customHeight="1" s="102">
      <c r="A30" s="104" t="n"/>
      <c r="B30" s="141" t="n">
        <v>9</v>
      </c>
      <c r="C30" s="148" t="inlineStr">
        <is>
          <t>SLA / ANS + XLA por prioridad</t>
        </is>
      </c>
      <c r="D30" s="146" t="inlineStr">
        <is>
          <t>ITIL Service</t>
        </is>
      </c>
      <c r="E30" s="135">
        <f>IF($D$8="Mesa de Ayuda","N2 · Administrado",IF($D$8="Mesa de Soporte","N3 · Definido","—"))</f>
        <v/>
      </c>
      <c r="F30" s="164" t="n"/>
      <c r="G30" s="165" t="n"/>
      <c r="H30" s="166">
        <f>IF(AND(F30&lt;&gt;"",G30&lt;&gt;""),G30-F30,"")</f>
        <v/>
      </c>
      <c r="I30" s="167" t="n"/>
      <c r="J30" s="167" t="n"/>
      <c r="K30" s="168">
        <f>IF(F30="","—",IF(F30&lt;$D$16,"⛔ Bajo mínimo",IF(F30=$D$16,"✅ En mínimo","✔ Sobre mínimo")))</f>
        <v/>
      </c>
    </row>
    <row r="31" ht="30" customHeight="1" s="102">
      <c r="A31" s="104" t="n"/>
      <c r="B31" s="141" t="n">
        <v>10</v>
      </c>
      <c r="C31" s="148" t="inlineStr">
        <is>
          <t>Disponibilidad y cobertura horaria</t>
        </is>
      </c>
      <c r="D31" s="142" t="inlineStr">
        <is>
          <t>Feedback operativo</t>
        </is>
      </c>
      <c r="E31" s="135">
        <f>IF($D$8="Mesa de Ayuda","N2 · Administrado",IF($D$8="Mesa de Soporte","N3 · Definido","—"))</f>
        <v/>
      </c>
      <c r="F31" s="164" t="n"/>
      <c r="G31" s="165" t="n"/>
      <c r="H31" s="166">
        <f>IF(AND(F31&lt;&gt;"",G31&lt;&gt;""),G31-F31,"")</f>
        <v/>
      </c>
      <c r="I31" s="167" t="n"/>
      <c r="J31" s="167" t="n"/>
      <c r="K31" s="168">
        <f>IF(F31="","—",IF(F31&lt;$D$16,"⛔ Bajo mínimo",IF(F31=$D$16,"✅ En mínimo","✔ Sobre mínimo")))</f>
        <v/>
      </c>
    </row>
    <row r="32" ht="19.5" customHeight="1" s="102">
      <c r="A32" s="104" t="n"/>
      <c r="B32" s="112" t="inlineStr">
        <is>
          <t>D4 · Flujos de Valor y Procesos</t>
        </is>
      </c>
      <c r="C32" s="140" t="n"/>
      <c r="D32" s="140" t="n"/>
      <c r="E32" s="140" t="n"/>
      <c r="F32" s="140" t="n"/>
      <c r="G32" s="140" t="n"/>
      <c r="H32" s="140" t="n"/>
      <c r="I32" s="140" t="n"/>
      <c r="J32" s="118" t="n"/>
      <c r="K32" s="104" t="n"/>
    </row>
    <row r="33" ht="30" customHeight="1" s="102">
      <c r="A33" s="104" t="n"/>
      <c r="B33" s="141" t="n">
        <v>11</v>
      </c>
      <c r="C33" s="112" t="inlineStr">
        <is>
          <t>Gestión de incidentes</t>
        </is>
      </c>
      <c r="D33" s="146" t="inlineStr">
        <is>
          <t>Monitor, Support &amp; Fulfill</t>
        </is>
      </c>
      <c r="E33" s="135">
        <f>IF($D$8="Mesa de Ayuda","N2 · Administrado",IF($D$8="Mesa de Soporte","N3 · Definido","—"))</f>
        <v/>
      </c>
      <c r="F33" s="164" t="n"/>
      <c r="G33" s="165" t="n"/>
      <c r="H33" s="166">
        <f>IF(AND(F33&lt;&gt;"",G33&lt;&gt;""),G33-F33,"")</f>
        <v/>
      </c>
      <c r="I33" s="167" t="n"/>
      <c r="J33" s="167" t="n"/>
      <c r="K33" s="168">
        <f>IF(F33="","—",IF(F33&lt;$D$16,"⛔ Bajo mínimo",IF(F33=$D$16,"✅ En mínimo","✔ Sobre mínimo")))</f>
        <v/>
      </c>
    </row>
    <row r="34" ht="30" customHeight="1" s="102">
      <c r="A34" s="104" t="n"/>
      <c r="B34" s="141" t="n">
        <v>12</v>
      </c>
      <c r="C34" s="112" t="inlineStr">
        <is>
          <t>Gestión de solicitudes</t>
        </is>
      </c>
      <c r="D34" s="146" t="inlineStr">
        <is>
          <t>Monitor, Support &amp; Fulfill</t>
        </is>
      </c>
      <c r="E34" s="135">
        <f>IF($D$8="Mesa de Ayuda","N2 · Administrado",IF($D$8="Mesa de Soporte","N3 · Definido","—"))</f>
        <v/>
      </c>
      <c r="F34" s="164" t="n"/>
      <c r="G34" s="165" t="n"/>
      <c r="H34" s="166">
        <f>IF(AND(F34&lt;&gt;"",G34&lt;&gt;""),G34-F34,"")</f>
        <v/>
      </c>
      <c r="I34" s="167" t="n"/>
      <c r="J34" s="167" t="n"/>
      <c r="K34" s="168">
        <f>IF(F34="","—",IF(F34&lt;$D$16,"⛔ Bajo mínimo",IF(F34=$D$16,"✅ En mínimo","✔ Sobre mínimo")))</f>
        <v/>
      </c>
    </row>
    <row r="35" ht="30" customHeight="1" s="102">
      <c r="A35" s="104" t="n"/>
      <c r="B35" s="141" t="n">
        <v>13</v>
      </c>
      <c r="C35" s="112" t="inlineStr">
        <is>
          <t>Gestión de problemas (causa raíz)</t>
        </is>
      </c>
      <c r="D35" s="146" t="inlineStr">
        <is>
          <t>Monitor, Support &amp; Fulfill</t>
        </is>
      </c>
      <c r="E35" s="135">
        <f>IF($D$8="Mesa de Ayuda","N2 · Administrado",IF($D$8="Mesa de Soporte","N3 · Definido","—"))</f>
        <v/>
      </c>
      <c r="F35" s="164" t="n"/>
      <c r="G35" s="165" t="n"/>
      <c r="H35" s="166">
        <f>IF(AND(F35&lt;&gt;"",G35&lt;&gt;""),G35-F35,"")</f>
        <v/>
      </c>
      <c r="I35" s="167" t="n"/>
      <c r="J35" s="167" t="n"/>
      <c r="K35" s="168">
        <f>IF(F35="","—",IF(F35&lt;$D$16,"⛔ Bajo mínimo",IF(F35=$D$16,"✅ En mínimo","✔ Sobre mínimo")))</f>
        <v/>
      </c>
    </row>
    <row r="36" ht="30" customHeight="1" s="102">
      <c r="A36" s="104" t="n"/>
      <c r="B36" s="141" t="n">
        <v>14</v>
      </c>
      <c r="C36" s="112" t="inlineStr">
        <is>
          <t>Gestión del cambio (Change Enablement)</t>
        </is>
      </c>
      <c r="D36" s="146" t="inlineStr">
        <is>
          <t>ITIL Service</t>
        </is>
      </c>
      <c r="E36" s="135">
        <f>IF($D$8="Mesa de Ayuda","N2 · Administrado",IF($D$8="Mesa de Soporte","N3 · Definido","—"))</f>
        <v/>
      </c>
      <c r="F36" s="164" t="n"/>
      <c r="G36" s="165" t="n"/>
      <c r="H36" s="166">
        <f>IF(AND(F36&lt;&gt;"",G36&lt;&gt;""),G36-F36,"")</f>
        <v/>
      </c>
      <c r="I36" s="167" t="n"/>
      <c r="J36" s="167" t="n"/>
      <c r="K36" s="168">
        <f>IF(F36="","—",IF(F36&lt;$D$16,"⛔ Bajo mínimo",IF(F36=$D$16,"✅ En mínimo","✔ Sobre mínimo")))</f>
        <v/>
      </c>
    </row>
    <row r="37" ht="30" customHeight="1" s="102">
      <c r="A37" s="104" t="n"/>
      <c r="B37" s="141" t="n">
        <v>15</v>
      </c>
      <c r="C37" s="112" t="inlineStr">
        <is>
          <t>Transición y onboarding</t>
        </is>
      </c>
      <c r="D37" s="146" t="inlineStr">
        <is>
          <t>ITIL Service</t>
        </is>
      </c>
      <c r="E37" s="135">
        <f>IF($D$8="Mesa de Ayuda","N2 · Administrado",IF($D$8="Mesa de Soporte","N3 · Definido","—"))</f>
        <v/>
      </c>
      <c r="F37" s="164" t="n"/>
      <c r="G37" s="165" t="n"/>
      <c r="H37" s="166">
        <f>IF(AND(F37&lt;&gt;"",G37&lt;&gt;""),G37-F37,"")</f>
        <v/>
      </c>
      <c r="I37" s="167" t="n"/>
      <c r="J37" s="167" t="n"/>
      <c r="K37" s="168">
        <f>IF(F37="","—",IF(F37&lt;$D$16,"⛔ Bajo mínimo",IF(F37=$D$16,"✅ En mínimo","✔ Sobre mínimo")))</f>
        <v/>
      </c>
    </row>
    <row r="38" ht="30" customHeight="1" s="102">
      <c r="A38" s="104" t="n"/>
      <c r="B38" s="141" t="n">
        <v>16</v>
      </c>
      <c r="C38" s="112" t="inlineStr">
        <is>
          <t>Mejora continua del servicio</t>
        </is>
      </c>
      <c r="D38" s="146" t="inlineStr">
        <is>
          <t>Collaborate, Assure &amp; Improve</t>
        </is>
      </c>
      <c r="E38" s="135">
        <f>IF($D$8="Mesa de Ayuda","N2 · Administrado",IF($D$8="Mesa de Soporte","N3 · Definido","—"))</f>
        <v/>
      </c>
      <c r="F38" s="164" t="n"/>
      <c r="G38" s="165" t="n"/>
      <c r="H38" s="166">
        <f>IF(AND(F38&lt;&gt;"",G38&lt;&gt;""),G38-F38,"")</f>
        <v/>
      </c>
      <c r="I38" s="167" t="n"/>
      <c r="J38" s="167" t="n"/>
      <c r="K38" s="168">
        <f>IF(F38="","—",IF(F38&lt;$D$16,"⛔ Bajo mínimo",IF(F38=$D$16,"✅ En mínimo","✔ Sobre mínimo")))</f>
        <v/>
      </c>
    </row>
    <row r="39" ht="30" customHeight="1" s="102">
      <c r="A39" s="104" t="n"/>
      <c r="B39" s="141" t="n">
        <v>17</v>
      </c>
      <c r="C39" s="112" t="inlineStr">
        <is>
          <t>Experiencia del cliente (CX / NPS / CSAT / XLA)</t>
        </is>
      </c>
      <c r="D39" s="149" t="inlineStr">
        <is>
          <t>ITIL Experience</t>
        </is>
      </c>
      <c r="E39" s="135">
        <f>IF($D$8="Mesa de Ayuda","N2 · Administrado",IF($D$8="Mesa de Soporte","N3 · Definido","—"))</f>
        <v/>
      </c>
      <c r="F39" s="164" t="n"/>
      <c r="G39" s="165" t="n"/>
      <c r="H39" s="166">
        <f>IF(AND(F39&lt;&gt;"",G39&lt;&gt;""),G39-F39,"")</f>
        <v/>
      </c>
      <c r="I39" s="167" t="n"/>
      <c r="J39" s="167" t="n"/>
      <c r="K39" s="168">
        <f>IF(F39="","—",IF(F39&lt;$D$16,"⛔ Bajo mínimo",IF(F39=$D$16,"✅ En mínimo","✔ Sobre mínimo")))</f>
        <v/>
      </c>
    </row>
    <row r="40" ht="19.5" customHeight="1" s="102">
      <c r="A40" s="104" t="n"/>
      <c r="B40" s="151" t="inlineStr">
        <is>
          <t>Dimensión de Negocio · Éxito comercial y rentabilidad PS</t>
        </is>
      </c>
      <c r="C40" s="140" t="n"/>
      <c r="D40" s="140" t="n"/>
      <c r="E40" s="140" t="n"/>
      <c r="F40" s="140" t="n"/>
      <c r="G40" s="140" t="n"/>
      <c r="H40" s="140" t="n"/>
      <c r="I40" s="140" t="n"/>
      <c r="J40" s="118" t="n"/>
      <c r="K40" s="104" t="n"/>
    </row>
    <row r="41" ht="30" customHeight="1" s="102">
      <c r="A41" s="104" t="n"/>
      <c r="B41" s="141" t="n">
        <v>18</v>
      </c>
      <c r="C41" s="151" t="inlineStr">
        <is>
          <t>Salud financiera del contrato</t>
        </is>
      </c>
      <c r="D41" s="152" t="inlineStr">
        <is>
          <t>Negocio PS</t>
        </is>
      </c>
      <c r="E41" s="160">
        <f>IF($D$8="Mesa de Ayuda","N2 · Administrado",IF($D$8="Mesa de Soporte","N2 · Administrado","—"))</f>
        <v/>
      </c>
      <c r="F41" s="164" t="n"/>
      <c r="G41" s="165" t="n"/>
      <c r="H41" s="166">
        <f>IF(AND(F41&lt;&gt;"",G41&lt;&gt;""),G41-F41,"")</f>
        <v/>
      </c>
      <c r="I41" s="167" t="n"/>
      <c r="J41" s="167" t="n"/>
      <c r="K41" s="168">
        <f>IF(F41="","—",IF(F41&lt;2,"⛔ Bajo N2",IF(F41=2,"✅ En N2","✔ Sobre N2")))</f>
        <v/>
      </c>
    </row>
    <row r="42" ht="30" customHeight="1" s="102">
      <c r="A42" s="104" t="n"/>
      <c r="B42" s="141" t="n">
        <v>19</v>
      </c>
      <c r="C42" s="151" t="inlineStr">
        <is>
          <t>Retención y crecimiento de cuenta</t>
        </is>
      </c>
      <c r="D42" s="152" t="inlineStr">
        <is>
          <t>Negocio PS</t>
        </is>
      </c>
      <c r="E42" s="160">
        <f>IF($D$8="Mesa de Ayuda","N2 · Administrado",IF($D$8="Mesa de Soporte","N2 · Administrado","—"))</f>
        <v/>
      </c>
      <c r="F42" s="164" t="n"/>
      <c r="G42" s="165" t="n"/>
      <c r="H42" s="166">
        <f>IF(AND(F42&lt;&gt;"",G42&lt;&gt;""),G42-F42,"")</f>
        <v/>
      </c>
      <c r="I42" s="167" t="n"/>
      <c r="J42" s="167" t="n"/>
      <c r="K42" s="168">
        <f>IF(F42="","—",IF(F42&lt;2,"⛔ Bajo N2",IF(F42=2,"✅ En N2","✔ Sobre N2")))</f>
        <v/>
      </c>
    </row>
    <row r="43" ht="30" customHeight="1" s="102">
      <c r="A43" s="104" t="n"/>
      <c r="B43" s="141" t="n">
        <v>20</v>
      </c>
      <c r="C43" s="151" t="inlineStr">
        <is>
          <t>NPS / CSAT / XLA del cliente final</t>
        </is>
      </c>
      <c r="D43" s="152" t="inlineStr">
        <is>
          <t>Negocio PS</t>
        </is>
      </c>
      <c r="E43" s="160">
        <f>IF($D$8="Mesa de Ayuda","N2 · Administrado",IF($D$8="Mesa de Soporte","N2 · Administrado","—"))</f>
        <v/>
      </c>
      <c r="F43" s="164" t="n"/>
      <c r="G43" s="165" t="n"/>
      <c r="H43" s="166">
        <f>IF(AND(F43&lt;&gt;"",G43&lt;&gt;""),G43-F43,"")</f>
        <v/>
      </c>
      <c r="I43" s="167" t="n"/>
      <c r="J43" s="167" t="n"/>
      <c r="K43" s="168">
        <f>IF(F43="","—",IF(F43&lt;2,"⛔ Bajo N2",IF(F43=2,"✅ En N2","✔ Sobre N2")))</f>
        <v/>
      </c>
    </row>
    <row r="44" ht="30" customHeight="1" s="102">
      <c r="A44" s="104" t="n"/>
      <c r="B44" s="141" t="n">
        <v>21</v>
      </c>
      <c r="C44" s="151" t="inlineStr">
        <is>
          <t>Eficiencia de costo operativo</t>
        </is>
      </c>
      <c r="D44" s="152" t="inlineStr">
        <is>
          <t>Negocio PS</t>
        </is>
      </c>
      <c r="E44" s="160">
        <f>IF($D$8="Mesa de Ayuda","N2 · Administrado",IF($D$8="Mesa de Soporte","N2 · Administrado","—"))</f>
        <v/>
      </c>
      <c r="F44" s="164" t="n"/>
      <c r="G44" s="165" t="n"/>
      <c r="H44" s="166">
        <f>IF(AND(F44&lt;&gt;"",G44&lt;&gt;""),G44-F44,"")</f>
        <v/>
      </c>
      <c r="I44" s="167" t="n"/>
      <c r="J44" s="167" t="n"/>
      <c r="K44" s="168">
        <f>IF(F44="","—",IF(F44&lt;2,"⛔ Bajo N2",IF(F44=2,"✅ En N2","✔ Sobre N2")))</f>
        <v/>
      </c>
    </row>
  </sheetData>
  <mergeCells count="17">
    <mergeCell ref="D12:H12"/>
    <mergeCell ref="C3:J3"/>
    <mergeCell ref="D7:H7"/>
    <mergeCell ref="D8:H8"/>
    <mergeCell ref="D6:H6"/>
    <mergeCell ref="B19:J19"/>
    <mergeCell ref="D10:H10"/>
    <mergeCell ref="B22:J22"/>
    <mergeCell ref="B32:J32"/>
    <mergeCell ref="C2:J2"/>
    <mergeCell ref="D11:H11"/>
    <mergeCell ref="D13:H13"/>
    <mergeCell ref="D5:H5"/>
    <mergeCell ref="B27:J27"/>
    <mergeCell ref="D15:G15"/>
    <mergeCell ref="B40:J40"/>
    <mergeCell ref="D9:H9"/>
  </mergeCells>
  <conditionalFormatting sqref="F19:F44">
    <cfRule type="expression" rank="0" priority="2" equalAverage="0" aboveAverage="0" dxfId="0" text="" percent="0" bottom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rank="0" priority="4" equalAverage="0" operator="greaterThan" aboveAverage="0" dxfId="1" text="" percent="0" bottom="0">
      <formula>1</formula>
    </cfRule>
    <cfRule type="cellIs" rank="0" priority="5" equalAverage="0" operator="lessThan" aboveAverage="0" dxfId="0" text="" percent="0" bottom="0">
      <formula>0</formula>
    </cfRule>
  </conditionalFormatting>
  <conditionalFormatting sqref="H20:H44">
    <cfRule type="cellIs" rank="0" priority="6" equalAverage="0" operator="lessThan" aboveAverage="0" dxfId="2" text="" percent="0" bottom="0">
      <formula>0</formula>
    </cfRule>
    <cfRule type="cellIs" rank="0" priority="7" equalAverage="0" operator="equal" aboveAverage="0" dxfId="3" text="" percent="0" bottom="0">
      <formula>0</formula>
    </cfRule>
    <cfRule type="cellIs" rank="0" priority="8" equalAverage="0" operator="greaterThan" aboveAverage="0" dxfId="4" text="" percent="0" bottom="0">
      <formula>0</formula>
    </cfRule>
  </conditionalFormatting>
  <dataValidations count="1">
    <dataValidation sqref="F20:F44" showDropDown="0" showInputMessage="0" showErrorMessage="1" allowBlank="1" errorTitle="Nivel inválido" error="Ingresa 0 (N0) a 5 (N5)" type="list" errorStyle="stop" operator="between">
      <formula1>"0,1,2,3,4,5"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000072BC"/>
    <outlinePr summaryBelow="1" summaryRight="1"/>
    <pageSetUpPr fitToPage="0"/>
  </sheetPr>
  <dimension ref="A1:K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baseColWidth="8" defaultColWidth="8.6328125" defaultRowHeight="14.25" zeroHeight="0" outlineLevelRow="0"/>
  <cols>
    <col width="2" customWidth="1" style="101" min="1" max="1"/>
    <col width="4" customWidth="1" style="101" min="2" max="2"/>
    <col width="30" customWidth="1" style="101" min="3" max="3"/>
    <col width="20" customWidth="1" style="101" min="4" max="4"/>
    <col width="16" customWidth="1" style="101" min="5" max="5"/>
    <col width="13" customWidth="1" style="101" min="6" max="7"/>
    <col width="8" customWidth="1" style="101" min="8" max="8"/>
    <col width="40" customWidth="1" style="101" min="9" max="9"/>
    <col width="18" customWidth="1" style="101" min="10" max="10"/>
    <col width="14" customWidth="1" style="101" min="11" max="11"/>
  </cols>
  <sheetData>
    <row r="1">
      <c r="A1" s="104" t="n"/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17.25" customHeight="1" s="102">
      <c r="A2" s="104" t="n"/>
      <c r="B2" s="104" t="n"/>
      <c r="C2" s="129" t="inlineStr">
        <is>
          <t>Evaluación de Madurez · GIOTI 3</t>
        </is>
      </c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3" ht="15" customHeight="1" s="102">
      <c r="A3" s="104" t="n"/>
      <c r="B3" s="104" t="n"/>
      <c r="C3" s="130" t="inlineStr">
        <is>
          <t>PersonalSoft · Bancolombia · Modelo de Madurez v1.0 · ITIL v5</t>
        </is>
      </c>
      <c r="D3" s="104" t="n"/>
      <c r="E3" s="104" t="n"/>
      <c r="F3" s="104" t="n"/>
      <c r="G3" s="104" t="n"/>
      <c r="H3" s="104" t="n"/>
      <c r="I3" s="104" t="n"/>
      <c r="J3" s="104" t="n"/>
      <c r="K3" s="104" t="n"/>
    </row>
    <row r="4">
      <c r="A4" s="104" t="n"/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</row>
    <row r="5" ht="15" customHeight="1" s="102">
      <c r="A5" s="104" t="n"/>
      <c r="B5" s="104" t="n"/>
      <c r="C5" s="153" t="inlineStr">
        <is>
          <t>Nombre de la mesa:</t>
        </is>
      </c>
      <c r="D5" s="154" t="inlineStr">
        <is>
          <t>GIOTI 3</t>
        </is>
      </c>
      <c r="E5" s="140" t="n"/>
      <c r="F5" s="140" t="n"/>
      <c r="G5" s="140" t="n"/>
      <c r="H5" s="118" t="n"/>
      <c r="I5" s="104" t="n"/>
      <c r="J5" s="104" t="n"/>
      <c r="K5" s="104" t="n"/>
    </row>
    <row r="6" ht="15" customHeight="1" s="102">
      <c r="A6" s="104" t="n"/>
      <c r="B6" s="104" t="n"/>
      <c r="C6" s="153" t="inlineStr">
        <is>
          <t>Cliente:</t>
        </is>
      </c>
      <c r="D6" s="154" t="inlineStr">
        <is>
          <t>Bancolombia</t>
        </is>
      </c>
      <c r="E6" s="140" t="n"/>
      <c r="F6" s="140" t="n"/>
      <c r="G6" s="140" t="n"/>
      <c r="H6" s="118" t="n"/>
      <c r="I6" s="104" t="n"/>
      <c r="J6" s="104" t="n"/>
      <c r="K6" s="104" t="n"/>
    </row>
    <row r="7" ht="15" customHeight="1" s="102">
      <c r="A7" s="104" t="n"/>
      <c r="B7" s="104" t="n"/>
      <c r="C7" s="153" t="inlineStr">
        <is>
          <t>Sector:</t>
        </is>
      </c>
      <c r="D7" s="154" t="inlineStr">
        <is>
          <t>Banca</t>
        </is>
      </c>
      <c r="E7" s="140" t="n"/>
      <c r="F7" s="140" t="n"/>
      <c r="G7" s="140" t="n"/>
      <c r="H7" s="118" t="n"/>
      <c r="I7" s="104" t="n"/>
      <c r="J7" s="104" t="n"/>
      <c r="K7" s="104" t="n"/>
    </row>
    <row r="8" ht="15" customHeight="1" s="102">
      <c r="A8" s="104" t="n"/>
      <c r="B8" s="104" t="n"/>
      <c r="C8" s="153" t="inlineStr">
        <is>
          <t>Tipo de mesa:</t>
        </is>
      </c>
      <c r="D8" s="154" t="n"/>
      <c r="E8" s="140" t="n"/>
      <c r="F8" s="140" t="n"/>
      <c r="G8" s="140" t="n"/>
      <c r="H8" s="118" t="n"/>
      <c r="I8" s="104" t="n"/>
      <c r="J8" s="104" t="n"/>
      <c r="K8" s="104" t="n"/>
    </row>
    <row r="9" ht="15" customHeight="1" s="102">
      <c r="A9" s="104" t="n"/>
      <c r="B9" s="104" t="n"/>
      <c r="C9" s="153" t="inlineStr">
        <is>
          <t>¿N0 activo?:</t>
        </is>
      </c>
      <c r="D9" s="154" t="inlineStr">
        <is>
          <t>No</t>
        </is>
      </c>
      <c r="E9" s="140" t="n"/>
      <c r="F9" s="140" t="n"/>
      <c r="G9" s="140" t="n"/>
      <c r="H9" s="118" t="n"/>
      <c r="I9" s="104" t="n"/>
      <c r="J9" s="104" t="n"/>
      <c r="K9" s="104" t="n"/>
    </row>
    <row r="10" ht="15" customHeight="1" s="102">
      <c r="A10" s="104" t="n"/>
      <c r="B10" s="104" t="n"/>
      <c r="C10" s="153" t="inlineStr">
        <is>
          <t>Evaluador:</t>
        </is>
      </c>
      <c r="D10" s="154" t="n"/>
      <c r="E10" s="140" t="n"/>
      <c r="F10" s="140" t="n"/>
      <c r="G10" s="140" t="n"/>
      <c r="H10" s="118" t="n"/>
      <c r="I10" s="104" t="n"/>
      <c r="J10" s="104" t="n"/>
      <c r="K10" s="104" t="n"/>
    </row>
    <row r="11" ht="15" customHeight="1" s="102">
      <c r="A11" s="104" t="n"/>
      <c r="B11" s="104" t="n"/>
      <c r="C11" s="153" t="inlineStr">
        <is>
          <t>Fecha de evaluación:</t>
        </is>
      </c>
      <c r="D11" s="155" t="n"/>
      <c r="E11" s="140" t="n"/>
      <c r="F11" s="140" t="n"/>
      <c r="G11" s="140" t="n"/>
      <c r="H11" s="118" t="n"/>
      <c r="I11" s="104" t="n"/>
      <c r="J11" s="104" t="n"/>
      <c r="K11" s="104" t="n"/>
    </row>
    <row r="12" ht="15" customHeight="1" s="102">
      <c r="A12" s="104" t="n"/>
      <c r="B12" s="104" t="n"/>
      <c r="C12" s="153" t="inlineStr">
        <is>
          <t>Herramienta de tickets:</t>
        </is>
      </c>
      <c r="D12" s="154" t="n"/>
      <c r="E12" s="140" t="n"/>
      <c r="F12" s="140" t="n"/>
      <c r="G12" s="140" t="n"/>
      <c r="H12" s="118" t="n"/>
      <c r="I12" s="104" t="n"/>
      <c r="J12" s="104" t="n"/>
      <c r="K12" s="104" t="n"/>
    </row>
    <row r="13" ht="15" customHeight="1" s="102">
      <c r="A13" s="104" t="n"/>
      <c r="B13" s="104" t="n"/>
      <c r="C13" s="153" t="inlineStr">
        <is>
          <t>Horario de servicio:</t>
        </is>
      </c>
      <c r="D13" s="154" t="n"/>
      <c r="E13" s="140" t="n"/>
      <c r="F13" s="140" t="n"/>
      <c r="G13" s="140" t="n"/>
      <c r="H13" s="118" t="n"/>
      <c r="I13" s="104" t="n"/>
      <c r="J13" s="104" t="n"/>
      <c r="K13" s="104" t="n"/>
    </row>
    <row r="14">
      <c r="A14" s="104" t="n"/>
      <c r="B14" s="104" t="n"/>
      <c r="C14" s="104" t="n"/>
      <c r="D14" s="104" t="n"/>
      <c r="E14" s="104" t="n"/>
      <c r="F14" s="104" t="n"/>
      <c r="G14" s="104" t="n"/>
      <c r="H14" s="104" t="n"/>
      <c r="I14" s="104" t="n"/>
      <c r="J14" s="104" t="n"/>
      <c r="K14" s="104" t="n"/>
    </row>
    <row r="15" ht="15.75" customHeight="1" s="102">
      <c r="A15" s="104" t="n"/>
      <c r="B15" s="104" t="n"/>
      <c r="C15" s="156" t="inlineStr">
        <is>
          <t>Nivel mínimo esperado:</t>
        </is>
      </c>
      <c r="D15" s="157">
        <f>IF(D8="Mesa de Ayuda","N2 · Administrado",IF(D8="Mesa de Soporte","N3 · Definido","— Seleccionar tipo"))</f>
        <v/>
      </c>
      <c r="E15" s="140" t="n"/>
      <c r="F15" s="140" t="n"/>
      <c r="G15" s="118" t="n"/>
      <c r="H15" s="104" t="n"/>
      <c r="I15" s="156" t="inlineStr">
        <is>
          <t>Nivel global operativo (promedio):</t>
        </is>
      </c>
      <c r="J15" s="158">
        <f>IFERROR(AVERAGEIF(F20:F39,"&lt;&gt;"),"")</f>
        <v/>
      </c>
      <c r="K15" s="104" t="n"/>
    </row>
    <row r="16" ht="15" customHeight="1" s="102">
      <c r="A16" s="104" t="n"/>
      <c r="B16" s="104" t="n"/>
      <c r="C16" s="159" t="inlineStr">
        <is>
          <t>Nivel mínimo (número):</t>
        </is>
      </c>
      <c r="D16" s="160">
        <f>IF(D8="Mesa de Ayuda",2,IF(D8="Mesa de Soporte",3,0))</f>
        <v/>
      </c>
      <c r="E16" s="104" t="n"/>
      <c r="F16" s="104" t="n"/>
      <c r="G16" s="104" t="n"/>
      <c r="H16" s="104" t="n"/>
      <c r="I16" s="104" t="n"/>
      <c r="J16" s="104" t="n"/>
      <c r="K16" s="104" t="n"/>
    </row>
    <row r="17">
      <c r="A17" s="104" t="n"/>
      <c r="B17" s="104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</row>
    <row r="18" ht="42" customHeight="1" s="102">
      <c r="A18" s="104" t="n"/>
      <c r="B18" s="134" t="inlineStr">
        <is>
          <t>#</t>
        </is>
      </c>
      <c r="C18" s="134" t="inlineStr">
        <is>
          <t>Práctica</t>
        </is>
      </c>
      <c r="D18" s="134" t="inlineStr">
        <is>
          <t>Origen</t>
        </is>
      </c>
      <c r="E18" s="134" t="inlineStr">
        <is>
          <t>Nivel mínimo
esperado</t>
        </is>
      </c>
      <c r="F18" s="161" t="inlineStr">
        <is>
          <t>Nivel actual
(0=N0 · 5=N5)
▼ dropdown</t>
        </is>
      </c>
      <c r="G18" s="134" t="inlineStr">
        <is>
          <t>Nivel objetivo
(N0–N5)</t>
        </is>
      </c>
      <c r="H18" s="162" t="inlineStr">
        <is>
          <t>Brecha</t>
        </is>
      </c>
      <c r="I18" s="134" t="inlineStr">
        <is>
          <t>Evidencia / observación</t>
        </is>
      </c>
      <c r="J18" s="134" t="inlineStr">
        <is>
          <t>Herramienta / Nota</t>
        </is>
      </c>
      <c r="K18" s="163" t="inlineStr">
        <is>
          <t>¿Bajo mínimo?</t>
        </is>
      </c>
    </row>
    <row r="19" ht="19.5" customHeight="1" s="102">
      <c r="A19" s="104" t="n"/>
      <c r="B19" s="112" t="inlineStr">
        <is>
          <t>D1 · Organizaciones y Personas</t>
        </is>
      </c>
      <c r="C19" s="140" t="n"/>
      <c r="D19" s="140" t="n"/>
      <c r="E19" s="140" t="n"/>
      <c r="F19" s="140" t="n"/>
      <c r="G19" s="140" t="n"/>
      <c r="H19" s="140" t="n"/>
      <c r="I19" s="140" t="n"/>
      <c r="J19" s="118" t="n"/>
      <c r="K19" s="104" t="n"/>
    </row>
    <row r="20" ht="30" customHeight="1" s="102">
      <c r="A20" s="104" t="n"/>
      <c r="B20" s="141" t="n">
        <v>1</v>
      </c>
      <c r="C20" s="112" t="inlineStr">
        <is>
          <t>Gobierno de roles (RACI)</t>
        </is>
      </c>
      <c r="D20" s="142" t="inlineStr">
        <is>
          <t>Feedback operativo</t>
        </is>
      </c>
      <c r="E20" s="135">
        <f>IF($D$8="Mesa de Ayuda","N2 · Administrado",IF($D$8="Mesa de Soporte","N3 · Definido","—"))</f>
        <v/>
      </c>
      <c r="F20" s="164" t="n"/>
      <c r="G20" s="165" t="n"/>
      <c r="H20" s="166">
        <f>IF(AND(F20&lt;&gt;"",G20&lt;&gt;""),G20-F20,"")</f>
        <v/>
      </c>
      <c r="I20" s="167" t="n"/>
      <c r="J20" s="167" t="n"/>
      <c r="K20" s="168">
        <f>IF(F20="","—",IF(F20&lt;$D$16,"⛔ Bajo mínimo",IF(F20=$D$16,"✅ En mínimo","✔ Sobre mínimo")))</f>
        <v/>
      </c>
    </row>
    <row r="21" ht="30" customHeight="1" s="102">
      <c r="A21" s="104" t="n"/>
      <c r="B21" s="141" t="n">
        <v>2</v>
      </c>
      <c r="C21" s="112" t="inlineStr">
        <is>
          <t>Capacidad y dimensionamiento del equipo</t>
        </is>
      </c>
      <c r="D21" s="144" t="inlineStr">
        <is>
          <t>ITIL Foundation</t>
        </is>
      </c>
      <c r="E21" s="135">
        <f>IF($D$8="Mesa de Ayuda","N2 · Administrado",IF($D$8="Mesa de Soporte","N3 · Definido","—"))</f>
        <v/>
      </c>
      <c r="F21" s="164" t="n"/>
      <c r="G21" s="165" t="n"/>
      <c r="H21" s="166">
        <f>IF(AND(F21&lt;&gt;"",G21&lt;&gt;""),G21-F21,"")</f>
        <v/>
      </c>
      <c r="I21" s="167" t="n"/>
      <c r="J21" s="167" t="n"/>
      <c r="K21" s="168">
        <f>IF(F21="","—",IF(F21&lt;$D$16,"⛔ Bajo mínimo",IF(F21=$D$16,"✅ En mínimo","✔ Sobre mínimo")))</f>
        <v/>
      </c>
    </row>
    <row r="22" ht="19.5" customHeight="1" s="102">
      <c r="A22" s="104" t="n"/>
      <c r="B22" s="125" t="inlineStr">
        <is>
          <t>D2 · Información y Tecnología</t>
        </is>
      </c>
      <c r="C22" s="140" t="n"/>
      <c r="D22" s="140" t="n"/>
      <c r="E22" s="140" t="n"/>
      <c r="F22" s="140" t="n"/>
      <c r="G22" s="140" t="n"/>
      <c r="H22" s="140" t="n"/>
      <c r="I22" s="140" t="n"/>
      <c r="J22" s="118" t="n"/>
      <c r="K22" s="104" t="n"/>
    </row>
    <row r="23" ht="30" customHeight="1" s="102">
      <c r="A23" s="104" t="n"/>
      <c r="B23" s="141" t="n">
        <v>3</v>
      </c>
      <c r="C23" s="125" t="inlineStr">
        <is>
          <t>Herramientas y automatización</t>
        </is>
      </c>
      <c r="D23" s="144" t="inlineStr">
        <is>
          <t>ITIL Foundation</t>
        </is>
      </c>
      <c r="E23" s="135">
        <f>IF($D$8="Mesa de Ayuda","N2 · Administrado",IF($D$8="Mesa de Soporte","N3 · Definido","—"))</f>
        <v/>
      </c>
      <c r="F23" s="164" t="n"/>
      <c r="G23" s="165" t="n"/>
      <c r="H23" s="166">
        <f>IF(AND(F23&lt;&gt;"",G23&lt;&gt;""),G23-F23,"")</f>
        <v/>
      </c>
      <c r="I23" s="167" t="n"/>
      <c r="J23" s="167" t="n"/>
      <c r="K23" s="168">
        <f>IF(F23="","—",IF(F23&lt;$D$16,"⛔ Bajo mínimo",IF(F23=$D$16,"✅ En mínimo","✔ Sobre mínimo")))</f>
        <v/>
      </c>
    </row>
    <row r="24" ht="30" customHeight="1" s="102">
      <c r="A24" s="104" t="n"/>
      <c r="B24" s="141" t="n">
        <v>4</v>
      </c>
      <c r="C24" s="125" t="inlineStr">
        <is>
          <t>Gestión del conocimiento (KEDB)</t>
        </is>
      </c>
      <c r="D24" s="146" t="inlineStr">
        <is>
          <t>Monitor, Support &amp; Fulfill</t>
        </is>
      </c>
      <c r="E24" s="135">
        <f>IF($D$8="Mesa de Ayuda","N2 · Administrado",IF($D$8="Mesa de Soporte","N3 · Definido","—"))</f>
        <v/>
      </c>
      <c r="F24" s="164" t="n"/>
      <c r="G24" s="165" t="n"/>
      <c r="H24" s="166">
        <f>IF(AND(F24&lt;&gt;"",G24&lt;&gt;""),G24-F24,"")</f>
        <v/>
      </c>
      <c r="I24" s="167" t="n"/>
      <c r="J24" s="167" t="n"/>
      <c r="K24" s="168">
        <f>IF(F24="","—",IF(F24&lt;$D$16,"⛔ Bajo mínimo",IF(F24=$D$16,"✅ En mínimo","✔ Sobre mínimo")))</f>
        <v/>
      </c>
    </row>
    <row r="25" ht="30" customHeight="1" s="102">
      <c r="A25" s="104" t="n"/>
      <c r="B25" s="141" t="n">
        <v>5</v>
      </c>
      <c r="C25" s="125" t="inlineStr">
        <is>
          <t>Gestión de integraciones y entorno de aplicaciones</t>
        </is>
      </c>
      <c r="D25" s="142" t="inlineStr">
        <is>
          <t>Feedback operativo</t>
        </is>
      </c>
      <c r="E25" s="135">
        <f>IF($D$8="Mesa de Ayuda","N2 · Administrado",IF($D$8="Mesa de Soporte","N3 · Definido","—"))</f>
        <v/>
      </c>
      <c r="F25" s="164" t="n"/>
      <c r="G25" s="165" t="n"/>
      <c r="H25" s="166">
        <f>IF(AND(F25&lt;&gt;"",G25&lt;&gt;""),G25-F25,"")</f>
        <v/>
      </c>
      <c r="I25" s="167" t="n"/>
      <c r="J25" s="167" t="n"/>
      <c r="K25" s="168">
        <f>IF(F25="","—",IF(F25&lt;$D$16,"⛔ Bajo mínimo",IF(F25=$D$16,"✅ En mínimo","✔ Sobre mínimo")))</f>
        <v/>
      </c>
    </row>
    <row r="26" ht="30" customHeight="1" s="102">
      <c r="A26" s="104" t="n"/>
      <c r="B26" s="141" t="n">
        <v>6</v>
      </c>
      <c r="C26" s="125" t="inlineStr">
        <is>
          <t>Monitoreo y gestión de eventos</t>
        </is>
      </c>
      <c r="D26" s="146" t="inlineStr">
        <is>
          <t>Monitor, Support &amp; Fulfill</t>
        </is>
      </c>
      <c r="E26" s="135">
        <f>IF($D$8="Mesa de Ayuda","N2 · Administrado",IF($D$8="Mesa de Soporte","N3 · Definido","—"))</f>
        <v/>
      </c>
      <c r="F26" s="164" t="n"/>
      <c r="G26" s="165" t="n"/>
      <c r="H26" s="166">
        <f>IF(AND(F26&lt;&gt;"",G26&lt;&gt;""),G26-F26,"")</f>
        <v/>
      </c>
      <c r="I26" s="167" t="n"/>
      <c r="J26" s="167" t="n"/>
      <c r="K26" s="168">
        <f>IF(F26="","—",IF(F26&lt;$D$16,"⛔ Bajo mínimo",IF(F26=$D$16,"✅ En mínimo","✔ Sobre mínimo")))</f>
        <v/>
      </c>
    </row>
    <row r="27" ht="19.5" customHeight="1" s="102">
      <c r="A27" s="104" t="n"/>
      <c r="B27" s="148" t="inlineStr">
        <is>
          <t>D3 · Socios y Proveedores</t>
        </is>
      </c>
      <c r="C27" s="140" t="n"/>
      <c r="D27" s="140" t="n"/>
      <c r="E27" s="140" t="n"/>
      <c r="F27" s="140" t="n"/>
      <c r="G27" s="140" t="n"/>
      <c r="H27" s="140" t="n"/>
      <c r="I27" s="140" t="n"/>
      <c r="J27" s="118" t="n"/>
      <c r="K27" s="104" t="n"/>
    </row>
    <row r="28" ht="30" customHeight="1" s="102">
      <c r="A28" s="104" t="n"/>
      <c r="B28" s="141" t="n">
        <v>7</v>
      </c>
      <c r="C28" s="148" t="inlineStr">
        <is>
          <t>Service Desk — punto único de contacto</t>
        </is>
      </c>
      <c r="D28" s="146" t="inlineStr">
        <is>
          <t>Monitor, Support &amp; Fulfill</t>
        </is>
      </c>
      <c r="E28" s="135">
        <f>IF($D$8="Mesa de Ayuda","N2 · Administrado",IF($D$8="Mesa de Soporte","N3 · Definido","—"))</f>
        <v/>
      </c>
      <c r="F28" s="164" t="n"/>
      <c r="G28" s="165" t="n"/>
      <c r="H28" s="166">
        <f>IF(AND(F28&lt;&gt;"",G28&lt;&gt;""),G28-F28,"")</f>
        <v/>
      </c>
      <c r="I28" s="167" t="n"/>
      <c r="J28" s="167" t="n"/>
      <c r="K28" s="168">
        <f>IF(F28="","—",IF(F28&lt;$D$16,"⛔ Bajo mínimo",IF(F28=$D$16,"✅ En mínimo","✔ Sobre mínimo")))</f>
        <v/>
      </c>
    </row>
    <row r="29" ht="30" customHeight="1" s="102">
      <c r="A29" s="104" t="n"/>
      <c r="B29" s="141" t="n">
        <v>8</v>
      </c>
      <c r="C29" s="148" t="inlineStr">
        <is>
          <t>Catálogo de servicios y límites del alcance</t>
        </is>
      </c>
      <c r="D29" s="146" t="inlineStr">
        <is>
          <t>ITIL Service</t>
        </is>
      </c>
      <c r="E29" s="135">
        <f>IF($D$8="Mesa de Ayuda","N2 · Administrado",IF($D$8="Mesa de Soporte","N3 · Definido","—"))</f>
        <v/>
      </c>
      <c r="F29" s="164" t="n"/>
      <c r="G29" s="165" t="n"/>
      <c r="H29" s="166">
        <f>IF(AND(F29&lt;&gt;"",G29&lt;&gt;""),G29-F29,"")</f>
        <v/>
      </c>
      <c r="I29" s="167" t="n"/>
      <c r="J29" s="167" t="n"/>
      <c r="K29" s="168">
        <f>IF(F29="","—",IF(F29&lt;$D$16,"⛔ Bajo mínimo",IF(F29=$D$16,"✅ En mínimo","✔ Sobre mínimo")))</f>
        <v/>
      </c>
    </row>
    <row r="30" ht="30" customHeight="1" s="102">
      <c r="A30" s="104" t="n"/>
      <c r="B30" s="141" t="n">
        <v>9</v>
      </c>
      <c r="C30" s="148" t="inlineStr">
        <is>
          <t>SLA / ANS + XLA por prioridad</t>
        </is>
      </c>
      <c r="D30" s="146" t="inlineStr">
        <is>
          <t>ITIL Service</t>
        </is>
      </c>
      <c r="E30" s="135">
        <f>IF($D$8="Mesa de Ayuda","N2 · Administrado",IF($D$8="Mesa de Soporte","N3 · Definido","—"))</f>
        <v/>
      </c>
      <c r="F30" s="164" t="n"/>
      <c r="G30" s="165" t="n"/>
      <c r="H30" s="166">
        <f>IF(AND(F30&lt;&gt;"",G30&lt;&gt;""),G30-F30,"")</f>
        <v/>
      </c>
      <c r="I30" s="167" t="n"/>
      <c r="J30" s="167" t="n"/>
      <c r="K30" s="168">
        <f>IF(F30="","—",IF(F30&lt;$D$16,"⛔ Bajo mínimo",IF(F30=$D$16,"✅ En mínimo","✔ Sobre mínimo")))</f>
        <v/>
      </c>
    </row>
    <row r="31" ht="30" customHeight="1" s="102">
      <c r="A31" s="104" t="n"/>
      <c r="B31" s="141" t="n">
        <v>10</v>
      </c>
      <c r="C31" s="148" t="inlineStr">
        <is>
          <t>Disponibilidad y cobertura horaria</t>
        </is>
      </c>
      <c r="D31" s="142" t="inlineStr">
        <is>
          <t>Feedback operativo</t>
        </is>
      </c>
      <c r="E31" s="135">
        <f>IF($D$8="Mesa de Ayuda","N2 · Administrado",IF($D$8="Mesa de Soporte","N3 · Definido","—"))</f>
        <v/>
      </c>
      <c r="F31" s="164" t="n"/>
      <c r="G31" s="165" t="n"/>
      <c r="H31" s="166">
        <f>IF(AND(F31&lt;&gt;"",G31&lt;&gt;""),G31-F31,"")</f>
        <v/>
      </c>
      <c r="I31" s="167" t="n"/>
      <c r="J31" s="167" t="n"/>
      <c r="K31" s="168">
        <f>IF(F31="","—",IF(F31&lt;$D$16,"⛔ Bajo mínimo",IF(F31=$D$16,"✅ En mínimo","✔ Sobre mínimo")))</f>
        <v/>
      </c>
    </row>
    <row r="32" ht="19.5" customHeight="1" s="102">
      <c r="A32" s="104" t="n"/>
      <c r="B32" s="112" t="inlineStr">
        <is>
          <t>D4 · Flujos de Valor y Procesos</t>
        </is>
      </c>
      <c r="C32" s="140" t="n"/>
      <c r="D32" s="140" t="n"/>
      <c r="E32" s="140" t="n"/>
      <c r="F32" s="140" t="n"/>
      <c r="G32" s="140" t="n"/>
      <c r="H32" s="140" t="n"/>
      <c r="I32" s="140" t="n"/>
      <c r="J32" s="118" t="n"/>
      <c r="K32" s="104" t="n"/>
    </row>
    <row r="33" ht="30" customHeight="1" s="102">
      <c r="A33" s="104" t="n"/>
      <c r="B33" s="141" t="n">
        <v>11</v>
      </c>
      <c r="C33" s="112" t="inlineStr">
        <is>
          <t>Gestión de incidentes</t>
        </is>
      </c>
      <c r="D33" s="146" t="inlineStr">
        <is>
          <t>Monitor, Support &amp; Fulfill</t>
        </is>
      </c>
      <c r="E33" s="135">
        <f>IF($D$8="Mesa de Ayuda","N2 · Administrado",IF($D$8="Mesa de Soporte","N3 · Definido","—"))</f>
        <v/>
      </c>
      <c r="F33" s="164" t="n"/>
      <c r="G33" s="165" t="n"/>
      <c r="H33" s="166">
        <f>IF(AND(F33&lt;&gt;"",G33&lt;&gt;""),G33-F33,"")</f>
        <v/>
      </c>
      <c r="I33" s="167" t="n"/>
      <c r="J33" s="167" t="n"/>
      <c r="K33" s="168">
        <f>IF(F33="","—",IF(F33&lt;$D$16,"⛔ Bajo mínimo",IF(F33=$D$16,"✅ En mínimo","✔ Sobre mínimo")))</f>
        <v/>
      </c>
    </row>
    <row r="34" ht="30" customHeight="1" s="102">
      <c r="A34" s="104" t="n"/>
      <c r="B34" s="141" t="n">
        <v>12</v>
      </c>
      <c r="C34" s="112" t="inlineStr">
        <is>
          <t>Gestión de solicitudes</t>
        </is>
      </c>
      <c r="D34" s="146" t="inlineStr">
        <is>
          <t>Monitor, Support &amp; Fulfill</t>
        </is>
      </c>
      <c r="E34" s="135">
        <f>IF($D$8="Mesa de Ayuda","N2 · Administrado",IF($D$8="Mesa de Soporte","N3 · Definido","—"))</f>
        <v/>
      </c>
      <c r="F34" s="164" t="n"/>
      <c r="G34" s="165" t="n"/>
      <c r="H34" s="166">
        <f>IF(AND(F34&lt;&gt;"",G34&lt;&gt;""),G34-F34,"")</f>
        <v/>
      </c>
      <c r="I34" s="167" t="n"/>
      <c r="J34" s="167" t="n"/>
      <c r="K34" s="168">
        <f>IF(F34="","—",IF(F34&lt;$D$16,"⛔ Bajo mínimo",IF(F34=$D$16,"✅ En mínimo","✔ Sobre mínimo")))</f>
        <v/>
      </c>
    </row>
    <row r="35" ht="30" customHeight="1" s="102">
      <c r="A35" s="104" t="n"/>
      <c r="B35" s="141" t="n">
        <v>13</v>
      </c>
      <c r="C35" s="112" t="inlineStr">
        <is>
          <t>Gestión de problemas (causa raíz)</t>
        </is>
      </c>
      <c r="D35" s="146" t="inlineStr">
        <is>
          <t>Monitor, Support &amp; Fulfill</t>
        </is>
      </c>
      <c r="E35" s="135">
        <f>IF($D$8="Mesa de Ayuda","N2 · Administrado",IF($D$8="Mesa de Soporte","N3 · Definido","—"))</f>
        <v/>
      </c>
      <c r="F35" s="164" t="n"/>
      <c r="G35" s="165" t="n"/>
      <c r="H35" s="166">
        <f>IF(AND(F35&lt;&gt;"",G35&lt;&gt;""),G35-F35,"")</f>
        <v/>
      </c>
      <c r="I35" s="167" t="n"/>
      <c r="J35" s="167" t="n"/>
      <c r="K35" s="168">
        <f>IF(F35="","—",IF(F35&lt;$D$16,"⛔ Bajo mínimo",IF(F35=$D$16,"✅ En mínimo","✔ Sobre mínimo")))</f>
        <v/>
      </c>
    </row>
    <row r="36" ht="30" customHeight="1" s="102">
      <c r="A36" s="104" t="n"/>
      <c r="B36" s="141" t="n">
        <v>14</v>
      </c>
      <c r="C36" s="112" t="inlineStr">
        <is>
          <t>Gestión del cambio (Change Enablement)</t>
        </is>
      </c>
      <c r="D36" s="146" t="inlineStr">
        <is>
          <t>ITIL Service</t>
        </is>
      </c>
      <c r="E36" s="135">
        <f>IF($D$8="Mesa de Ayuda","N2 · Administrado",IF($D$8="Mesa de Soporte","N3 · Definido","—"))</f>
        <v/>
      </c>
      <c r="F36" s="164" t="n"/>
      <c r="G36" s="165" t="n"/>
      <c r="H36" s="166">
        <f>IF(AND(F36&lt;&gt;"",G36&lt;&gt;""),G36-F36,"")</f>
        <v/>
      </c>
      <c r="I36" s="167" t="n"/>
      <c r="J36" s="167" t="n"/>
      <c r="K36" s="168">
        <f>IF(F36="","—",IF(F36&lt;$D$16,"⛔ Bajo mínimo",IF(F36=$D$16,"✅ En mínimo","✔ Sobre mínimo")))</f>
        <v/>
      </c>
    </row>
    <row r="37" ht="30" customHeight="1" s="102">
      <c r="A37" s="104" t="n"/>
      <c r="B37" s="141" t="n">
        <v>15</v>
      </c>
      <c r="C37" s="112" t="inlineStr">
        <is>
          <t>Transición y onboarding</t>
        </is>
      </c>
      <c r="D37" s="146" t="inlineStr">
        <is>
          <t>ITIL Service</t>
        </is>
      </c>
      <c r="E37" s="135">
        <f>IF($D$8="Mesa de Ayuda","N2 · Administrado",IF($D$8="Mesa de Soporte","N3 · Definido","—"))</f>
        <v/>
      </c>
      <c r="F37" s="164" t="n"/>
      <c r="G37" s="165" t="n"/>
      <c r="H37" s="166">
        <f>IF(AND(F37&lt;&gt;"",G37&lt;&gt;""),G37-F37,"")</f>
        <v/>
      </c>
      <c r="I37" s="167" t="n"/>
      <c r="J37" s="167" t="n"/>
      <c r="K37" s="168">
        <f>IF(F37="","—",IF(F37&lt;$D$16,"⛔ Bajo mínimo",IF(F37=$D$16,"✅ En mínimo","✔ Sobre mínimo")))</f>
        <v/>
      </c>
    </row>
    <row r="38" ht="30" customHeight="1" s="102">
      <c r="A38" s="104" t="n"/>
      <c r="B38" s="141" t="n">
        <v>16</v>
      </c>
      <c r="C38" s="112" t="inlineStr">
        <is>
          <t>Mejora continua del servicio</t>
        </is>
      </c>
      <c r="D38" s="146" t="inlineStr">
        <is>
          <t>Collaborate, Assure &amp; Improve</t>
        </is>
      </c>
      <c r="E38" s="135">
        <f>IF($D$8="Mesa de Ayuda","N2 · Administrado",IF($D$8="Mesa de Soporte","N3 · Definido","—"))</f>
        <v/>
      </c>
      <c r="F38" s="164" t="n"/>
      <c r="G38" s="165" t="n"/>
      <c r="H38" s="166">
        <f>IF(AND(F38&lt;&gt;"",G38&lt;&gt;""),G38-F38,"")</f>
        <v/>
      </c>
      <c r="I38" s="167" t="n"/>
      <c r="J38" s="167" t="n"/>
      <c r="K38" s="168">
        <f>IF(F38="","—",IF(F38&lt;$D$16,"⛔ Bajo mínimo",IF(F38=$D$16,"✅ En mínimo","✔ Sobre mínimo")))</f>
        <v/>
      </c>
    </row>
    <row r="39" ht="30" customHeight="1" s="102">
      <c r="A39" s="104" t="n"/>
      <c r="B39" s="141" t="n">
        <v>17</v>
      </c>
      <c r="C39" s="112" t="inlineStr">
        <is>
          <t>Experiencia del cliente (CX / NPS / CSAT / XLA)</t>
        </is>
      </c>
      <c r="D39" s="149" t="inlineStr">
        <is>
          <t>ITIL Experience</t>
        </is>
      </c>
      <c r="E39" s="135">
        <f>IF($D$8="Mesa de Ayuda","N2 · Administrado",IF($D$8="Mesa de Soporte","N3 · Definido","—"))</f>
        <v/>
      </c>
      <c r="F39" s="164" t="n"/>
      <c r="G39" s="165" t="n"/>
      <c r="H39" s="166">
        <f>IF(AND(F39&lt;&gt;"",G39&lt;&gt;""),G39-F39,"")</f>
        <v/>
      </c>
      <c r="I39" s="167" t="n"/>
      <c r="J39" s="167" t="n"/>
      <c r="K39" s="168">
        <f>IF(F39="","—",IF(F39&lt;$D$16,"⛔ Bajo mínimo",IF(F39=$D$16,"✅ En mínimo","✔ Sobre mínimo")))</f>
        <v/>
      </c>
    </row>
    <row r="40" ht="19.5" customHeight="1" s="102">
      <c r="A40" s="104" t="n"/>
      <c r="B40" s="151" t="inlineStr">
        <is>
          <t>Dimensión de Negocio · Éxito comercial y rentabilidad PS</t>
        </is>
      </c>
      <c r="C40" s="140" t="n"/>
      <c r="D40" s="140" t="n"/>
      <c r="E40" s="140" t="n"/>
      <c r="F40" s="140" t="n"/>
      <c r="G40" s="140" t="n"/>
      <c r="H40" s="140" t="n"/>
      <c r="I40" s="140" t="n"/>
      <c r="J40" s="118" t="n"/>
      <c r="K40" s="104" t="n"/>
    </row>
    <row r="41" ht="30" customHeight="1" s="102">
      <c r="A41" s="104" t="n"/>
      <c r="B41" s="141" t="n">
        <v>18</v>
      </c>
      <c r="C41" s="151" t="inlineStr">
        <is>
          <t>Salud financiera del contrato</t>
        </is>
      </c>
      <c r="D41" s="152" t="inlineStr">
        <is>
          <t>Negocio PS</t>
        </is>
      </c>
      <c r="E41" s="160">
        <f>IF($D$8="Mesa de Ayuda","N2 · Administrado",IF($D$8="Mesa de Soporte","N2 · Administrado","—"))</f>
        <v/>
      </c>
      <c r="F41" s="164" t="n"/>
      <c r="G41" s="165" t="n"/>
      <c r="H41" s="166">
        <f>IF(AND(F41&lt;&gt;"",G41&lt;&gt;""),G41-F41,"")</f>
        <v/>
      </c>
      <c r="I41" s="167" t="n"/>
      <c r="J41" s="167" t="n"/>
      <c r="K41" s="168">
        <f>IF(F41="","—",IF(F41&lt;2,"⛔ Bajo N2",IF(F41=2,"✅ En N2","✔ Sobre N2")))</f>
        <v/>
      </c>
    </row>
    <row r="42" ht="30" customHeight="1" s="102">
      <c r="A42" s="104" t="n"/>
      <c r="B42" s="141" t="n">
        <v>19</v>
      </c>
      <c r="C42" s="151" t="inlineStr">
        <is>
          <t>Retención y crecimiento de cuenta</t>
        </is>
      </c>
      <c r="D42" s="152" t="inlineStr">
        <is>
          <t>Negocio PS</t>
        </is>
      </c>
      <c r="E42" s="160">
        <f>IF($D$8="Mesa de Ayuda","N2 · Administrado",IF($D$8="Mesa de Soporte","N2 · Administrado","—"))</f>
        <v/>
      </c>
      <c r="F42" s="164" t="n"/>
      <c r="G42" s="165" t="n"/>
      <c r="H42" s="166">
        <f>IF(AND(F42&lt;&gt;"",G42&lt;&gt;""),G42-F42,"")</f>
        <v/>
      </c>
      <c r="I42" s="167" t="n"/>
      <c r="J42" s="167" t="n"/>
      <c r="K42" s="168">
        <f>IF(F42="","—",IF(F42&lt;2,"⛔ Bajo N2",IF(F42=2,"✅ En N2","✔ Sobre N2")))</f>
        <v/>
      </c>
    </row>
    <row r="43" ht="30" customHeight="1" s="102">
      <c r="A43" s="104" t="n"/>
      <c r="B43" s="141" t="n">
        <v>20</v>
      </c>
      <c r="C43" s="151" t="inlineStr">
        <is>
          <t>NPS / CSAT / XLA del cliente final</t>
        </is>
      </c>
      <c r="D43" s="152" t="inlineStr">
        <is>
          <t>Negocio PS</t>
        </is>
      </c>
      <c r="E43" s="160">
        <f>IF($D$8="Mesa de Ayuda","N2 · Administrado",IF($D$8="Mesa de Soporte","N2 · Administrado","—"))</f>
        <v/>
      </c>
      <c r="F43" s="164" t="n"/>
      <c r="G43" s="165" t="n"/>
      <c r="H43" s="166">
        <f>IF(AND(F43&lt;&gt;"",G43&lt;&gt;""),G43-F43,"")</f>
        <v/>
      </c>
      <c r="I43" s="167" t="n"/>
      <c r="J43" s="167" t="n"/>
      <c r="K43" s="168">
        <f>IF(F43="","—",IF(F43&lt;2,"⛔ Bajo N2",IF(F43=2,"✅ En N2","✔ Sobre N2")))</f>
        <v/>
      </c>
    </row>
    <row r="44" ht="30" customHeight="1" s="102">
      <c r="A44" s="104" t="n"/>
      <c r="B44" s="141" t="n">
        <v>21</v>
      </c>
      <c r="C44" s="151" t="inlineStr">
        <is>
          <t>Eficiencia de costo operativo</t>
        </is>
      </c>
      <c r="D44" s="152" t="inlineStr">
        <is>
          <t>Negocio PS</t>
        </is>
      </c>
      <c r="E44" s="160">
        <f>IF($D$8="Mesa de Ayuda","N2 · Administrado",IF($D$8="Mesa de Soporte","N2 · Administrado","—"))</f>
        <v/>
      </c>
      <c r="F44" s="164" t="n"/>
      <c r="G44" s="165" t="n"/>
      <c r="H44" s="166">
        <f>IF(AND(F44&lt;&gt;"",G44&lt;&gt;""),G44-F44,"")</f>
        <v/>
      </c>
      <c r="I44" s="167" t="n"/>
      <c r="J44" s="167" t="n"/>
      <c r="K44" s="168">
        <f>IF(F44="","—",IF(F44&lt;2,"⛔ Bajo N2",IF(F44=2,"✅ En N2","✔ Sobre N2")))</f>
        <v/>
      </c>
    </row>
  </sheetData>
  <mergeCells count="17">
    <mergeCell ref="D12:H12"/>
    <mergeCell ref="C3:J3"/>
    <mergeCell ref="D7:H7"/>
    <mergeCell ref="D8:H8"/>
    <mergeCell ref="D6:H6"/>
    <mergeCell ref="B19:J19"/>
    <mergeCell ref="D10:H10"/>
    <mergeCell ref="B22:J22"/>
    <mergeCell ref="B32:J32"/>
    <mergeCell ref="C2:J2"/>
    <mergeCell ref="D11:H11"/>
    <mergeCell ref="D13:H13"/>
    <mergeCell ref="D5:H5"/>
    <mergeCell ref="B27:J27"/>
    <mergeCell ref="D15:G15"/>
    <mergeCell ref="B40:J40"/>
    <mergeCell ref="D9:H9"/>
  </mergeCells>
  <conditionalFormatting sqref="F19:F44">
    <cfRule type="expression" rank="0" priority="2" equalAverage="0" aboveAverage="0" dxfId="0" text="" percent="0" bottom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rank="0" priority="4" equalAverage="0" operator="greaterThan" aboveAverage="0" dxfId="1" text="" percent="0" bottom="0">
      <formula>1</formula>
    </cfRule>
    <cfRule type="cellIs" rank="0" priority="5" equalAverage="0" operator="lessThan" aboveAverage="0" dxfId="0" text="" percent="0" bottom="0">
      <formula>0</formula>
    </cfRule>
  </conditionalFormatting>
  <conditionalFormatting sqref="H20:H44">
    <cfRule type="cellIs" rank="0" priority="6" equalAverage="0" operator="lessThan" aboveAverage="0" dxfId="2" text="" percent="0" bottom="0">
      <formula>0</formula>
    </cfRule>
    <cfRule type="cellIs" rank="0" priority="7" equalAverage="0" operator="equal" aboveAverage="0" dxfId="3" text="" percent="0" bottom="0">
      <formula>0</formula>
    </cfRule>
    <cfRule type="cellIs" rank="0" priority="8" equalAverage="0" operator="greaterThan" aboveAverage="0" dxfId="4" text="" percent="0" bottom="0">
      <formula>0</formula>
    </cfRule>
  </conditionalFormatting>
  <dataValidations count="1">
    <dataValidation sqref="F20:F44" showDropDown="0" showInputMessage="0" showErrorMessage="1" allowBlank="1" errorTitle="Nivel inválido" error="Ingresa 0 (N0) a 5 (N5)" type="list" errorStyle="stop" operator="between">
      <formula1>"0,1,2,3,4,5"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000072BC"/>
    <outlinePr summaryBelow="1" summaryRight="1"/>
    <pageSetUpPr fitToPage="0"/>
  </sheetPr>
  <dimension ref="A1:K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baseColWidth="8" defaultColWidth="8.6328125" defaultRowHeight="14.25" zeroHeight="0" outlineLevelRow="0"/>
  <cols>
    <col width="2" customWidth="1" style="101" min="1" max="1"/>
    <col width="4" customWidth="1" style="101" min="2" max="2"/>
    <col width="30" customWidth="1" style="101" min="3" max="3"/>
    <col width="20" customWidth="1" style="101" min="4" max="4"/>
    <col width="16" customWidth="1" style="101" min="5" max="5"/>
    <col width="13" customWidth="1" style="101" min="6" max="7"/>
    <col width="8" customWidth="1" style="101" min="8" max="8"/>
    <col width="40" customWidth="1" style="101" min="9" max="9"/>
    <col width="18" customWidth="1" style="101" min="10" max="10"/>
    <col width="14" customWidth="1" style="101" min="11" max="11"/>
  </cols>
  <sheetData>
    <row r="1">
      <c r="A1" s="104" t="n"/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17.25" customHeight="1" s="102">
      <c r="A2" s="104" t="n"/>
      <c r="B2" s="104" t="n"/>
      <c r="C2" s="129" t="inlineStr">
        <is>
          <t>Evaluación de Madurez · GIOTI 4</t>
        </is>
      </c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3" ht="15" customHeight="1" s="102">
      <c r="A3" s="104" t="n"/>
      <c r="B3" s="104" t="n"/>
      <c r="C3" s="130" t="inlineStr">
        <is>
          <t>PersonalSoft · Bancolombia · Modelo de Madurez v1.0 · ITIL v5</t>
        </is>
      </c>
      <c r="D3" s="104" t="n"/>
      <c r="E3" s="104" t="n"/>
      <c r="F3" s="104" t="n"/>
      <c r="G3" s="104" t="n"/>
      <c r="H3" s="104" t="n"/>
      <c r="I3" s="104" t="n"/>
      <c r="J3" s="104" t="n"/>
      <c r="K3" s="104" t="n"/>
    </row>
    <row r="4">
      <c r="A4" s="104" t="n"/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</row>
    <row r="5" ht="15" customHeight="1" s="102">
      <c r="A5" s="104" t="n"/>
      <c r="B5" s="104" t="n"/>
      <c r="C5" s="153" t="inlineStr">
        <is>
          <t>Nombre de la mesa:</t>
        </is>
      </c>
      <c r="D5" s="154" t="inlineStr">
        <is>
          <t>GIOTI 4</t>
        </is>
      </c>
      <c r="E5" s="140" t="n"/>
      <c r="F5" s="140" t="n"/>
      <c r="G5" s="140" t="n"/>
      <c r="H5" s="118" t="n"/>
      <c r="I5" s="104" t="n"/>
      <c r="J5" s="104" t="n"/>
      <c r="K5" s="104" t="n"/>
    </row>
    <row r="6" ht="15" customHeight="1" s="102">
      <c r="A6" s="104" t="n"/>
      <c r="B6" s="104" t="n"/>
      <c r="C6" s="153" t="inlineStr">
        <is>
          <t>Cliente:</t>
        </is>
      </c>
      <c r="D6" s="154" t="inlineStr">
        <is>
          <t>Bancolombia</t>
        </is>
      </c>
      <c r="E6" s="140" t="n"/>
      <c r="F6" s="140" t="n"/>
      <c r="G6" s="140" t="n"/>
      <c r="H6" s="118" t="n"/>
      <c r="I6" s="104" t="n"/>
      <c r="J6" s="104" t="n"/>
      <c r="K6" s="104" t="n"/>
    </row>
    <row r="7" ht="15" customHeight="1" s="102">
      <c r="A7" s="104" t="n"/>
      <c r="B7" s="104" t="n"/>
      <c r="C7" s="153" t="inlineStr">
        <is>
          <t>Sector:</t>
        </is>
      </c>
      <c r="D7" s="154" t="inlineStr">
        <is>
          <t>Banca</t>
        </is>
      </c>
      <c r="E7" s="140" t="n"/>
      <c r="F7" s="140" t="n"/>
      <c r="G7" s="140" t="n"/>
      <c r="H7" s="118" t="n"/>
      <c r="I7" s="104" t="n"/>
      <c r="J7" s="104" t="n"/>
      <c r="K7" s="104" t="n"/>
    </row>
    <row r="8" ht="15" customHeight="1" s="102">
      <c r="A8" s="104" t="n"/>
      <c r="B8" s="104" t="n"/>
      <c r="C8" s="153" t="inlineStr">
        <is>
          <t>Tipo de mesa:</t>
        </is>
      </c>
      <c r="D8" s="154" t="n"/>
      <c r="E8" s="140" t="n"/>
      <c r="F8" s="140" t="n"/>
      <c r="G8" s="140" t="n"/>
      <c r="H8" s="118" t="n"/>
      <c r="I8" s="104" t="n"/>
      <c r="J8" s="104" t="n"/>
      <c r="K8" s="104" t="n"/>
    </row>
    <row r="9" ht="15" customHeight="1" s="102">
      <c r="A9" s="104" t="n"/>
      <c r="B9" s="104" t="n"/>
      <c r="C9" s="153" t="inlineStr">
        <is>
          <t>¿N0 activo?:</t>
        </is>
      </c>
      <c r="D9" s="154" t="inlineStr">
        <is>
          <t>No</t>
        </is>
      </c>
      <c r="E9" s="140" t="n"/>
      <c r="F9" s="140" t="n"/>
      <c r="G9" s="140" t="n"/>
      <c r="H9" s="118" t="n"/>
      <c r="I9" s="104" t="n"/>
      <c r="J9" s="104" t="n"/>
      <c r="K9" s="104" t="n"/>
    </row>
    <row r="10" ht="15" customHeight="1" s="102">
      <c r="A10" s="104" t="n"/>
      <c r="B10" s="104" t="n"/>
      <c r="C10" s="153" t="inlineStr">
        <is>
          <t>Evaluador:</t>
        </is>
      </c>
      <c r="D10" s="154" t="n"/>
      <c r="E10" s="140" t="n"/>
      <c r="F10" s="140" t="n"/>
      <c r="G10" s="140" t="n"/>
      <c r="H10" s="118" t="n"/>
      <c r="I10" s="104" t="n"/>
      <c r="J10" s="104" t="n"/>
      <c r="K10" s="104" t="n"/>
    </row>
    <row r="11" ht="15" customHeight="1" s="102">
      <c r="A11" s="104" t="n"/>
      <c r="B11" s="104" t="n"/>
      <c r="C11" s="153" t="inlineStr">
        <is>
          <t>Fecha de evaluación:</t>
        </is>
      </c>
      <c r="D11" s="155" t="n"/>
      <c r="E11" s="140" t="n"/>
      <c r="F11" s="140" t="n"/>
      <c r="G11" s="140" t="n"/>
      <c r="H11" s="118" t="n"/>
      <c r="I11" s="104" t="n"/>
      <c r="J11" s="104" t="n"/>
      <c r="K11" s="104" t="n"/>
    </row>
    <row r="12" ht="15" customHeight="1" s="102">
      <c r="A12" s="104" t="n"/>
      <c r="B12" s="104" t="n"/>
      <c r="C12" s="153" t="inlineStr">
        <is>
          <t>Herramienta de tickets:</t>
        </is>
      </c>
      <c r="D12" s="154" t="n"/>
      <c r="E12" s="140" t="n"/>
      <c r="F12" s="140" t="n"/>
      <c r="G12" s="140" t="n"/>
      <c r="H12" s="118" t="n"/>
      <c r="I12" s="104" t="n"/>
      <c r="J12" s="104" t="n"/>
      <c r="K12" s="104" t="n"/>
    </row>
    <row r="13" ht="15" customHeight="1" s="102">
      <c r="A13" s="104" t="n"/>
      <c r="B13" s="104" t="n"/>
      <c r="C13" s="153" t="inlineStr">
        <is>
          <t>Horario de servicio:</t>
        </is>
      </c>
      <c r="D13" s="154" t="n"/>
      <c r="E13" s="140" t="n"/>
      <c r="F13" s="140" t="n"/>
      <c r="G13" s="140" t="n"/>
      <c r="H13" s="118" t="n"/>
      <c r="I13" s="104" t="n"/>
      <c r="J13" s="104" t="n"/>
      <c r="K13" s="104" t="n"/>
    </row>
    <row r="14">
      <c r="A14" s="104" t="n"/>
      <c r="B14" s="104" t="n"/>
      <c r="C14" s="104" t="n"/>
      <c r="D14" s="104" t="n"/>
      <c r="E14" s="104" t="n"/>
      <c r="F14" s="104" t="n"/>
      <c r="G14" s="104" t="n"/>
      <c r="H14" s="104" t="n"/>
      <c r="I14" s="104" t="n"/>
      <c r="J14" s="104" t="n"/>
      <c r="K14" s="104" t="n"/>
    </row>
    <row r="15" ht="15.75" customHeight="1" s="102">
      <c r="A15" s="104" t="n"/>
      <c r="B15" s="104" t="n"/>
      <c r="C15" s="156" t="inlineStr">
        <is>
          <t>Nivel mínimo esperado:</t>
        </is>
      </c>
      <c r="D15" s="157">
        <f>IF(D8="Mesa de Ayuda","N2 · Administrado",IF(D8="Mesa de Soporte","N3 · Definido","— Seleccionar tipo"))</f>
        <v/>
      </c>
      <c r="E15" s="140" t="n"/>
      <c r="F15" s="140" t="n"/>
      <c r="G15" s="118" t="n"/>
      <c r="H15" s="104" t="n"/>
      <c r="I15" s="156" t="inlineStr">
        <is>
          <t>Nivel global operativo (promedio):</t>
        </is>
      </c>
      <c r="J15" s="158">
        <f>IFERROR(AVERAGEIF(F20:F39,"&lt;&gt;"),"")</f>
        <v/>
      </c>
      <c r="K15" s="104" t="n"/>
    </row>
    <row r="16" ht="15" customHeight="1" s="102">
      <c r="A16" s="104" t="n"/>
      <c r="B16" s="104" t="n"/>
      <c r="C16" s="159" t="inlineStr">
        <is>
          <t>Nivel mínimo (número):</t>
        </is>
      </c>
      <c r="D16" s="160">
        <f>IF(D8="Mesa de Ayuda",2,IF(D8="Mesa de Soporte",3,0))</f>
        <v/>
      </c>
      <c r="E16" s="104" t="n"/>
      <c r="F16" s="104" t="n"/>
      <c r="G16" s="104" t="n"/>
      <c r="H16" s="104" t="n"/>
      <c r="I16" s="104" t="n"/>
      <c r="J16" s="104" t="n"/>
      <c r="K16" s="104" t="n"/>
    </row>
    <row r="17">
      <c r="A17" s="104" t="n"/>
      <c r="B17" s="104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</row>
    <row r="18" ht="42" customHeight="1" s="102">
      <c r="A18" s="104" t="n"/>
      <c r="B18" s="134" t="inlineStr">
        <is>
          <t>#</t>
        </is>
      </c>
      <c r="C18" s="134" t="inlineStr">
        <is>
          <t>Práctica</t>
        </is>
      </c>
      <c r="D18" s="134" t="inlineStr">
        <is>
          <t>Origen</t>
        </is>
      </c>
      <c r="E18" s="134" t="inlineStr">
        <is>
          <t>Nivel mínimo
esperado</t>
        </is>
      </c>
      <c r="F18" s="161" t="inlineStr">
        <is>
          <t>Nivel actual
(0=N0 · 5=N5)
▼ dropdown</t>
        </is>
      </c>
      <c r="G18" s="134" t="inlineStr">
        <is>
          <t>Nivel objetivo
(N0–N5)</t>
        </is>
      </c>
      <c r="H18" s="162" t="inlineStr">
        <is>
          <t>Brecha</t>
        </is>
      </c>
      <c r="I18" s="134" t="inlineStr">
        <is>
          <t>Evidencia / observación</t>
        </is>
      </c>
      <c r="J18" s="134" t="inlineStr">
        <is>
          <t>Herramienta / Nota</t>
        </is>
      </c>
      <c r="K18" s="163" t="inlineStr">
        <is>
          <t>¿Bajo mínimo?</t>
        </is>
      </c>
    </row>
    <row r="19" ht="19.5" customHeight="1" s="102">
      <c r="A19" s="104" t="n"/>
      <c r="B19" s="112" t="inlineStr">
        <is>
          <t>D1 · Organizaciones y Personas</t>
        </is>
      </c>
      <c r="C19" s="140" t="n"/>
      <c r="D19" s="140" t="n"/>
      <c r="E19" s="140" t="n"/>
      <c r="F19" s="140" t="n"/>
      <c r="G19" s="140" t="n"/>
      <c r="H19" s="140" t="n"/>
      <c r="I19" s="140" t="n"/>
      <c r="J19" s="118" t="n"/>
      <c r="K19" s="104" t="n"/>
    </row>
    <row r="20" ht="30" customHeight="1" s="102">
      <c r="A20" s="104" t="n"/>
      <c r="B20" s="141" t="n">
        <v>1</v>
      </c>
      <c r="C20" s="112" t="inlineStr">
        <is>
          <t>Gobierno de roles (RACI)</t>
        </is>
      </c>
      <c r="D20" s="142" t="inlineStr">
        <is>
          <t>Feedback operativo</t>
        </is>
      </c>
      <c r="E20" s="135">
        <f>IF($D$8="Mesa de Ayuda","N2 · Administrado",IF($D$8="Mesa de Soporte","N3 · Definido","—"))</f>
        <v/>
      </c>
      <c r="F20" s="164" t="n"/>
      <c r="G20" s="165" t="n"/>
      <c r="H20" s="166">
        <f>IF(AND(F20&lt;&gt;"",G20&lt;&gt;""),G20-F20,"")</f>
        <v/>
      </c>
      <c r="I20" s="167" t="n"/>
      <c r="J20" s="167" t="n"/>
      <c r="K20" s="168">
        <f>IF(F20="","—",IF(F20&lt;$D$16,"⛔ Bajo mínimo",IF(F20=$D$16,"✅ En mínimo","✔ Sobre mínimo")))</f>
        <v/>
      </c>
    </row>
    <row r="21" ht="30" customHeight="1" s="102">
      <c r="A21" s="104" t="n"/>
      <c r="B21" s="141" t="n">
        <v>2</v>
      </c>
      <c r="C21" s="112" t="inlineStr">
        <is>
          <t>Capacidad y dimensionamiento del equipo</t>
        </is>
      </c>
      <c r="D21" s="144" t="inlineStr">
        <is>
          <t>ITIL Foundation</t>
        </is>
      </c>
      <c r="E21" s="135">
        <f>IF($D$8="Mesa de Ayuda","N2 · Administrado",IF($D$8="Mesa de Soporte","N3 · Definido","—"))</f>
        <v/>
      </c>
      <c r="F21" s="164" t="n"/>
      <c r="G21" s="165" t="n"/>
      <c r="H21" s="166">
        <f>IF(AND(F21&lt;&gt;"",G21&lt;&gt;""),G21-F21,"")</f>
        <v/>
      </c>
      <c r="I21" s="167" t="n"/>
      <c r="J21" s="167" t="n"/>
      <c r="K21" s="168">
        <f>IF(F21="","—",IF(F21&lt;$D$16,"⛔ Bajo mínimo",IF(F21=$D$16,"✅ En mínimo","✔ Sobre mínimo")))</f>
        <v/>
      </c>
    </row>
    <row r="22" ht="19.5" customHeight="1" s="102">
      <c r="A22" s="104" t="n"/>
      <c r="B22" s="125" t="inlineStr">
        <is>
          <t>D2 · Información y Tecnología</t>
        </is>
      </c>
      <c r="C22" s="140" t="n"/>
      <c r="D22" s="140" t="n"/>
      <c r="E22" s="140" t="n"/>
      <c r="F22" s="140" t="n"/>
      <c r="G22" s="140" t="n"/>
      <c r="H22" s="140" t="n"/>
      <c r="I22" s="140" t="n"/>
      <c r="J22" s="118" t="n"/>
      <c r="K22" s="104" t="n"/>
    </row>
    <row r="23" ht="30" customHeight="1" s="102">
      <c r="A23" s="104" t="n"/>
      <c r="B23" s="141" t="n">
        <v>3</v>
      </c>
      <c r="C23" s="125" t="inlineStr">
        <is>
          <t>Herramientas y automatización</t>
        </is>
      </c>
      <c r="D23" s="144" t="inlineStr">
        <is>
          <t>ITIL Foundation</t>
        </is>
      </c>
      <c r="E23" s="135">
        <f>IF($D$8="Mesa de Ayuda","N2 · Administrado",IF($D$8="Mesa de Soporte","N3 · Definido","—"))</f>
        <v/>
      </c>
      <c r="F23" s="164" t="n"/>
      <c r="G23" s="165" t="n"/>
      <c r="H23" s="166">
        <f>IF(AND(F23&lt;&gt;"",G23&lt;&gt;""),G23-F23,"")</f>
        <v/>
      </c>
      <c r="I23" s="167" t="n"/>
      <c r="J23" s="167" t="n"/>
      <c r="K23" s="168">
        <f>IF(F23="","—",IF(F23&lt;$D$16,"⛔ Bajo mínimo",IF(F23=$D$16,"✅ En mínimo","✔ Sobre mínimo")))</f>
        <v/>
      </c>
    </row>
    <row r="24" ht="30" customHeight="1" s="102">
      <c r="A24" s="104" t="n"/>
      <c r="B24" s="141" t="n">
        <v>4</v>
      </c>
      <c r="C24" s="125" t="inlineStr">
        <is>
          <t>Gestión del conocimiento (KEDB)</t>
        </is>
      </c>
      <c r="D24" s="146" t="inlineStr">
        <is>
          <t>Monitor, Support &amp; Fulfill</t>
        </is>
      </c>
      <c r="E24" s="135">
        <f>IF($D$8="Mesa de Ayuda","N2 · Administrado",IF($D$8="Mesa de Soporte","N3 · Definido","—"))</f>
        <v/>
      </c>
      <c r="F24" s="164" t="n"/>
      <c r="G24" s="165" t="n"/>
      <c r="H24" s="166">
        <f>IF(AND(F24&lt;&gt;"",G24&lt;&gt;""),G24-F24,"")</f>
        <v/>
      </c>
      <c r="I24" s="167" t="n"/>
      <c r="J24" s="167" t="n"/>
      <c r="K24" s="168">
        <f>IF(F24="","—",IF(F24&lt;$D$16,"⛔ Bajo mínimo",IF(F24=$D$16,"✅ En mínimo","✔ Sobre mínimo")))</f>
        <v/>
      </c>
    </row>
    <row r="25" ht="30" customHeight="1" s="102">
      <c r="A25" s="104" t="n"/>
      <c r="B25" s="141" t="n">
        <v>5</v>
      </c>
      <c r="C25" s="125" t="inlineStr">
        <is>
          <t>Gestión de integraciones y entorno de aplicaciones</t>
        </is>
      </c>
      <c r="D25" s="142" t="inlineStr">
        <is>
          <t>Feedback operativo</t>
        </is>
      </c>
      <c r="E25" s="135">
        <f>IF($D$8="Mesa de Ayuda","N2 · Administrado",IF($D$8="Mesa de Soporte","N3 · Definido","—"))</f>
        <v/>
      </c>
      <c r="F25" s="164" t="n"/>
      <c r="G25" s="165" t="n"/>
      <c r="H25" s="166">
        <f>IF(AND(F25&lt;&gt;"",G25&lt;&gt;""),G25-F25,"")</f>
        <v/>
      </c>
      <c r="I25" s="167" t="n"/>
      <c r="J25" s="167" t="n"/>
      <c r="K25" s="168">
        <f>IF(F25="","—",IF(F25&lt;$D$16,"⛔ Bajo mínimo",IF(F25=$D$16,"✅ En mínimo","✔ Sobre mínimo")))</f>
        <v/>
      </c>
    </row>
    <row r="26" ht="30" customHeight="1" s="102">
      <c r="A26" s="104" t="n"/>
      <c r="B26" s="141" t="n">
        <v>6</v>
      </c>
      <c r="C26" s="125" t="inlineStr">
        <is>
          <t>Monitoreo y gestión de eventos</t>
        </is>
      </c>
      <c r="D26" s="146" t="inlineStr">
        <is>
          <t>Monitor, Support &amp; Fulfill</t>
        </is>
      </c>
      <c r="E26" s="135">
        <f>IF($D$8="Mesa de Ayuda","N2 · Administrado",IF($D$8="Mesa de Soporte","N3 · Definido","—"))</f>
        <v/>
      </c>
      <c r="F26" s="164" t="n"/>
      <c r="G26" s="165" t="n"/>
      <c r="H26" s="166">
        <f>IF(AND(F26&lt;&gt;"",G26&lt;&gt;""),G26-F26,"")</f>
        <v/>
      </c>
      <c r="I26" s="167" t="n"/>
      <c r="J26" s="167" t="n"/>
      <c r="K26" s="168">
        <f>IF(F26="","—",IF(F26&lt;$D$16,"⛔ Bajo mínimo",IF(F26=$D$16,"✅ En mínimo","✔ Sobre mínimo")))</f>
        <v/>
      </c>
    </row>
    <row r="27" ht="19.5" customHeight="1" s="102">
      <c r="A27" s="104" t="n"/>
      <c r="B27" s="148" t="inlineStr">
        <is>
          <t>D3 · Socios y Proveedores</t>
        </is>
      </c>
      <c r="C27" s="140" t="n"/>
      <c r="D27" s="140" t="n"/>
      <c r="E27" s="140" t="n"/>
      <c r="F27" s="140" t="n"/>
      <c r="G27" s="140" t="n"/>
      <c r="H27" s="140" t="n"/>
      <c r="I27" s="140" t="n"/>
      <c r="J27" s="118" t="n"/>
      <c r="K27" s="104" t="n"/>
    </row>
    <row r="28" ht="30" customHeight="1" s="102">
      <c r="A28" s="104" t="n"/>
      <c r="B28" s="141" t="n">
        <v>7</v>
      </c>
      <c r="C28" s="148" t="inlineStr">
        <is>
          <t>Service Desk — punto único de contacto</t>
        </is>
      </c>
      <c r="D28" s="146" t="inlineStr">
        <is>
          <t>Monitor, Support &amp; Fulfill</t>
        </is>
      </c>
      <c r="E28" s="135">
        <f>IF($D$8="Mesa de Ayuda","N2 · Administrado",IF($D$8="Mesa de Soporte","N3 · Definido","—"))</f>
        <v/>
      </c>
      <c r="F28" s="164" t="n"/>
      <c r="G28" s="165" t="n"/>
      <c r="H28" s="166">
        <f>IF(AND(F28&lt;&gt;"",G28&lt;&gt;""),G28-F28,"")</f>
        <v/>
      </c>
      <c r="I28" s="167" t="n"/>
      <c r="J28" s="167" t="n"/>
      <c r="K28" s="168">
        <f>IF(F28="","—",IF(F28&lt;$D$16,"⛔ Bajo mínimo",IF(F28=$D$16,"✅ En mínimo","✔ Sobre mínimo")))</f>
        <v/>
      </c>
    </row>
    <row r="29" ht="30" customHeight="1" s="102">
      <c r="A29" s="104" t="n"/>
      <c r="B29" s="141" t="n">
        <v>8</v>
      </c>
      <c r="C29" s="148" t="inlineStr">
        <is>
          <t>Catálogo de servicios y límites del alcance</t>
        </is>
      </c>
      <c r="D29" s="146" t="inlineStr">
        <is>
          <t>ITIL Service</t>
        </is>
      </c>
      <c r="E29" s="135">
        <f>IF($D$8="Mesa de Ayuda","N2 · Administrado",IF($D$8="Mesa de Soporte","N3 · Definido","—"))</f>
        <v/>
      </c>
      <c r="F29" s="164" t="n"/>
      <c r="G29" s="165" t="n"/>
      <c r="H29" s="166">
        <f>IF(AND(F29&lt;&gt;"",G29&lt;&gt;""),G29-F29,"")</f>
        <v/>
      </c>
      <c r="I29" s="167" t="n"/>
      <c r="J29" s="167" t="n"/>
      <c r="K29" s="168">
        <f>IF(F29="","—",IF(F29&lt;$D$16,"⛔ Bajo mínimo",IF(F29=$D$16,"✅ En mínimo","✔ Sobre mínimo")))</f>
        <v/>
      </c>
    </row>
    <row r="30" ht="30" customHeight="1" s="102">
      <c r="A30" s="104" t="n"/>
      <c r="B30" s="141" t="n">
        <v>9</v>
      </c>
      <c r="C30" s="148" t="inlineStr">
        <is>
          <t>SLA / ANS + XLA por prioridad</t>
        </is>
      </c>
      <c r="D30" s="146" t="inlineStr">
        <is>
          <t>ITIL Service</t>
        </is>
      </c>
      <c r="E30" s="135">
        <f>IF($D$8="Mesa de Ayuda","N2 · Administrado",IF($D$8="Mesa de Soporte","N3 · Definido","—"))</f>
        <v/>
      </c>
      <c r="F30" s="164" t="n"/>
      <c r="G30" s="165" t="n"/>
      <c r="H30" s="166">
        <f>IF(AND(F30&lt;&gt;"",G30&lt;&gt;""),G30-F30,"")</f>
        <v/>
      </c>
      <c r="I30" s="167" t="n"/>
      <c r="J30" s="167" t="n"/>
      <c r="K30" s="168">
        <f>IF(F30="","—",IF(F30&lt;$D$16,"⛔ Bajo mínimo",IF(F30=$D$16,"✅ En mínimo","✔ Sobre mínimo")))</f>
        <v/>
      </c>
    </row>
    <row r="31" ht="30" customHeight="1" s="102">
      <c r="A31" s="104" t="n"/>
      <c r="B31" s="141" t="n">
        <v>10</v>
      </c>
      <c r="C31" s="148" t="inlineStr">
        <is>
          <t>Disponibilidad y cobertura horaria</t>
        </is>
      </c>
      <c r="D31" s="142" t="inlineStr">
        <is>
          <t>Feedback operativo</t>
        </is>
      </c>
      <c r="E31" s="135">
        <f>IF($D$8="Mesa de Ayuda","N2 · Administrado",IF($D$8="Mesa de Soporte","N3 · Definido","—"))</f>
        <v/>
      </c>
      <c r="F31" s="164" t="n"/>
      <c r="G31" s="165" t="n"/>
      <c r="H31" s="166">
        <f>IF(AND(F31&lt;&gt;"",G31&lt;&gt;""),G31-F31,"")</f>
        <v/>
      </c>
      <c r="I31" s="167" t="n"/>
      <c r="J31" s="167" t="n"/>
      <c r="K31" s="168">
        <f>IF(F31="","—",IF(F31&lt;$D$16,"⛔ Bajo mínimo",IF(F31=$D$16,"✅ En mínimo","✔ Sobre mínimo")))</f>
        <v/>
      </c>
    </row>
    <row r="32" ht="19.5" customHeight="1" s="102">
      <c r="A32" s="104" t="n"/>
      <c r="B32" s="112" t="inlineStr">
        <is>
          <t>D4 · Flujos de Valor y Procesos</t>
        </is>
      </c>
      <c r="C32" s="140" t="n"/>
      <c r="D32" s="140" t="n"/>
      <c r="E32" s="140" t="n"/>
      <c r="F32" s="140" t="n"/>
      <c r="G32" s="140" t="n"/>
      <c r="H32" s="140" t="n"/>
      <c r="I32" s="140" t="n"/>
      <c r="J32" s="118" t="n"/>
      <c r="K32" s="104" t="n"/>
    </row>
    <row r="33" ht="30" customHeight="1" s="102">
      <c r="A33" s="104" t="n"/>
      <c r="B33" s="141" t="n">
        <v>11</v>
      </c>
      <c r="C33" s="112" t="inlineStr">
        <is>
          <t>Gestión de incidentes</t>
        </is>
      </c>
      <c r="D33" s="146" t="inlineStr">
        <is>
          <t>Monitor, Support &amp; Fulfill</t>
        </is>
      </c>
      <c r="E33" s="135">
        <f>IF($D$8="Mesa de Ayuda","N2 · Administrado",IF($D$8="Mesa de Soporte","N3 · Definido","—"))</f>
        <v/>
      </c>
      <c r="F33" s="164" t="n"/>
      <c r="G33" s="165" t="n"/>
      <c r="H33" s="166">
        <f>IF(AND(F33&lt;&gt;"",G33&lt;&gt;""),G33-F33,"")</f>
        <v/>
      </c>
      <c r="I33" s="167" t="n"/>
      <c r="J33" s="167" t="n"/>
      <c r="K33" s="168">
        <f>IF(F33="","—",IF(F33&lt;$D$16,"⛔ Bajo mínimo",IF(F33=$D$16,"✅ En mínimo","✔ Sobre mínimo")))</f>
        <v/>
      </c>
    </row>
    <row r="34" ht="30" customHeight="1" s="102">
      <c r="A34" s="104" t="n"/>
      <c r="B34" s="141" t="n">
        <v>12</v>
      </c>
      <c r="C34" s="112" t="inlineStr">
        <is>
          <t>Gestión de solicitudes</t>
        </is>
      </c>
      <c r="D34" s="146" t="inlineStr">
        <is>
          <t>Monitor, Support &amp; Fulfill</t>
        </is>
      </c>
      <c r="E34" s="135">
        <f>IF($D$8="Mesa de Ayuda","N2 · Administrado",IF($D$8="Mesa de Soporte","N3 · Definido","—"))</f>
        <v/>
      </c>
      <c r="F34" s="164" t="n"/>
      <c r="G34" s="165" t="n"/>
      <c r="H34" s="166">
        <f>IF(AND(F34&lt;&gt;"",G34&lt;&gt;""),G34-F34,"")</f>
        <v/>
      </c>
      <c r="I34" s="167" t="n"/>
      <c r="J34" s="167" t="n"/>
      <c r="K34" s="168">
        <f>IF(F34="","—",IF(F34&lt;$D$16,"⛔ Bajo mínimo",IF(F34=$D$16,"✅ En mínimo","✔ Sobre mínimo")))</f>
        <v/>
      </c>
    </row>
    <row r="35" ht="30" customHeight="1" s="102">
      <c r="A35" s="104" t="n"/>
      <c r="B35" s="141" t="n">
        <v>13</v>
      </c>
      <c r="C35" s="112" t="inlineStr">
        <is>
          <t>Gestión de problemas (causa raíz)</t>
        </is>
      </c>
      <c r="D35" s="146" t="inlineStr">
        <is>
          <t>Monitor, Support &amp; Fulfill</t>
        </is>
      </c>
      <c r="E35" s="135">
        <f>IF($D$8="Mesa de Ayuda","N2 · Administrado",IF($D$8="Mesa de Soporte","N3 · Definido","—"))</f>
        <v/>
      </c>
      <c r="F35" s="164" t="n"/>
      <c r="G35" s="165" t="n"/>
      <c r="H35" s="166">
        <f>IF(AND(F35&lt;&gt;"",G35&lt;&gt;""),G35-F35,"")</f>
        <v/>
      </c>
      <c r="I35" s="167" t="n"/>
      <c r="J35" s="167" t="n"/>
      <c r="K35" s="168">
        <f>IF(F35="","—",IF(F35&lt;$D$16,"⛔ Bajo mínimo",IF(F35=$D$16,"✅ En mínimo","✔ Sobre mínimo")))</f>
        <v/>
      </c>
    </row>
    <row r="36" ht="30" customHeight="1" s="102">
      <c r="A36" s="104" t="n"/>
      <c r="B36" s="141" t="n">
        <v>14</v>
      </c>
      <c r="C36" s="112" t="inlineStr">
        <is>
          <t>Gestión del cambio (Change Enablement)</t>
        </is>
      </c>
      <c r="D36" s="146" t="inlineStr">
        <is>
          <t>ITIL Service</t>
        </is>
      </c>
      <c r="E36" s="135">
        <f>IF($D$8="Mesa de Ayuda","N2 · Administrado",IF($D$8="Mesa de Soporte","N3 · Definido","—"))</f>
        <v/>
      </c>
      <c r="F36" s="164" t="n"/>
      <c r="G36" s="165" t="n"/>
      <c r="H36" s="166">
        <f>IF(AND(F36&lt;&gt;"",G36&lt;&gt;""),G36-F36,"")</f>
        <v/>
      </c>
      <c r="I36" s="167" t="n"/>
      <c r="J36" s="167" t="n"/>
      <c r="K36" s="168">
        <f>IF(F36="","—",IF(F36&lt;$D$16,"⛔ Bajo mínimo",IF(F36=$D$16,"✅ En mínimo","✔ Sobre mínimo")))</f>
        <v/>
      </c>
    </row>
    <row r="37" ht="30" customHeight="1" s="102">
      <c r="A37" s="104" t="n"/>
      <c r="B37" s="141" t="n">
        <v>15</v>
      </c>
      <c r="C37" s="112" t="inlineStr">
        <is>
          <t>Transición y onboarding</t>
        </is>
      </c>
      <c r="D37" s="146" t="inlineStr">
        <is>
          <t>ITIL Service</t>
        </is>
      </c>
      <c r="E37" s="135">
        <f>IF($D$8="Mesa de Ayuda","N2 · Administrado",IF($D$8="Mesa de Soporte","N3 · Definido","—"))</f>
        <v/>
      </c>
      <c r="F37" s="164" t="n"/>
      <c r="G37" s="165" t="n"/>
      <c r="H37" s="166">
        <f>IF(AND(F37&lt;&gt;"",G37&lt;&gt;""),G37-F37,"")</f>
        <v/>
      </c>
      <c r="I37" s="167" t="n"/>
      <c r="J37" s="167" t="n"/>
      <c r="K37" s="168">
        <f>IF(F37="","—",IF(F37&lt;$D$16,"⛔ Bajo mínimo",IF(F37=$D$16,"✅ En mínimo","✔ Sobre mínimo")))</f>
        <v/>
      </c>
    </row>
    <row r="38" ht="30" customHeight="1" s="102">
      <c r="A38" s="104" t="n"/>
      <c r="B38" s="141" t="n">
        <v>16</v>
      </c>
      <c r="C38" s="112" t="inlineStr">
        <is>
          <t>Mejora continua del servicio</t>
        </is>
      </c>
      <c r="D38" s="146" t="inlineStr">
        <is>
          <t>Collaborate, Assure &amp; Improve</t>
        </is>
      </c>
      <c r="E38" s="135">
        <f>IF($D$8="Mesa de Ayuda","N2 · Administrado",IF($D$8="Mesa de Soporte","N3 · Definido","—"))</f>
        <v/>
      </c>
      <c r="F38" s="164" t="n"/>
      <c r="G38" s="165" t="n"/>
      <c r="H38" s="166">
        <f>IF(AND(F38&lt;&gt;"",G38&lt;&gt;""),G38-F38,"")</f>
        <v/>
      </c>
      <c r="I38" s="167" t="n"/>
      <c r="J38" s="167" t="n"/>
      <c r="K38" s="168">
        <f>IF(F38="","—",IF(F38&lt;$D$16,"⛔ Bajo mínimo",IF(F38=$D$16,"✅ En mínimo","✔ Sobre mínimo")))</f>
        <v/>
      </c>
    </row>
    <row r="39" ht="30" customHeight="1" s="102">
      <c r="A39" s="104" t="n"/>
      <c r="B39" s="141" t="n">
        <v>17</v>
      </c>
      <c r="C39" s="112" t="inlineStr">
        <is>
          <t>Experiencia del cliente (CX / NPS / CSAT / XLA)</t>
        </is>
      </c>
      <c r="D39" s="149" t="inlineStr">
        <is>
          <t>ITIL Experience</t>
        </is>
      </c>
      <c r="E39" s="135">
        <f>IF($D$8="Mesa de Ayuda","N2 · Administrado",IF($D$8="Mesa de Soporte","N3 · Definido","—"))</f>
        <v/>
      </c>
      <c r="F39" s="164" t="n"/>
      <c r="G39" s="165" t="n"/>
      <c r="H39" s="166">
        <f>IF(AND(F39&lt;&gt;"",G39&lt;&gt;""),G39-F39,"")</f>
        <v/>
      </c>
      <c r="I39" s="167" t="n"/>
      <c r="J39" s="167" t="n"/>
      <c r="K39" s="168">
        <f>IF(F39="","—",IF(F39&lt;$D$16,"⛔ Bajo mínimo",IF(F39=$D$16,"✅ En mínimo","✔ Sobre mínimo")))</f>
        <v/>
      </c>
    </row>
    <row r="40" ht="19.5" customHeight="1" s="102">
      <c r="A40" s="104" t="n"/>
      <c r="B40" s="151" t="inlineStr">
        <is>
          <t>Dimensión de Negocio · Éxito comercial y rentabilidad PS</t>
        </is>
      </c>
      <c r="C40" s="140" t="n"/>
      <c r="D40" s="140" t="n"/>
      <c r="E40" s="140" t="n"/>
      <c r="F40" s="140" t="n"/>
      <c r="G40" s="140" t="n"/>
      <c r="H40" s="140" t="n"/>
      <c r="I40" s="140" t="n"/>
      <c r="J40" s="118" t="n"/>
      <c r="K40" s="104" t="n"/>
    </row>
    <row r="41" ht="30" customHeight="1" s="102">
      <c r="A41" s="104" t="n"/>
      <c r="B41" s="141" t="n">
        <v>18</v>
      </c>
      <c r="C41" s="151" t="inlineStr">
        <is>
          <t>Salud financiera del contrato</t>
        </is>
      </c>
      <c r="D41" s="152" t="inlineStr">
        <is>
          <t>Negocio PS</t>
        </is>
      </c>
      <c r="E41" s="160">
        <f>IF($D$8="Mesa de Ayuda","N2 · Administrado",IF($D$8="Mesa de Soporte","N2 · Administrado","—"))</f>
        <v/>
      </c>
      <c r="F41" s="164" t="n"/>
      <c r="G41" s="165" t="n"/>
      <c r="H41" s="166">
        <f>IF(AND(F41&lt;&gt;"",G41&lt;&gt;""),G41-F41,"")</f>
        <v/>
      </c>
      <c r="I41" s="167" t="n"/>
      <c r="J41" s="167" t="n"/>
      <c r="K41" s="168">
        <f>IF(F41="","—",IF(F41&lt;2,"⛔ Bajo N2",IF(F41=2,"✅ En N2","✔ Sobre N2")))</f>
        <v/>
      </c>
    </row>
    <row r="42" ht="30" customHeight="1" s="102">
      <c r="A42" s="104" t="n"/>
      <c r="B42" s="141" t="n">
        <v>19</v>
      </c>
      <c r="C42" s="151" t="inlineStr">
        <is>
          <t>Retención y crecimiento de cuenta</t>
        </is>
      </c>
      <c r="D42" s="152" t="inlineStr">
        <is>
          <t>Negocio PS</t>
        </is>
      </c>
      <c r="E42" s="160">
        <f>IF($D$8="Mesa de Ayuda","N2 · Administrado",IF($D$8="Mesa de Soporte","N2 · Administrado","—"))</f>
        <v/>
      </c>
      <c r="F42" s="164" t="n"/>
      <c r="G42" s="165" t="n"/>
      <c r="H42" s="166">
        <f>IF(AND(F42&lt;&gt;"",G42&lt;&gt;""),G42-F42,"")</f>
        <v/>
      </c>
      <c r="I42" s="167" t="n"/>
      <c r="J42" s="167" t="n"/>
      <c r="K42" s="168">
        <f>IF(F42="","—",IF(F42&lt;2,"⛔ Bajo N2",IF(F42=2,"✅ En N2","✔ Sobre N2")))</f>
        <v/>
      </c>
    </row>
    <row r="43" ht="30" customHeight="1" s="102">
      <c r="A43" s="104" t="n"/>
      <c r="B43" s="141" t="n">
        <v>20</v>
      </c>
      <c r="C43" s="151" t="inlineStr">
        <is>
          <t>NPS / CSAT / XLA del cliente final</t>
        </is>
      </c>
      <c r="D43" s="152" t="inlineStr">
        <is>
          <t>Negocio PS</t>
        </is>
      </c>
      <c r="E43" s="160">
        <f>IF($D$8="Mesa de Ayuda","N2 · Administrado",IF($D$8="Mesa de Soporte","N2 · Administrado","—"))</f>
        <v/>
      </c>
      <c r="F43" s="164" t="n"/>
      <c r="G43" s="165" t="n"/>
      <c r="H43" s="166">
        <f>IF(AND(F43&lt;&gt;"",G43&lt;&gt;""),G43-F43,"")</f>
        <v/>
      </c>
      <c r="I43" s="167" t="n"/>
      <c r="J43" s="167" t="n"/>
      <c r="K43" s="168">
        <f>IF(F43="","—",IF(F43&lt;2,"⛔ Bajo N2",IF(F43=2,"✅ En N2","✔ Sobre N2")))</f>
        <v/>
      </c>
    </row>
    <row r="44" ht="30" customHeight="1" s="102">
      <c r="A44" s="104" t="n"/>
      <c r="B44" s="141" t="n">
        <v>21</v>
      </c>
      <c r="C44" s="151" t="inlineStr">
        <is>
          <t>Eficiencia de costo operativo</t>
        </is>
      </c>
      <c r="D44" s="152" t="inlineStr">
        <is>
          <t>Negocio PS</t>
        </is>
      </c>
      <c r="E44" s="160">
        <f>IF($D$8="Mesa de Ayuda","N2 · Administrado",IF($D$8="Mesa de Soporte","N2 · Administrado","—"))</f>
        <v/>
      </c>
      <c r="F44" s="164" t="n"/>
      <c r="G44" s="165" t="n"/>
      <c r="H44" s="166">
        <f>IF(AND(F44&lt;&gt;"",G44&lt;&gt;""),G44-F44,"")</f>
        <v/>
      </c>
      <c r="I44" s="167" t="n"/>
      <c r="J44" s="167" t="n"/>
      <c r="K44" s="168">
        <f>IF(F44="","—",IF(F44&lt;2,"⛔ Bajo N2",IF(F44=2,"✅ En N2","✔ Sobre N2")))</f>
        <v/>
      </c>
    </row>
  </sheetData>
  <mergeCells count="17">
    <mergeCell ref="D12:H12"/>
    <mergeCell ref="C3:J3"/>
    <mergeCell ref="D7:H7"/>
    <mergeCell ref="D8:H8"/>
    <mergeCell ref="D6:H6"/>
    <mergeCell ref="B19:J19"/>
    <mergeCell ref="D10:H10"/>
    <mergeCell ref="B22:J22"/>
    <mergeCell ref="B32:J32"/>
    <mergeCell ref="C2:J2"/>
    <mergeCell ref="D11:H11"/>
    <mergeCell ref="D13:H13"/>
    <mergeCell ref="D5:H5"/>
    <mergeCell ref="B27:J27"/>
    <mergeCell ref="D15:G15"/>
    <mergeCell ref="B40:J40"/>
    <mergeCell ref="D9:H9"/>
  </mergeCells>
  <conditionalFormatting sqref="F19:F44">
    <cfRule type="expression" rank="0" priority="2" equalAverage="0" aboveAverage="0" dxfId="0" text="" percent="0" bottom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rank="0" priority="4" equalAverage="0" operator="greaterThan" aboveAverage="0" dxfId="1" text="" percent="0" bottom="0">
      <formula>1</formula>
    </cfRule>
    <cfRule type="cellIs" rank="0" priority="5" equalAverage="0" operator="lessThan" aboveAverage="0" dxfId="0" text="" percent="0" bottom="0">
      <formula>0</formula>
    </cfRule>
  </conditionalFormatting>
  <conditionalFormatting sqref="H20:H44">
    <cfRule type="cellIs" rank="0" priority="6" equalAverage="0" operator="lessThan" aboveAverage="0" dxfId="2" text="" percent="0" bottom="0">
      <formula>0</formula>
    </cfRule>
    <cfRule type="cellIs" rank="0" priority="7" equalAverage="0" operator="equal" aboveAverage="0" dxfId="3" text="" percent="0" bottom="0">
      <formula>0</formula>
    </cfRule>
    <cfRule type="cellIs" rank="0" priority="8" equalAverage="0" operator="greaterThan" aboveAverage="0" dxfId="4" text="" percent="0" bottom="0">
      <formula>0</formula>
    </cfRule>
  </conditionalFormatting>
  <dataValidations count="1">
    <dataValidation sqref="F20:F44" showDropDown="0" showInputMessage="0" showErrorMessage="1" allowBlank="1" errorTitle="Nivel inválido" error="Ingresa 0 (N0) a 5 (N5)" type="list" errorStyle="stop" operator="between">
      <formula1>"0,1,2,3,4,5"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000072BC"/>
    <outlinePr summaryBelow="1" summaryRight="1"/>
    <pageSetUpPr fitToPage="0"/>
  </sheetPr>
  <dimension ref="A1:AF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baseColWidth="8" defaultColWidth="8.6328125" defaultRowHeight="14.25" zeroHeight="0" outlineLevelRow="0"/>
  <cols>
    <col width="2" customWidth="1" style="101" min="1" max="1"/>
    <col width="22" customWidth="1" style="101" min="2" max="2"/>
    <col width="14" customWidth="1" style="101" min="3" max="4"/>
    <col width="16" customWidth="1" style="101" min="5" max="5"/>
    <col width="10" customWidth="1" style="101" min="6" max="6"/>
    <col width="13" customWidth="1" style="101" min="7" max="8"/>
    <col width="11" customWidth="1" style="101" min="9" max="29"/>
    <col width="13" customWidth="1" style="101" min="30" max="30"/>
  </cols>
  <sheetData>
    <row r="1">
      <c r="A1" s="104" t="n"/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  <c r="L1" s="104" t="n"/>
      <c r="M1" s="104" t="n"/>
      <c r="N1" s="104" t="n"/>
      <c r="O1" s="104" t="n"/>
      <c r="P1" s="104" t="n"/>
      <c r="Q1" s="104" t="n"/>
      <c r="R1" s="104" t="n"/>
      <c r="S1" s="104" t="n"/>
      <c r="T1" s="104" t="n"/>
      <c r="U1" s="104" t="n"/>
      <c r="V1" s="104" t="n"/>
      <c r="W1" s="104" t="n"/>
      <c r="X1" s="104" t="n"/>
      <c r="Y1" s="104" t="n"/>
      <c r="Z1" s="104" t="n"/>
      <c r="AA1" s="104" t="n"/>
      <c r="AB1" s="104" t="n"/>
      <c r="AC1" s="104" t="n"/>
      <c r="AD1" s="104" t="n"/>
      <c r="AE1" s="104" t="n"/>
      <c r="AF1" s="104" t="n"/>
    </row>
    <row r="2" ht="19.5" customHeight="1" s="102">
      <c r="A2" s="104" t="n"/>
      <c r="B2" s="129" t="inlineStr">
        <is>
          <t>Dashboard Consolidado · Modelo de Madurez · 8 Mesas de Servicio</t>
        </is>
      </c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  <c r="L2" s="104" t="n"/>
      <c r="M2" s="104" t="n"/>
      <c r="N2" s="104" t="n"/>
      <c r="O2" s="104" t="n"/>
      <c r="P2" s="104" t="n"/>
      <c r="Q2" s="104" t="n"/>
      <c r="R2" s="104" t="n"/>
      <c r="S2" s="104" t="n"/>
      <c r="T2" s="104" t="n"/>
      <c r="U2" s="104" t="n"/>
      <c r="V2" s="104" t="n"/>
      <c r="W2" s="104" t="n"/>
      <c r="X2" s="104" t="n"/>
      <c r="Y2" s="104" t="n"/>
      <c r="Z2" s="104" t="n"/>
      <c r="AA2" s="104" t="n"/>
      <c r="AB2" s="104" t="n"/>
      <c r="AC2" s="104" t="n"/>
      <c r="AD2" s="104" t="n"/>
      <c r="AE2" s="104" t="n"/>
      <c r="AF2" s="104" t="n"/>
    </row>
    <row r="3" ht="15" customHeight="1" s="102">
      <c r="A3" s="104" t="n"/>
      <c r="B3" s="130" t="inlineStr">
        <is>
          <t>PersonalSoft · ITIL v5 · 4 Dimensiones · 17 Prácticas Operativas + 4 Negocio · Escala N0–N5</t>
        </is>
      </c>
      <c r="C3" s="104" t="n"/>
      <c r="D3" s="104" t="n"/>
      <c r="E3" s="104" t="n"/>
      <c r="F3" s="104" t="n"/>
      <c r="G3" s="104" t="n"/>
      <c r="H3" s="104" t="n"/>
      <c r="I3" s="104" t="n"/>
      <c r="J3" s="104" t="n"/>
      <c r="K3" s="104" t="n"/>
      <c r="L3" s="104" t="n"/>
      <c r="M3" s="104" t="n"/>
      <c r="N3" s="104" t="n"/>
      <c r="O3" s="104" t="n"/>
      <c r="P3" s="104" t="n"/>
      <c r="Q3" s="104" t="n"/>
      <c r="R3" s="104" t="n"/>
      <c r="S3" s="104" t="n"/>
      <c r="T3" s="104" t="n"/>
      <c r="U3" s="104" t="n"/>
      <c r="V3" s="104" t="n"/>
      <c r="W3" s="104" t="n"/>
      <c r="X3" s="104" t="n"/>
      <c r="Y3" s="104" t="n"/>
      <c r="Z3" s="104" t="n"/>
      <c r="AA3" s="104" t="n"/>
      <c r="AB3" s="104" t="n"/>
      <c r="AC3" s="104" t="n"/>
      <c r="AD3" s="104" t="n"/>
      <c r="AE3" s="104" t="n"/>
      <c r="AF3" s="104" t="n"/>
    </row>
    <row r="4">
      <c r="A4" s="104" t="n"/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  <c r="L4" s="104" t="n"/>
      <c r="M4" s="104" t="n"/>
      <c r="N4" s="104" t="n"/>
      <c r="O4" s="104" t="n"/>
      <c r="P4" s="104" t="n"/>
      <c r="Q4" s="104" t="n"/>
      <c r="R4" s="104" t="n"/>
      <c r="S4" s="104" t="n"/>
      <c r="T4" s="104" t="n"/>
      <c r="U4" s="104" t="n"/>
      <c r="V4" s="104" t="n"/>
      <c r="W4" s="104" t="n"/>
      <c r="X4" s="104" t="n"/>
      <c r="Y4" s="104" t="n"/>
      <c r="Z4" s="104" t="n"/>
      <c r="AA4" s="104" t="n"/>
      <c r="AB4" s="104" t="n"/>
      <c r="AC4" s="104" t="n"/>
      <c r="AD4" s="104" t="n"/>
      <c r="AE4" s="104" t="n"/>
      <c r="AF4" s="104" t="n"/>
    </row>
    <row r="5" ht="60" customHeight="1" s="102">
      <c r="A5" s="104" t="n"/>
      <c r="B5" s="134" t="inlineStr">
        <is>
          <t>Mesa de servicio</t>
        </is>
      </c>
      <c r="C5" s="134" t="inlineStr">
        <is>
          <t>Cliente</t>
        </is>
      </c>
      <c r="D5" s="134" t="inlineStr">
        <is>
          <t>Sector</t>
        </is>
      </c>
      <c r="E5" s="134" t="inlineStr">
        <is>
          <t>Tipo de mesa</t>
        </is>
      </c>
      <c r="F5" s="134" t="inlineStr">
        <is>
          <t>N0 activo</t>
        </is>
      </c>
      <c r="G5" s="169" t="inlineStr">
        <is>
          <t>Nivel global
operativo</t>
        </is>
      </c>
      <c r="H5" s="134" t="inlineStr">
        <is>
          <t>Nivel global
negocio</t>
        </is>
      </c>
      <c r="I5" s="170" t="inlineStr">
        <is>
          <t xml:space="preserve">Gobierno de roles </t>
        </is>
      </c>
      <c r="J5" s="170" t="inlineStr">
        <is>
          <t>Capacidad y dimens</t>
        </is>
      </c>
      <c r="K5" s="171" t="inlineStr">
        <is>
          <t>Herramientas y aut</t>
        </is>
      </c>
      <c r="L5" s="171" t="inlineStr">
        <is>
          <t>Gestión del conoci</t>
        </is>
      </c>
      <c r="M5" s="171" t="inlineStr">
        <is>
          <t>Gestión de integra</t>
        </is>
      </c>
      <c r="N5" s="171" t="inlineStr">
        <is>
          <t>Monitoreo y gestió</t>
        </is>
      </c>
      <c r="O5" s="172" t="inlineStr">
        <is>
          <t>Service Desk — pun</t>
        </is>
      </c>
      <c r="P5" s="172" t="inlineStr">
        <is>
          <t>Catálogo de servic</t>
        </is>
      </c>
      <c r="Q5" s="172" t="inlineStr">
        <is>
          <t>SLA / ANS + XLA po</t>
        </is>
      </c>
      <c r="R5" s="172" t="inlineStr">
        <is>
          <t>Disponibilidad y c</t>
        </is>
      </c>
      <c r="S5" s="170" t="inlineStr">
        <is>
          <t>Gestión de inciden</t>
        </is>
      </c>
      <c r="T5" s="170" t="inlineStr">
        <is>
          <t>Gestión de solicit</t>
        </is>
      </c>
      <c r="U5" s="170" t="inlineStr">
        <is>
          <t>Gestión de problem</t>
        </is>
      </c>
      <c r="V5" s="170" t="inlineStr">
        <is>
          <t>Gestión del cambio</t>
        </is>
      </c>
      <c r="W5" s="170" t="inlineStr">
        <is>
          <t>Transición y onboa</t>
        </is>
      </c>
      <c r="X5" s="170" t="inlineStr">
        <is>
          <t>Mejora continua de</t>
        </is>
      </c>
      <c r="Y5" s="170" t="inlineStr">
        <is>
          <t>Experiencia del cl</t>
        </is>
      </c>
      <c r="Z5" s="161" t="inlineStr">
        <is>
          <t>Salud financiera d</t>
        </is>
      </c>
      <c r="AA5" s="161" t="inlineStr">
        <is>
          <t>Retención y crecim</t>
        </is>
      </c>
      <c r="AB5" s="161" t="inlineStr">
        <is>
          <t>NPS / CSAT / XLA d</t>
        </is>
      </c>
      <c r="AC5" s="161" t="inlineStr">
        <is>
          <t>Eficiencia de cost</t>
        </is>
      </c>
      <c r="AD5" s="104" t="n"/>
      <c r="AE5" s="104" t="n"/>
      <c r="AF5" s="173" t="inlineStr">
        <is>
          <t># Práct.
bajo mínimo</t>
        </is>
      </c>
    </row>
    <row r="6" ht="21.75" customHeight="1" s="102">
      <c r="A6" s="104" t="n"/>
      <c r="B6" s="174" t="inlineStr">
        <is>
          <t>Cotizadores</t>
        </is>
      </c>
      <c r="C6" s="174" t="inlineStr">
        <is>
          <t>SURA</t>
        </is>
      </c>
      <c r="D6" s="174" t="inlineStr">
        <is>
          <t>Banca/Seguros</t>
        </is>
      </c>
      <c r="E6" s="141">
        <f>SURA_Cotizadores!D8</f>
        <v/>
      </c>
      <c r="F6" s="141">
        <f>SURA_Cotizadores!D9</f>
        <v/>
      </c>
      <c r="G6" s="175">
        <f>IFERROR(SURA_Cotizadores!J15,"")</f>
        <v/>
      </c>
      <c r="H6" s="176">
        <f>IFERROR((SURA_Cotizadores!F41+SURA_Cotizadores!F42+SURA_Cotizadores!F43+SURA_Cotizadores!F44)/4,"")</f>
        <v/>
      </c>
      <c r="I6" s="177">
        <f>IF(SURA_Cotizadores!F20&lt;&gt;"",SURA_Cotizadores!F20,"")</f>
        <v/>
      </c>
      <c r="J6" s="177">
        <f>IF(SURA_Cotizadores!F21&lt;&gt;"",SURA_Cotizadores!F21,"")</f>
        <v/>
      </c>
      <c r="K6" s="177">
        <f>IF(SURA_Cotizadores!F23&lt;&gt;"",SURA_Cotizadores!F23,"")</f>
        <v/>
      </c>
      <c r="L6" s="177">
        <f>IF(SURA_Cotizadores!F24&lt;&gt;"",SURA_Cotizadores!F24,"")</f>
        <v/>
      </c>
      <c r="M6" s="177">
        <f>IF(SURA_Cotizadores!F25&lt;&gt;"",SURA_Cotizadores!F25,"")</f>
        <v/>
      </c>
      <c r="N6" s="177">
        <f>IF(SURA_Cotizadores!F26&lt;&gt;"",SURA_Cotizadores!F26,"")</f>
        <v/>
      </c>
      <c r="O6" s="177">
        <f>IF(SURA_Cotizadores!F28&lt;&gt;"",SURA_Cotizadores!F28,"")</f>
        <v/>
      </c>
      <c r="P6" s="177">
        <f>IF(SURA_Cotizadores!F29&lt;&gt;"",SURA_Cotizadores!F29,"")</f>
        <v/>
      </c>
      <c r="Q6" s="177">
        <f>IF(SURA_Cotizadores!F30&lt;&gt;"",SURA_Cotizadores!F30,"")</f>
        <v/>
      </c>
      <c r="R6" s="177">
        <f>IF(SURA_Cotizadores!F31&lt;&gt;"",SURA_Cotizadores!F31,"")</f>
        <v/>
      </c>
      <c r="S6" s="177">
        <f>IF(SURA_Cotizadores!F33&lt;&gt;"",SURA_Cotizadores!F33,"")</f>
        <v/>
      </c>
      <c r="T6" s="177">
        <f>IF(SURA_Cotizadores!F34&lt;&gt;"",SURA_Cotizadores!F34,"")</f>
        <v/>
      </c>
      <c r="U6" s="177">
        <f>IF(SURA_Cotizadores!F35&lt;&gt;"",SURA_Cotizadores!F35,"")</f>
        <v/>
      </c>
      <c r="V6" s="177">
        <f>IF(SURA_Cotizadores!F36&lt;&gt;"",SURA_Cotizadores!F36,"")</f>
        <v/>
      </c>
      <c r="W6" s="177">
        <f>IF(SURA_Cotizadores!F37&lt;&gt;"",SURA_Cotizadores!F37,"")</f>
        <v/>
      </c>
      <c r="X6" s="177">
        <f>IF(SURA_Cotizadores!F38&lt;&gt;"",SURA_Cotizadores!F38,"")</f>
        <v/>
      </c>
      <c r="Y6" s="177">
        <f>IF(SURA_Cotizadores!F39&lt;&gt;"",SURA_Cotizadores!F39,"")</f>
        <v/>
      </c>
      <c r="Z6" s="177">
        <f>IF(SURA_Cotizadores!F41&lt;&gt;"",SURA_Cotizadores!F41,"")</f>
        <v/>
      </c>
      <c r="AA6" s="177">
        <f>IF(SURA_Cotizadores!F42&lt;&gt;"",SURA_Cotizadores!F42,"")</f>
        <v/>
      </c>
      <c r="AB6" s="177">
        <f>IF(SURA_Cotizadores!F43&lt;&gt;"",SURA_Cotizadores!F43,"")</f>
        <v/>
      </c>
      <c r="AC6" s="177">
        <f>IF(SURA_Cotizadores!F44&lt;&gt;"",SURA_Cotizadores!F44,"")</f>
        <v/>
      </c>
      <c r="AD6" s="104" t="n"/>
      <c r="AE6" s="104" t="n"/>
      <c r="AF6" s="178">
        <f>IFERROR(COUNTIF(SURA_Cotizadores!K20:K39,"*Bajo mínimo*"),"")</f>
        <v/>
      </c>
    </row>
    <row r="7" ht="21.75" customHeight="1" s="102">
      <c r="A7" s="104" t="n"/>
      <c r="B7" s="174" t="inlineStr">
        <is>
          <t>Venta Canal Digital</t>
        </is>
      </c>
      <c r="C7" s="174" t="inlineStr">
        <is>
          <t>SURA</t>
        </is>
      </c>
      <c r="D7" s="174" t="inlineStr">
        <is>
          <t>Banca/Seguros</t>
        </is>
      </c>
      <c r="E7" s="141">
        <f>SURA_VentaDigital!D8</f>
        <v/>
      </c>
      <c r="F7" s="141">
        <f>SURA_VentaDigital!D9</f>
        <v/>
      </c>
      <c r="G7" s="175">
        <f>IFERROR(SURA_VentaDigital!J15,"")</f>
        <v/>
      </c>
      <c r="H7" s="176">
        <f>IFERROR((SURA_VentaDigital!F41+SURA_VentaDigital!F42+SURA_VentaDigital!F43+SURA_VentaDigital!F44)/4,"")</f>
        <v/>
      </c>
      <c r="I7" s="177">
        <f>IF(SURA_VentaDigital!F20&lt;&gt;"",SURA_VentaDigital!F20,"")</f>
        <v/>
      </c>
      <c r="J7" s="177">
        <f>IF(SURA_VentaDigital!F21&lt;&gt;"",SURA_VentaDigital!F21,"")</f>
        <v/>
      </c>
      <c r="K7" s="177">
        <f>IF(SURA_VentaDigital!F23&lt;&gt;"",SURA_VentaDigital!F23,"")</f>
        <v/>
      </c>
      <c r="L7" s="177">
        <f>IF(SURA_VentaDigital!F24&lt;&gt;"",SURA_VentaDigital!F24,"")</f>
        <v/>
      </c>
      <c r="M7" s="177">
        <f>IF(SURA_VentaDigital!F25&lt;&gt;"",SURA_VentaDigital!F25,"")</f>
        <v/>
      </c>
      <c r="N7" s="177">
        <f>IF(SURA_VentaDigital!F26&lt;&gt;"",SURA_VentaDigital!F26,"")</f>
        <v/>
      </c>
      <c r="O7" s="177">
        <f>IF(SURA_VentaDigital!F28&lt;&gt;"",SURA_VentaDigital!F28,"")</f>
        <v/>
      </c>
      <c r="P7" s="177">
        <f>IF(SURA_VentaDigital!F29&lt;&gt;"",SURA_VentaDigital!F29,"")</f>
        <v/>
      </c>
      <c r="Q7" s="177">
        <f>IF(SURA_VentaDigital!F30&lt;&gt;"",SURA_VentaDigital!F30,"")</f>
        <v/>
      </c>
      <c r="R7" s="177">
        <f>IF(SURA_VentaDigital!F31&lt;&gt;"",SURA_VentaDigital!F31,"")</f>
        <v/>
      </c>
      <c r="S7" s="177">
        <f>IF(SURA_VentaDigital!F33&lt;&gt;"",SURA_VentaDigital!F33,"")</f>
        <v/>
      </c>
      <c r="T7" s="177">
        <f>IF(SURA_VentaDigital!F34&lt;&gt;"",SURA_VentaDigital!F34,"")</f>
        <v/>
      </c>
      <c r="U7" s="177">
        <f>IF(SURA_VentaDigital!F35&lt;&gt;"",SURA_VentaDigital!F35,"")</f>
        <v/>
      </c>
      <c r="V7" s="177">
        <f>IF(SURA_VentaDigital!F36&lt;&gt;"",SURA_VentaDigital!F36,"")</f>
        <v/>
      </c>
      <c r="W7" s="177">
        <f>IF(SURA_VentaDigital!F37&lt;&gt;"",SURA_VentaDigital!F37,"")</f>
        <v/>
      </c>
      <c r="X7" s="177">
        <f>IF(SURA_VentaDigital!F38&lt;&gt;"",SURA_VentaDigital!F38,"")</f>
        <v/>
      </c>
      <c r="Y7" s="177">
        <f>IF(SURA_VentaDigital!F39&lt;&gt;"",SURA_VentaDigital!F39,"")</f>
        <v/>
      </c>
      <c r="Z7" s="177">
        <f>IF(SURA_VentaDigital!F41&lt;&gt;"",SURA_VentaDigital!F41,"")</f>
        <v/>
      </c>
      <c r="AA7" s="177">
        <f>IF(SURA_VentaDigital!F42&lt;&gt;"",SURA_VentaDigital!F42,"")</f>
        <v/>
      </c>
      <c r="AB7" s="177">
        <f>IF(SURA_VentaDigital!F43&lt;&gt;"",SURA_VentaDigital!F43,"")</f>
        <v/>
      </c>
      <c r="AC7" s="177">
        <f>IF(SURA_VentaDigital!F44&lt;&gt;"",SURA_VentaDigital!F44,"")</f>
        <v/>
      </c>
      <c r="AD7" s="104" t="n"/>
      <c r="AE7" s="104" t="n"/>
      <c r="AF7" s="179">
        <f>IFERROR(COUNTIF(SURA_VentaDigital!K20:K39,"*Bajo mínimo*"),"")</f>
        <v/>
      </c>
    </row>
    <row r="8" ht="21.75" customHeight="1" s="102">
      <c r="A8" s="104" t="n"/>
      <c r="B8" s="174" t="inlineStr">
        <is>
          <t>Torre de Control</t>
        </is>
      </c>
      <c r="C8" s="174" t="inlineStr">
        <is>
          <t>SURA</t>
        </is>
      </c>
      <c r="D8" s="174" t="inlineStr">
        <is>
          <t>Banca/Seguros</t>
        </is>
      </c>
      <c r="E8" s="141">
        <f>SURA_TorreControl!D8</f>
        <v/>
      </c>
      <c r="F8" s="141">
        <f>SURA_TorreControl!D9</f>
        <v/>
      </c>
      <c r="G8" s="175">
        <f>IFERROR(SURA_TorreControl!J15,"")</f>
        <v/>
      </c>
      <c r="H8" s="176">
        <f>IFERROR((SURA_TorreControl!F41+SURA_TorreControl!F42+SURA_TorreControl!F43+SURA_TorreControl!F44)/4,"")</f>
        <v/>
      </c>
      <c r="I8" s="177">
        <f>IF(SURA_TorreControl!F20&lt;&gt;"",SURA_TorreControl!F20,"")</f>
        <v/>
      </c>
      <c r="J8" s="177">
        <f>IF(SURA_TorreControl!F21&lt;&gt;"",SURA_TorreControl!F21,"")</f>
        <v/>
      </c>
      <c r="K8" s="177">
        <f>IF(SURA_TorreControl!F23&lt;&gt;"",SURA_TorreControl!F23,"")</f>
        <v/>
      </c>
      <c r="L8" s="177">
        <f>IF(SURA_TorreControl!F24&lt;&gt;"",SURA_TorreControl!F24,"")</f>
        <v/>
      </c>
      <c r="M8" s="177">
        <f>IF(SURA_TorreControl!F25&lt;&gt;"",SURA_TorreControl!F25,"")</f>
        <v/>
      </c>
      <c r="N8" s="177">
        <f>IF(SURA_TorreControl!F26&lt;&gt;"",SURA_TorreControl!F26,"")</f>
        <v/>
      </c>
      <c r="O8" s="177">
        <f>IF(SURA_TorreControl!F28&lt;&gt;"",SURA_TorreControl!F28,"")</f>
        <v/>
      </c>
      <c r="P8" s="177">
        <f>IF(SURA_TorreControl!F29&lt;&gt;"",SURA_TorreControl!F29,"")</f>
        <v/>
      </c>
      <c r="Q8" s="177">
        <f>IF(SURA_TorreControl!F30&lt;&gt;"",SURA_TorreControl!F30,"")</f>
        <v/>
      </c>
      <c r="R8" s="177">
        <f>IF(SURA_TorreControl!F31&lt;&gt;"",SURA_TorreControl!F31,"")</f>
        <v/>
      </c>
      <c r="S8" s="177">
        <f>IF(SURA_TorreControl!F33&lt;&gt;"",SURA_TorreControl!F33,"")</f>
        <v/>
      </c>
      <c r="T8" s="177">
        <f>IF(SURA_TorreControl!F34&lt;&gt;"",SURA_TorreControl!F34,"")</f>
        <v/>
      </c>
      <c r="U8" s="177">
        <f>IF(SURA_TorreControl!F35&lt;&gt;"",SURA_TorreControl!F35,"")</f>
        <v/>
      </c>
      <c r="V8" s="177">
        <f>IF(SURA_TorreControl!F36&lt;&gt;"",SURA_TorreControl!F36,"")</f>
        <v/>
      </c>
      <c r="W8" s="177">
        <f>IF(SURA_TorreControl!F37&lt;&gt;"",SURA_TorreControl!F37,"")</f>
        <v/>
      </c>
      <c r="X8" s="177">
        <f>IF(SURA_TorreControl!F38&lt;&gt;"",SURA_TorreControl!F38,"")</f>
        <v/>
      </c>
      <c r="Y8" s="177">
        <f>IF(SURA_TorreControl!F39&lt;&gt;"",SURA_TorreControl!F39,"")</f>
        <v/>
      </c>
      <c r="Z8" s="177">
        <f>IF(SURA_TorreControl!F41&lt;&gt;"",SURA_TorreControl!F41,"")</f>
        <v/>
      </c>
      <c r="AA8" s="177">
        <f>IF(SURA_TorreControl!F42&lt;&gt;"",SURA_TorreControl!F42,"")</f>
        <v/>
      </c>
      <c r="AB8" s="177">
        <f>IF(SURA_TorreControl!F43&lt;&gt;"",SURA_TorreControl!F43,"")</f>
        <v/>
      </c>
      <c r="AC8" s="177">
        <f>IF(SURA_TorreControl!F44&lt;&gt;"",SURA_TorreControl!F44,"")</f>
        <v/>
      </c>
      <c r="AD8" s="104" t="n"/>
      <c r="AE8" s="104" t="n"/>
      <c r="AF8" s="178">
        <f>IFERROR(COUNTIF(SURA_TorreControl!K20:K39,"*Bajo mínimo*"),"")</f>
        <v/>
      </c>
    </row>
    <row r="9" ht="21.75" customHeight="1" s="102">
      <c r="A9" s="104" t="n"/>
      <c r="B9" s="174" t="inlineStr">
        <is>
          <t>Mesa 4</t>
        </is>
      </c>
      <c r="C9" s="174" t="inlineStr">
        <is>
          <t>SURA</t>
        </is>
      </c>
      <c r="D9" s="174" t="inlineStr">
        <is>
          <t>Banca/Seguros</t>
        </is>
      </c>
      <c r="E9" s="141">
        <f>SURA_Mesa4!D8</f>
        <v/>
      </c>
      <c r="F9" s="141">
        <f>SURA_Mesa4!D9</f>
        <v/>
      </c>
      <c r="G9" s="175">
        <f>IFERROR(SURA_Mesa4!J15,"")</f>
        <v/>
      </c>
      <c r="H9" s="176">
        <f>IFERROR((SURA_Mesa4!F41+SURA_Mesa4!F42+SURA_Mesa4!F43+SURA_Mesa4!F44)/4,"")</f>
        <v/>
      </c>
      <c r="I9" s="177">
        <f>IF(SURA_Mesa4!F20&lt;&gt;"",SURA_Mesa4!F20,"")</f>
        <v/>
      </c>
      <c r="J9" s="177">
        <f>IF(SURA_Mesa4!F21&lt;&gt;"",SURA_Mesa4!F21,"")</f>
        <v/>
      </c>
      <c r="K9" s="177">
        <f>IF(SURA_Mesa4!F23&lt;&gt;"",SURA_Mesa4!F23,"")</f>
        <v/>
      </c>
      <c r="L9" s="177">
        <f>IF(SURA_Mesa4!F24&lt;&gt;"",SURA_Mesa4!F24,"")</f>
        <v/>
      </c>
      <c r="M9" s="177">
        <f>IF(SURA_Mesa4!F25&lt;&gt;"",SURA_Mesa4!F25,"")</f>
        <v/>
      </c>
      <c r="N9" s="177">
        <f>IF(SURA_Mesa4!F26&lt;&gt;"",SURA_Mesa4!F26,"")</f>
        <v/>
      </c>
      <c r="O9" s="177">
        <f>IF(SURA_Mesa4!F28&lt;&gt;"",SURA_Mesa4!F28,"")</f>
        <v/>
      </c>
      <c r="P9" s="177">
        <f>IF(SURA_Mesa4!F29&lt;&gt;"",SURA_Mesa4!F29,"")</f>
        <v/>
      </c>
      <c r="Q9" s="177">
        <f>IF(SURA_Mesa4!F30&lt;&gt;"",SURA_Mesa4!F30,"")</f>
        <v/>
      </c>
      <c r="R9" s="177">
        <f>IF(SURA_Mesa4!F31&lt;&gt;"",SURA_Mesa4!F31,"")</f>
        <v/>
      </c>
      <c r="S9" s="177">
        <f>IF(SURA_Mesa4!F33&lt;&gt;"",SURA_Mesa4!F33,"")</f>
        <v/>
      </c>
      <c r="T9" s="177">
        <f>IF(SURA_Mesa4!F34&lt;&gt;"",SURA_Mesa4!F34,"")</f>
        <v/>
      </c>
      <c r="U9" s="177">
        <f>IF(SURA_Mesa4!F35&lt;&gt;"",SURA_Mesa4!F35,"")</f>
        <v/>
      </c>
      <c r="V9" s="177">
        <f>IF(SURA_Mesa4!F36&lt;&gt;"",SURA_Mesa4!F36,"")</f>
        <v/>
      </c>
      <c r="W9" s="177">
        <f>IF(SURA_Mesa4!F37&lt;&gt;"",SURA_Mesa4!F37,"")</f>
        <v/>
      </c>
      <c r="X9" s="177">
        <f>IF(SURA_Mesa4!F38&lt;&gt;"",SURA_Mesa4!F38,"")</f>
        <v/>
      </c>
      <c r="Y9" s="177">
        <f>IF(SURA_Mesa4!F39&lt;&gt;"",SURA_Mesa4!F39,"")</f>
        <v/>
      </c>
      <c r="Z9" s="177">
        <f>IF(SURA_Mesa4!F41&lt;&gt;"",SURA_Mesa4!F41,"")</f>
        <v/>
      </c>
      <c r="AA9" s="177">
        <f>IF(SURA_Mesa4!F42&lt;&gt;"",SURA_Mesa4!F42,"")</f>
        <v/>
      </c>
      <c r="AB9" s="177">
        <f>IF(SURA_Mesa4!F43&lt;&gt;"",SURA_Mesa4!F43,"")</f>
        <v/>
      </c>
      <c r="AC9" s="177">
        <f>IF(SURA_Mesa4!F44&lt;&gt;"",SURA_Mesa4!F44,"")</f>
        <v/>
      </c>
      <c r="AD9" s="104" t="n"/>
      <c r="AE9" s="104" t="n"/>
      <c r="AF9" s="179">
        <f>IFERROR(COUNTIF(SURA_Mesa4!K20:K39,"*Bajo mínimo*"),"")</f>
        <v/>
      </c>
    </row>
    <row r="10" ht="21.75" customHeight="1" s="102">
      <c r="A10" s="104" t="n"/>
      <c r="B10" s="174" t="inlineStr">
        <is>
          <t>GIOTI 1</t>
        </is>
      </c>
      <c r="C10" s="174" t="inlineStr">
        <is>
          <t>Bancolombia</t>
        </is>
      </c>
      <c r="D10" s="174" t="inlineStr">
        <is>
          <t>Banca</t>
        </is>
      </c>
      <c r="E10" s="141">
        <f>BCO_GIOTI_1!D8</f>
        <v/>
      </c>
      <c r="F10" s="141">
        <f>BCO_GIOTI_1!D9</f>
        <v/>
      </c>
      <c r="G10" s="175">
        <f>IFERROR(BCO_GIOTI_1!J15,"")</f>
        <v/>
      </c>
      <c r="H10" s="176">
        <f>IFERROR((BCO_GIOTI_1!F41+BCO_GIOTI_1!F42+BCO_GIOTI_1!F43+BCO_GIOTI_1!F44)/4,"")</f>
        <v/>
      </c>
      <c r="I10" s="177">
        <f>IF(BCO_GIOTI_1!F20&lt;&gt;"",BCO_GIOTI_1!F20,"")</f>
        <v/>
      </c>
      <c r="J10" s="177">
        <f>IF(BCO_GIOTI_1!F21&lt;&gt;"",BCO_GIOTI_1!F21,"")</f>
        <v/>
      </c>
      <c r="K10" s="177">
        <f>IF(BCO_GIOTI_1!F23&lt;&gt;"",BCO_GIOTI_1!F23,"")</f>
        <v/>
      </c>
      <c r="L10" s="177">
        <f>IF(BCO_GIOTI_1!F24&lt;&gt;"",BCO_GIOTI_1!F24,"")</f>
        <v/>
      </c>
      <c r="M10" s="177">
        <f>IF(BCO_GIOTI_1!F25&lt;&gt;"",BCO_GIOTI_1!F25,"")</f>
        <v/>
      </c>
      <c r="N10" s="177">
        <f>IF(BCO_GIOTI_1!F26&lt;&gt;"",BCO_GIOTI_1!F26,"")</f>
        <v/>
      </c>
      <c r="O10" s="177">
        <f>IF(BCO_GIOTI_1!F28&lt;&gt;"",BCO_GIOTI_1!F28,"")</f>
        <v/>
      </c>
      <c r="P10" s="177">
        <f>IF(BCO_GIOTI_1!F29&lt;&gt;"",BCO_GIOTI_1!F29,"")</f>
        <v/>
      </c>
      <c r="Q10" s="177">
        <f>IF(BCO_GIOTI_1!F30&lt;&gt;"",BCO_GIOTI_1!F30,"")</f>
        <v/>
      </c>
      <c r="R10" s="177">
        <f>IF(BCO_GIOTI_1!F31&lt;&gt;"",BCO_GIOTI_1!F31,"")</f>
        <v/>
      </c>
      <c r="S10" s="177">
        <f>IF(BCO_GIOTI_1!F33&lt;&gt;"",BCO_GIOTI_1!F33,"")</f>
        <v/>
      </c>
      <c r="T10" s="177">
        <f>IF(BCO_GIOTI_1!F34&lt;&gt;"",BCO_GIOTI_1!F34,"")</f>
        <v/>
      </c>
      <c r="U10" s="177">
        <f>IF(BCO_GIOTI_1!F35&lt;&gt;"",BCO_GIOTI_1!F35,"")</f>
        <v/>
      </c>
      <c r="V10" s="177">
        <f>IF(BCO_GIOTI_1!F36&lt;&gt;"",BCO_GIOTI_1!F36,"")</f>
        <v/>
      </c>
      <c r="W10" s="177">
        <f>IF(BCO_GIOTI_1!F37&lt;&gt;"",BCO_GIOTI_1!F37,"")</f>
        <v/>
      </c>
      <c r="X10" s="177">
        <f>IF(BCO_GIOTI_1!F38&lt;&gt;"",BCO_GIOTI_1!F38,"")</f>
        <v/>
      </c>
      <c r="Y10" s="177">
        <f>IF(BCO_GIOTI_1!F39&lt;&gt;"",BCO_GIOTI_1!F39,"")</f>
        <v/>
      </c>
      <c r="Z10" s="177">
        <f>IF(BCO_GIOTI_1!F41&lt;&gt;"",BCO_GIOTI_1!F41,"")</f>
        <v/>
      </c>
      <c r="AA10" s="177">
        <f>IF(BCO_GIOTI_1!F42&lt;&gt;"",BCO_GIOTI_1!F42,"")</f>
        <v/>
      </c>
      <c r="AB10" s="177">
        <f>IF(BCO_GIOTI_1!F43&lt;&gt;"",BCO_GIOTI_1!F43,"")</f>
        <v/>
      </c>
      <c r="AC10" s="177">
        <f>IF(BCO_GIOTI_1!F44&lt;&gt;"",BCO_GIOTI_1!F44,"")</f>
        <v/>
      </c>
      <c r="AD10" s="104" t="n"/>
      <c r="AE10" s="104" t="n"/>
      <c r="AF10" s="178">
        <f>IFERROR(COUNTIF(BCO_GIOTI_1!K20:K39,"*Bajo mínimo*"),"")</f>
        <v/>
      </c>
    </row>
    <row r="11" ht="21.75" customHeight="1" s="102">
      <c r="A11" s="104" t="n"/>
      <c r="B11" s="174" t="inlineStr">
        <is>
          <t>GIOTI 2</t>
        </is>
      </c>
      <c r="C11" s="174" t="inlineStr">
        <is>
          <t>Bancolombia</t>
        </is>
      </c>
      <c r="D11" s="174" t="inlineStr">
        <is>
          <t>Banca</t>
        </is>
      </c>
      <c r="E11" s="141">
        <f>BCO_GIOTI_2!D8</f>
        <v/>
      </c>
      <c r="F11" s="141">
        <f>BCO_GIOTI_2!D9</f>
        <v/>
      </c>
      <c r="G11" s="175">
        <f>IFERROR(BCO_GIOTI_2!J15,"")</f>
        <v/>
      </c>
      <c r="H11" s="176">
        <f>IFERROR((BCO_GIOTI_2!F41+BCO_GIOTI_2!F42+BCO_GIOTI_2!F43+BCO_GIOTI_2!F44)/4,"")</f>
        <v/>
      </c>
      <c r="I11" s="177">
        <f>IF(BCO_GIOTI_2!F20&lt;&gt;"",BCO_GIOTI_2!F20,"")</f>
        <v/>
      </c>
      <c r="J11" s="177">
        <f>IF(BCO_GIOTI_2!F21&lt;&gt;"",BCO_GIOTI_2!F21,"")</f>
        <v/>
      </c>
      <c r="K11" s="177">
        <f>IF(BCO_GIOTI_2!F23&lt;&gt;"",BCO_GIOTI_2!F23,"")</f>
        <v/>
      </c>
      <c r="L11" s="177">
        <f>IF(BCO_GIOTI_2!F24&lt;&gt;"",BCO_GIOTI_2!F24,"")</f>
        <v/>
      </c>
      <c r="M11" s="177">
        <f>IF(BCO_GIOTI_2!F25&lt;&gt;"",BCO_GIOTI_2!F25,"")</f>
        <v/>
      </c>
      <c r="N11" s="177">
        <f>IF(BCO_GIOTI_2!F26&lt;&gt;"",BCO_GIOTI_2!F26,"")</f>
        <v/>
      </c>
      <c r="O11" s="177">
        <f>IF(BCO_GIOTI_2!F28&lt;&gt;"",BCO_GIOTI_2!F28,"")</f>
        <v/>
      </c>
      <c r="P11" s="177">
        <f>IF(BCO_GIOTI_2!F29&lt;&gt;"",BCO_GIOTI_2!F29,"")</f>
        <v/>
      </c>
      <c r="Q11" s="177">
        <f>IF(BCO_GIOTI_2!F30&lt;&gt;"",BCO_GIOTI_2!F30,"")</f>
        <v/>
      </c>
      <c r="R11" s="177">
        <f>IF(BCO_GIOTI_2!F31&lt;&gt;"",BCO_GIOTI_2!F31,"")</f>
        <v/>
      </c>
      <c r="S11" s="177">
        <f>IF(BCO_GIOTI_2!F33&lt;&gt;"",BCO_GIOTI_2!F33,"")</f>
        <v/>
      </c>
      <c r="T11" s="177">
        <f>IF(BCO_GIOTI_2!F34&lt;&gt;"",BCO_GIOTI_2!F34,"")</f>
        <v/>
      </c>
      <c r="U11" s="177">
        <f>IF(BCO_GIOTI_2!F35&lt;&gt;"",BCO_GIOTI_2!F35,"")</f>
        <v/>
      </c>
      <c r="V11" s="177">
        <f>IF(BCO_GIOTI_2!F36&lt;&gt;"",BCO_GIOTI_2!F36,"")</f>
        <v/>
      </c>
      <c r="W11" s="177">
        <f>IF(BCO_GIOTI_2!F37&lt;&gt;"",BCO_GIOTI_2!F37,"")</f>
        <v/>
      </c>
      <c r="X11" s="177">
        <f>IF(BCO_GIOTI_2!F38&lt;&gt;"",BCO_GIOTI_2!F38,"")</f>
        <v/>
      </c>
      <c r="Y11" s="177">
        <f>IF(BCO_GIOTI_2!F39&lt;&gt;"",BCO_GIOTI_2!F39,"")</f>
        <v/>
      </c>
      <c r="Z11" s="177">
        <f>IF(BCO_GIOTI_2!F41&lt;&gt;"",BCO_GIOTI_2!F41,"")</f>
        <v/>
      </c>
      <c r="AA11" s="177">
        <f>IF(BCO_GIOTI_2!F42&lt;&gt;"",BCO_GIOTI_2!F42,"")</f>
        <v/>
      </c>
      <c r="AB11" s="177">
        <f>IF(BCO_GIOTI_2!F43&lt;&gt;"",BCO_GIOTI_2!F43,"")</f>
        <v/>
      </c>
      <c r="AC11" s="177">
        <f>IF(BCO_GIOTI_2!F44&lt;&gt;"",BCO_GIOTI_2!F44,"")</f>
        <v/>
      </c>
      <c r="AD11" s="104" t="n"/>
      <c r="AE11" s="104" t="n"/>
      <c r="AF11" s="179">
        <f>IFERROR(COUNTIF(BCO_GIOTI_2!K20:K39,"*Bajo mínimo*"),"")</f>
        <v/>
      </c>
    </row>
    <row r="12" ht="21.75" customHeight="1" s="102">
      <c r="A12" s="104" t="n"/>
      <c r="B12" s="174" t="inlineStr">
        <is>
          <t>GIOTI 3</t>
        </is>
      </c>
      <c r="C12" s="174" t="inlineStr">
        <is>
          <t>Bancolombia</t>
        </is>
      </c>
      <c r="D12" s="174" t="inlineStr">
        <is>
          <t>Banca</t>
        </is>
      </c>
      <c r="E12" s="141">
        <f>BCO_GIOTI_3!D8</f>
        <v/>
      </c>
      <c r="F12" s="141">
        <f>BCO_GIOTI_3!D9</f>
        <v/>
      </c>
      <c r="G12" s="175">
        <f>IFERROR(BCO_GIOTI_3!J15,"")</f>
        <v/>
      </c>
      <c r="H12" s="176">
        <f>IFERROR((BCO_GIOTI_3!F41+BCO_GIOTI_3!F42+BCO_GIOTI_3!F43+BCO_GIOTI_3!F44)/4,"")</f>
        <v/>
      </c>
      <c r="I12" s="177">
        <f>IF(BCO_GIOTI_3!F20&lt;&gt;"",BCO_GIOTI_3!F20,"")</f>
        <v/>
      </c>
      <c r="J12" s="177">
        <f>IF(BCO_GIOTI_3!F21&lt;&gt;"",BCO_GIOTI_3!F21,"")</f>
        <v/>
      </c>
      <c r="K12" s="177">
        <f>IF(BCO_GIOTI_3!F23&lt;&gt;"",BCO_GIOTI_3!F23,"")</f>
        <v/>
      </c>
      <c r="L12" s="177">
        <f>IF(BCO_GIOTI_3!F24&lt;&gt;"",BCO_GIOTI_3!F24,"")</f>
        <v/>
      </c>
      <c r="M12" s="177">
        <f>IF(BCO_GIOTI_3!F25&lt;&gt;"",BCO_GIOTI_3!F25,"")</f>
        <v/>
      </c>
      <c r="N12" s="177">
        <f>IF(BCO_GIOTI_3!F26&lt;&gt;"",BCO_GIOTI_3!F26,"")</f>
        <v/>
      </c>
      <c r="O12" s="177">
        <f>IF(BCO_GIOTI_3!F28&lt;&gt;"",BCO_GIOTI_3!F28,"")</f>
        <v/>
      </c>
      <c r="P12" s="177">
        <f>IF(BCO_GIOTI_3!F29&lt;&gt;"",BCO_GIOTI_3!F29,"")</f>
        <v/>
      </c>
      <c r="Q12" s="177">
        <f>IF(BCO_GIOTI_3!F30&lt;&gt;"",BCO_GIOTI_3!F30,"")</f>
        <v/>
      </c>
      <c r="R12" s="177">
        <f>IF(BCO_GIOTI_3!F31&lt;&gt;"",BCO_GIOTI_3!F31,"")</f>
        <v/>
      </c>
      <c r="S12" s="177">
        <f>IF(BCO_GIOTI_3!F33&lt;&gt;"",BCO_GIOTI_3!F33,"")</f>
        <v/>
      </c>
      <c r="T12" s="177">
        <f>IF(BCO_GIOTI_3!F34&lt;&gt;"",BCO_GIOTI_3!F34,"")</f>
        <v/>
      </c>
      <c r="U12" s="177">
        <f>IF(BCO_GIOTI_3!F35&lt;&gt;"",BCO_GIOTI_3!F35,"")</f>
        <v/>
      </c>
      <c r="V12" s="177">
        <f>IF(BCO_GIOTI_3!F36&lt;&gt;"",BCO_GIOTI_3!F36,"")</f>
        <v/>
      </c>
      <c r="W12" s="177">
        <f>IF(BCO_GIOTI_3!F37&lt;&gt;"",BCO_GIOTI_3!F37,"")</f>
        <v/>
      </c>
      <c r="X12" s="177">
        <f>IF(BCO_GIOTI_3!F38&lt;&gt;"",BCO_GIOTI_3!F38,"")</f>
        <v/>
      </c>
      <c r="Y12" s="177">
        <f>IF(BCO_GIOTI_3!F39&lt;&gt;"",BCO_GIOTI_3!F39,"")</f>
        <v/>
      </c>
      <c r="Z12" s="177">
        <f>IF(BCO_GIOTI_3!F41&lt;&gt;"",BCO_GIOTI_3!F41,"")</f>
        <v/>
      </c>
      <c r="AA12" s="177">
        <f>IF(BCO_GIOTI_3!F42&lt;&gt;"",BCO_GIOTI_3!F42,"")</f>
        <v/>
      </c>
      <c r="AB12" s="177">
        <f>IF(BCO_GIOTI_3!F43&lt;&gt;"",BCO_GIOTI_3!F43,"")</f>
        <v/>
      </c>
      <c r="AC12" s="177">
        <f>IF(BCO_GIOTI_3!F44&lt;&gt;"",BCO_GIOTI_3!F44,"")</f>
        <v/>
      </c>
      <c r="AD12" s="104" t="n"/>
      <c r="AE12" s="104" t="n"/>
      <c r="AF12" s="178">
        <f>IFERROR(COUNTIF(BCO_GIOTI_3!K20:K39,"*Bajo mínimo*"),"")</f>
        <v/>
      </c>
    </row>
    <row r="13" ht="21.75" customHeight="1" s="102">
      <c r="A13" s="104" t="n"/>
      <c r="B13" s="174" t="inlineStr">
        <is>
          <t>GIOTI 4</t>
        </is>
      </c>
      <c r="C13" s="174" t="inlineStr">
        <is>
          <t>Bancolombia</t>
        </is>
      </c>
      <c r="D13" s="174" t="inlineStr">
        <is>
          <t>Banca</t>
        </is>
      </c>
      <c r="E13" s="141">
        <f>BCO_GIOTI_4!D8</f>
        <v/>
      </c>
      <c r="F13" s="141">
        <f>BCO_GIOTI_4!D9</f>
        <v/>
      </c>
      <c r="G13" s="175">
        <f>IFERROR(BCO_GIOTI_4!J15,"")</f>
        <v/>
      </c>
      <c r="H13" s="176">
        <f>IFERROR((BCO_GIOTI_4!F41+BCO_GIOTI_4!F42+BCO_GIOTI_4!F43+BCO_GIOTI_4!F44)/4,"")</f>
        <v/>
      </c>
      <c r="I13" s="177">
        <f>IF(BCO_GIOTI_4!F20&lt;&gt;"",BCO_GIOTI_4!F20,"")</f>
        <v/>
      </c>
      <c r="J13" s="177">
        <f>IF(BCO_GIOTI_4!F21&lt;&gt;"",BCO_GIOTI_4!F21,"")</f>
        <v/>
      </c>
      <c r="K13" s="177">
        <f>IF(BCO_GIOTI_4!F23&lt;&gt;"",BCO_GIOTI_4!F23,"")</f>
        <v/>
      </c>
      <c r="L13" s="177">
        <f>IF(BCO_GIOTI_4!F24&lt;&gt;"",BCO_GIOTI_4!F24,"")</f>
        <v/>
      </c>
      <c r="M13" s="177">
        <f>IF(BCO_GIOTI_4!F25&lt;&gt;"",BCO_GIOTI_4!F25,"")</f>
        <v/>
      </c>
      <c r="N13" s="177">
        <f>IF(BCO_GIOTI_4!F26&lt;&gt;"",BCO_GIOTI_4!F26,"")</f>
        <v/>
      </c>
      <c r="O13" s="177">
        <f>IF(BCO_GIOTI_4!F28&lt;&gt;"",BCO_GIOTI_4!F28,"")</f>
        <v/>
      </c>
      <c r="P13" s="177">
        <f>IF(BCO_GIOTI_4!F29&lt;&gt;"",BCO_GIOTI_4!F29,"")</f>
        <v/>
      </c>
      <c r="Q13" s="177">
        <f>IF(BCO_GIOTI_4!F30&lt;&gt;"",BCO_GIOTI_4!F30,"")</f>
        <v/>
      </c>
      <c r="R13" s="177">
        <f>IF(BCO_GIOTI_4!F31&lt;&gt;"",BCO_GIOTI_4!F31,"")</f>
        <v/>
      </c>
      <c r="S13" s="177">
        <f>IF(BCO_GIOTI_4!F33&lt;&gt;"",BCO_GIOTI_4!F33,"")</f>
        <v/>
      </c>
      <c r="T13" s="177">
        <f>IF(BCO_GIOTI_4!F34&lt;&gt;"",BCO_GIOTI_4!F34,"")</f>
        <v/>
      </c>
      <c r="U13" s="177">
        <f>IF(BCO_GIOTI_4!F35&lt;&gt;"",BCO_GIOTI_4!F35,"")</f>
        <v/>
      </c>
      <c r="V13" s="177">
        <f>IF(BCO_GIOTI_4!F36&lt;&gt;"",BCO_GIOTI_4!F36,"")</f>
        <v/>
      </c>
      <c r="W13" s="177">
        <f>IF(BCO_GIOTI_4!F37&lt;&gt;"",BCO_GIOTI_4!F37,"")</f>
        <v/>
      </c>
      <c r="X13" s="177">
        <f>IF(BCO_GIOTI_4!F38&lt;&gt;"",BCO_GIOTI_4!F38,"")</f>
        <v/>
      </c>
      <c r="Y13" s="177">
        <f>IF(BCO_GIOTI_4!F39&lt;&gt;"",BCO_GIOTI_4!F39,"")</f>
        <v/>
      </c>
      <c r="Z13" s="177">
        <f>IF(BCO_GIOTI_4!F41&lt;&gt;"",BCO_GIOTI_4!F41,"")</f>
        <v/>
      </c>
      <c r="AA13" s="177">
        <f>IF(BCO_GIOTI_4!F42&lt;&gt;"",BCO_GIOTI_4!F42,"")</f>
        <v/>
      </c>
      <c r="AB13" s="177">
        <f>IF(BCO_GIOTI_4!F43&lt;&gt;"",BCO_GIOTI_4!F43,"")</f>
        <v/>
      </c>
      <c r="AC13" s="177">
        <f>IF(BCO_GIOTI_4!F44&lt;&gt;"",BCO_GIOTI_4!F44,"")</f>
        <v/>
      </c>
      <c r="AD13" s="104" t="n"/>
      <c r="AE13" s="104" t="n"/>
      <c r="AF13" s="179">
        <f>IFERROR(COUNTIF(BCO_GIOTI_4!K20:K39,"*Bajo mínimo*"),"")</f>
        <v/>
      </c>
    </row>
    <row r="14">
      <c r="A14" s="104" t="n"/>
      <c r="B14" s="104" t="n"/>
      <c r="C14" s="104" t="n"/>
      <c r="D14" s="104" t="n"/>
      <c r="E14" s="104" t="n"/>
      <c r="F14" s="104" t="n"/>
      <c r="G14" s="104" t="n"/>
      <c r="H14" s="104" t="n"/>
      <c r="I14" s="104" t="n"/>
      <c r="J14" s="104" t="n"/>
      <c r="K14" s="104" t="n"/>
      <c r="L14" s="104" t="n"/>
      <c r="M14" s="104" t="n"/>
      <c r="N14" s="104" t="n"/>
      <c r="O14" s="104" t="n"/>
      <c r="P14" s="104" t="n"/>
      <c r="Q14" s="104" t="n"/>
      <c r="R14" s="104" t="n"/>
      <c r="S14" s="104" t="n"/>
      <c r="T14" s="104" t="n"/>
      <c r="U14" s="104" t="n"/>
      <c r="V14" s="104" t="n"/>
      <c r="W14" s="104" t="n"/>
      <c r="X14" s="104" t="n"/>
      <c r="Y14" s="104" t="n"/>
      <c r="Z14" s="104" t="n"/>
      <c r="AA14" s="104" t="n"/>
      <c r="AB14" s="104" t="n"/>
      <c r="AC14" s="104" t="n"/>
      <c r="AD14" s="104" t="n"/>
      <c r="AE14" s="104" t="n"/>
      <c r="AF14" s="104" t="n"/>
    </row>
    <row r="15">
      <c r="A15" s="104" t="n"/>
      <c r="B15" s="104" t="n"/>
      <c r="C15" s="104" t="n"/>
      <c r="D15" s="104" t="n"/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</row>
    <row r="16">
      <c r="A16" s="104" t="n"/>
      <c r="B16" s="104" t="n"/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</row>
    <row r="17">
      <c r="A17" s="104" t="n"/>
      <c r="B17" s="104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04" t="n"/>
    </row>
    <row r="18">
      <c r="A18" s="104" t="n"/>
      <c r="B18" s="104" t="n"/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4" t="n"/>
      <c r="O18" s="104" t="n"/>
      <c r="P18" s="104" t="n"/>
      <c r="Q18" s="104" t="n"/>
      <c r="R18" s="104" t="n"/>
      <c r="S18" s="104" t="n"/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</row>
    <row r="19">
      <c r="A19" s="104" t="n"/>
      <c r="B19" s="104" t="n"/>
      <c r="C19" s="104" t="n"/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  <c r="AB19" s="104" t="n"/>
      <c r="AC19" s="104" t="n"/>
      <c r="AD19" s="104" t="n"/>
      <c r="AE19" s="104" t="n"/>
      <c r="AF19" s="104" t="n"/>
    </row>
    <row r="20">
      <c r="A20" s="104" t="n"/>
      <c r="B20" s="104" t="n"/>
      <c r="C20" s="104" t="n"/>
      <c r="D20" s="104" t="n"/>
      <c r="E20" s="104" t="n"/>
      <c r="F20" s="104" t="n"/>
      <c r="G20" s="104" t="n"/>
      <c r="H20" s="104" t="n"/>
      <c r="I20" s="104" t="n"/>
      <c r="J20" s="104" t="n"/>
      <c r="K20" s="104" t="n"/>
      <c r="L20" s="104" t="n"/>
      <c r="M20" s="104" t="n"/>
      <c r="N20" s="104" t="n"/>
      <c r="O20" s="104" t="n"/>
      <c r="P20" s="104" t="n"/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</row>
    <row r="21">
      <c r="A21" s="104" t="n"/>
      <c r="B21" s="104" t="n"/>
      <c r="C21" s="104" t="n"/>
      <c r="D21" s="104" t="n"/>
      <c r="E21" s="104" t="n"/>
      <c r="F21" s="104" t="n"/>
      <c r="G21" s="104" t="n"/>
      <c r="H21" s="104" t="n"/>
      <c r="I21" s="104" t="n"/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</row>
    <row r="22">
      <c r="A22" s="104" t="n"/>
      <c r="B22" s="104" t="n"/>
      <c r="C22" s="104" t="n"/>
      <c r="D22" s="104" t="n"/>
      <c r="E22" s="104" t="n"/>
      <c r="F22" s="104" t="n"/>
      <c r="G22" s="104" t="n"/>
      <c r="H22" s="104" t="n"/>
      <c r="I22" s="104" t="n"/>
      <c r="J22" s="104" t="n"/>
      <c r="K22" s="104" t="n"/>
      <c r="L22" s="104" t="n"/>
      <c r="M22" s="104" t="n"/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</row>
    <row r="23">
      <c r="A23" s="104" t="n"/>
      <c r="B23" s="104" t="n"/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104" t="n"/>
      <c r="AC23" s="104" t="n"/>
      <c r="AD23" s="104" t="n"/>
      <c r="AE23" s="104" t="n"/>
      <c r="AF23" s="104" t="n"/>
    </row>
    <row r="24">
      <c r="A24" s="104" t="n"/>
      <c r="B24" s="104" t="n"/>
      <c r="C24" s="104" t="n"/>
      <c r="D24" s="104" t="n"/>
      <c r="E24" s="104" t="n"/>
      <c r="F24" s="104" t="n"/>
      <c r="G24" s="104" t="n"/>
      <c r="H24" s="104" t="n"/>
      <c r="I24" s="104" t="n"/>
      <c r="J24" s="104" t="n"/>
      <c r="K24" s="104" t="n"/>
      <c r="L24" s="104" t="n"/>
      <c r="M24" s="104" t="n"/>
      <c r="N24" s="104" t="n"/>
      <c r="O24" s="104" t="n"/>
      <c r="P24" s="104" t="n"/>
      <c r="Q24" s="104" t="n"/>
      <c r="R24" s="104" t="n"/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</row>
    <row r="25">
      <c r="A25" s="104" t="n"/>
      <c r="B25" s="104" t="n"/>
      <c r="C25" s="104" t="n"/>
      <c r="D25" s="104" t="n"/>
      <c r="E25" s="104" t="n"/>
      <c r="F25" s="104" t="n"/>
      <c r="G25" s="104" t="n"/>
      <c r="H25" s="104" t="n"/>
      <c r="I25" s="104" t="n"/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  <c r="AD25" s="104" t="n"/>
      <c r="AE25" s="104" t="n"/>
      <c r="AF25" s="104" t="n"/>
    </row>
    <row r="26">
      <c r="A26" s="104" t="n"/>
      <c r="B26" s="104" t="n"/>
      <c r="C26" s="104" t="n"/>
      <c r="D26" s="104" t="n"/>
      <c r="E26" s="104" t="n"/>
      <c r="F26" s="104" t="n"/>
      <c r="G26" s="104" t="n"/>
      <c r="H26" s="104" t="n"/>
      <c r="I26" s="104" t="n"/>
      <c r="J26" s="104" t="n"/>
      <c r="K26" s="104" t="n"/>
      <c r="L26" s="104" t="n"/>
      <c r="M26" s="104" t="n"/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4" t="n"/>
    </row>
    <row r="27" ht="15" customHeight="1" s="102">
      <c r="A27" s="104" t="n"/>
      <c r="B27" s="156" t="inlineStr">
        <is>
          <t>Promedios por dimensión (todas las mesas)</t>
        </is>
      </c>
      <c r="C27" s="104" t="n"/>
      <c r="D27" s="104" t="n"/>
      <c r="E27" s="104" t="n"/>
      <c r="F27" s="104" t="n"/>
      <c r="G27" s="104" t="n"/>
      <c r="H27" s="104" t="n"/>
      <c r="I27" s="180" t="inlineStr">
        <is>
          <t>D1 · Org. y Personas</t>
        </is>
      </c>
      <c r="J27" s="180" t="inlineStr">
        <is>
          <t>D2 · Info. y Tecnología</t>
        </is>
      </c>
      <c r="K27" s="180" t="inlineStr">
        <is>
          <t>D3 · Socios y Proveedores</t>
        </is>
      </c>
      <c r="L27" s="180" t="inlineStr">
        <is>
          <t>D4 · Flujos de Valor</t>
        </is>
      </c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04" t="n"/>
      <c r="AF27" s="104" t="n"/>
    </row>
    <row r="28" ht="15" customHeight="1" s="102">
      <c r="A28" s="104" t="n"/>
      <c r="B28" s="104" t="n"/>
      <c r="C28" s="104" t="n"/>
      <c r="D28" s="104" t="n"/>
      <c r="E28" s="104" t="n"/>
      <c r="F28" s="104" t="n"/>
      <c r="G28" s="104" t="n"/>
      <c r="H28" s="104" t="n"/>
      <c r="I28" s="181">
        <f>IFERROR(AVERAGE(I6:J13),"")</f>
        <v/>
      </c>
      <c r="J28" s="181">
        <f>IFERROR(AVERAGE(K6:N13),"")</f>
        <v/>
      </c>
      <c r="K28" s="181">
        <f>IFERROR(AVERAGE(O6:R13),"")</f>
        <v/>
      </c>
      <c r="L28" s="181">
        <f>IFERROR(AVERAGE(S6:Y13),"")</f>
        <v/>
      </c>
      <c r="M28" s="104" t="n"/>
      <c r="N28" s="104" t="n"/>
      <c r="O28" s="104" t="n"/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</row>
    <row r="29">
      <c r="A29" s="104" t="n"/>
      <c r="B29" s="104" t="n"/>
      <c r="C29" s="104" t="n"/>
      <c r="D29" s="104" t="n"/>
      <c r="E29" s="104" t="n"/>
      <c r="F29" s="104" t="n"/>
      <c r="G29" s="104" t="n"/>
      <c r="H29" s="104" t="n"/>
      <c r="I29" s="104" t="n"/>
      <c r="J29" s="104" t="n"/>
      <c r="K29" s="104" t="n"/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104" t="n"/>
      <c r="AC29" s="104" t="n"/>
      <c r="AD29" s="104" t="n"/>
      <c r="AE29" s="104" t="n"/>
      <c r="AF29" s="104" t="n"/>
    </row>
    <row r="30" ht="15" customHeight="1" s="102">
      <c r="A30" s="104" t="n"/>
      <c r="B30" s="104" t="n"/>
      <c r="C30" s="104" t="n"/>
      <c r="D30" s="104" t="n"/>
      <c r="E30" s="104" t="n"/>
      <c r="F30" s="104" t="n"/>
      <c r="G30" s="104" t="n"/>
      <c r="H30" s="180" t="inlineStr">
        <is>
          <t>Cotizadores</t>
        </is>
      </c>
      <c r="I30" s="182">
        <f>IFERROR(AVERAGE(I6:J6),"")</f>
        <v/>
      </c>
      <c r="J30" s="182">
        <f>IFERROR(AVERAGE(K6:N6),"")</f>
        <v/>
      </c>
      <c r="K30" s="182">
        <f>IFERROR(AVERAGE(O6:R6),"")</f>
        <v/>
      </c>
      <c r="L30" s="182">
        <f>IFERROR(AVERAGE(S6:Y6),"")</f>
        <v/>
      </c>
      <c r="M30" s="104" t="n"/>
      <c r="N30" s="104" t="n"/>
      <c r="O30" s="104" t="n"/>
      <c r="P30" s="104" t="n"/>
      <c r="Q30" s="104" t="n"/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</row>
    <row r="31" ht="15" customHeight="1" s="102">
      <c r="A31" s="104" t="n"/>
      <c r="B31" s="104" t="n"/>
      <c r="C31" s="104" t="n"/>
      <c r="D31" s="104" t="n"/>
      <c r="E31" s="104" t="n"/>
      <c r="F31" s="104" t="n"/>
      <c r="G31" s="104" t="n"/>
      <c r="H31" s="180" t="inlineStr">
        <is>
          <t>Venta Canal Digital</t>
        </is>
      </c>
      <c r="I31" s="182">
        <f>IFERROR(AVERAGE(I7:J7),"")</f>
        <v/>
      </c>
      <c r="J31" s="182">
        <f>IFERROR(AVERAGE(K7:N7),"")</f>
        <v/>
      </c>
      <c r="K31" s="182">
        <f>IFERROR(AVERAGE(O7:R7),"")</f>
        <v/>
      </c>
      <c r="L31" s="182">
        <f>IFERROR(AVERAGE(S7:Y7),"")</f>
        <v/>
      </c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04" t="n"/>
      <c r="AF31" s="104" t="n"/>
    </row>
    <row r="32" ht="15" customHeight="1" s="102">
      <c r="A32" s="104" t="n"/>
      <c r="B32" s="104" t="n"/>
      <c r="C32" s="104" t="n"/>
      <c r="D32" s="104" t="n"/>
      <c r="E32" s="104" t="n"/>
      <c r="F32" s="104" t="n"/>
      <c r="G32" s="104" t="n"/>
      <c r="H32" s="180" t="inlineStr">
        <is>
          <t>Torre de Control</t>
        </is>
      </c>
      <c r="I32" s="182">
        <f>IFERROR(AVERAGE(I8:J8),"")</f>
        <v/>
      </c>
      <c r="J32" s="182">
        <f>IFERROR(AVERAGE(K8:N8),"")</f>
        <v/>
      </c>
      <c r="K32" s="182">
        <f>IFERROR(AVERAGE(O8:R8),"")</f>
        <v/>
      </c>
      <c r="L32" s="182">
        <f>IFERROR(AVERAGE(S8:Y8),"")</f>
        <v/>
      </c>
      <c r="M32" s="104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  <c r="AD32" s="104" t="n"/>
      <c r="AE32" s="104" t="n"/>
      <c r="AF32" s="104" t="n"/>
    </row>
    <row r="33" ht="15" customHeight="1" s="102">
      <c r="A33" s="104" t="n"/>
      <c r="B33" s="104" t="n"/>
      <c r="C33" s="104" t="n"/>
      <c r="D33" s="104" t="n"/>
      <c r="E33" s="104" t="n"/>
      <c r="F33" s="104" t="n"/>
      <c r="G33" s="104" t="n"/>
      <c r="H33" s="180" t="inlineStr">
        <is>
          <t>Mesa 4</t>
        </is>
      </c>
      <c r="I33" s="182">
        <f>IFERROR(AVERAGE(I9:J9),"")</f>
        <v/>
      </c>
      <c r="J33" s="182">
        <f>IFERROR(AVERAGE(K9:N9),"")</f>
        <v/>
      </c>
      <c r="K33" s="182">
        <f>IFERROR(AVERAGE(O9:R9),"")</f>
        <v/>
      </c>
      <c r="L33" s="182">
        <f>IFERROR(AVERAGE(S9:Y9),"")</f>
        <v/>
      </c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</row>
    <row r="34" ht="15" customHeight="1" s="102">
      <c r="A34" s="104" t="n"/>
      <c r="B34" s="104" t="n"/>
      <c r="C34" s="104" t="n"/>
      <c r="D34" s="104" t="n"/>
      <c r="E34" s="104" t="n"/>
      <c r="F34" s="104" t="n"/>
      <c r="G34" s="104" t="n"/>
      <c r="H34" s="180" t="inlineStr">
        <is>
          <t>GIOTI 1</t>
        </is>
      </c>
      <c r="I34" s="182">
        <f>IFERROR(AVERAGE(I10:J10),"")</f>
        <v/>
      </c>
      <c r="J34" s="182">
        <f>IFERROR(AVERAGE(K10:N10),"")</f>
        <v/>
      </c>
      <c r="K34" s="182">
        <f>IFERROR(AVERAGE(O10:R10),"")</f>
        <v/>
      </c>
      <c r="L34" s="182">
        <f>IFERROR(AVERAGE(S10:Y10),"")</f>
        <v/>
      </c>
      <c r="M34" s="104" t="n"/>
      <c r="N34" s="104" t="n"/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4" t="n"/>
      <c r="AE34" s="104" t="n"/>
      <c r="AF34" s="104" t="n"/>
    </row>
    <row r="35" ht="15" customHeight="1" s="102">
      <c r="A35" s="104" t="n"/>
      <c r="B35" s="104" t="n"/>
      <c r="C35" s="104" t="n"/>
      <c r="D35" s="104" t="n"/>
      <c r="E35" s="104" t="n"/>
      <c r="F35" s="104" t="n"/>
      <c r="G35" s="104" t="n"/>
      <c r="H35" s="180" t="inlineStr">
        <is>
          <t>GIOTI 2</t>
        </is>
      </c>
      <c r="I35" s="182">
        <f>IFERROR(AVERAGE(I11:J11),"")</f>
        <v/>
      </c>
      <c r="J35" s="182">
        <f>IFERROR(AVERAGE(K11:N11),"")</f>
        <v/>
      </c>
      <c r="K35" s="182">
        <f>IFERROR(AVERAGE(O11:R11),"")</f>
        <v/>
      </c>
      <c r="L35" s="182">
        <f>IFERROR(AVERAGE(S11:Y11),"")</f>
        <v/>
      </c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  <c r="AB35" s="104" t="n"/>
      <c r="AC35" s="104" t="n"/>
      <c r="AD35" s="104" t="n"/>
      <c r="AE35" s="104" t="n"/>
      <c r="AF35" s="104" t="n"/>
    </row>
    <row r="36" ht="15" customHeight="1" s="102">
      <c r="A36" s="104" t="n"/>
      <c r="B36" s="104" t="n"/>
      <c r="C36" s="104" t="n"/>
      <c r="D36" s="104" t="n"/>
      <c r="E36" s="104" t="n"/>
      <c r="F36" s="104" t="n"/>
      <c r="G36" s="104" t="n"/>
      <c r="H36" s="180" t="inlineStr">
        <is>
          <t>GIOTI 3</t>
        </is>
      </c>
      <c r="I36" s="182">
        <f>IFERROR(AVERAGE(I12:J12),"")</f>
        <v/>
      </c>
      <c r="J36" s="182">
        <f>IFERROR(AVERAGE(K12:N12),"")</f>
        <v/>
      </c>
      <c r="K36" s="182">
        <f>IFERROR(AVERAGE(O12:R12),"")</f>
        <v/>
      </c>
      <c r="L36" s="182">
        <f>IFERROR(AVERAGE(S12:Y12),"")</f>
        <v/>
      </c>
      <c r="M36" s="104" t="n"/>
      <c r="N36" s="104" t="n"/>
      <c r="O36" s="104" t="n"/>
      <c r="P36" s="104" t="n"/>
      <c r="Q36" s="104" t="n"/>
      <c r="R36" s="104" t="n"/>
      <c r="S36" s="104" t="n"/>
      <c r="T36" s="104" t="n"/>
      <c r="U36" s="104" t="n"/>
      <c r="V36" s="104" t="n"/>
      <c r="W36" s="104" t="n"/>
      <c r="X36" s="104" t="n"/>
      <c r="Y36" s="104" t="n"/>
      <c r="Z36" s="104" t="n"/>
      <c r="AA36" s="104" t="n"/>
      <c r="AB36" s="104" t="n"/>
      <c r="AC36" s="104" t="n"/>
      <c r="AD36" s="104" t="n"/>
      <c r="AE36" s="104" t="n"/>
      <c r="AF36" s="104" t="n"/>
    </row>
    <row r="37" ht="15" customHeight="1" s="102">
      <c r="A37" s="104" t="n"/>
      <c r="B37" s="104" t="n"/>
      <c r="C37" s="104" t="n"/>
      <c r="D37" s="104" t="n"/>
      <c r="E37" s="104" t="n"/>
      <c r="F37" s="104" t="n"/>
      <c r="G37" s="104" t="n"/>
      <c r="H37" s="180" t="inlineStr">
        <is>
          <t>GIOTI 4</t>
        </is>
      </c>
      <c r="I37" s="182">
        <f>IFERROR(AVERAGE(I13:J13),"")</f>
        <v/>
      </c>
      <c r="J37" s="182">
        <f>IFERROR(AVERAGE(K13:N13),"")</f>
        <v/>
      </c>
      <c r="K37" s="182">
        <f>IFERROR(AVERAGE(O13:R13),"")</f>
        <v/>
      </c>
      <c r="L37" s="182">
        <f>IFERROR(AVERAGE(S13:Y13),"")</f>
        <v/>
      </c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  <c r="AB37" s="104" t="n"/>
      <c r="AC37" s="104" t="n"/>
      <c r="AD37" s="104" t="n"/>
      <c r="AE37" s="104" t="n"/>
      <c r="AF37" s="104" t="n"/>
    </row>
    <row r="38">
      <c r="A38" s="104" t="n"/>
      <c r="B38" s="104" t="n"/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</row>
    <row r="39">
      <c r="A39" s="104" t="n"/>
      <c r="B39" s="104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4" t="n"/>
      <c r="AF39" s="104" t="n"/>
    </row>
    <row r="40" ht="21.75" customHeight="1" s="102">
      <c r="A40" s="104" t="n"/>
      <c r="B40" s="183" t="inlineStr">
        <is>
          <t>E · HERRAMIENTAS Y NOTAS CLAVE — jala de col J (Herramienta/Nota) de cada hoja de evaluación</t>
        </is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</row>
    <row r="41" ht="19.5" customHeight="1" s="102">
      <c r="A41" s="104" t="n"/>
      <c r="B41" s="184" t="inlineStr">
        <is>
          <t>Práctica</t>
        </is>
      </c>
      <c r="C41" s="184" t="inlineStr">
        <is>
          <t>Cotizadores</t>
        </is>
      </c>
      <c r="D41" s="184" t="inlineStr">
        <is>
          <t>Venta Dig.</t>
        </is>
      </c>
      <c r="E41" s="184" t="inlineStr">
        <is>
          <t>Torre Ctrl.</t>
        </is>
      </c>
      <c r="F41" s="184" t="inlineStr">
        <is>
          <t>Mesa 4</t>
        </is>
      </c>
      <c r="G41" s="184" t="inlineStr">
        <is>
          <t>GIOTI 1</t>
        </is>
      </c>
      <c r="H41" s="184" t="inlineStr">
        <is>
          <t>GIOTI 2</t>
        </is>
      </c>
      <c r="I41" s="184" t="inlineStr">
        <is>
          <t>GIOTI 3</t>
        </is>
      </c>
      <c r="J41" s="184" t="inlineStr">
        <is>
          <t>GIOTI 4</t>
        </is>
      </c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</row>
    <row r="42" ht="21.75" customHeight="1" s="102">
      <c r="A42" s="104" t="n"/>
      <c r="B42" s="185" t="inlineStr">
        <is>
          <t>1. Gobierno roles (RACI)</t>
        </is>
      </c>
      <c r="C42" s="186">
        <f>IFERROR(SURA_Cotizadores!J20,"")</f>
        <v/>
      </c>
      <c r="D42" s="186">
        <f>IFERROR(SURA_VentaDigital!J20,"")</f>
        <v/>
      </c>
      <c r="E42" s="186">
        <f>IFERROR(SURA_TorreControl!J20,"")</f>
        <v/>
      </c>
      <c r="F42" s="186">
        <f>IFERROR(SURA_Mesa4!J20,"")</f>
        <v/>
      </c>
      <c r="G42" s="186">
        <f>IFERROR(BCO_GIOTI_1!J20,"")</f>
        <v/>
      </c>
      <c r="H42" s="186">
        <f>IFERROR(BCO_GIOTI_2!J20,"")</f>
        <v/>
      </c>
      <c r="I42" s="186">
        <f>IFERROR(BCO_GIOTI_3!J20,"")</f>
        <v/>
      </c>
      <c r="J42" s="186">
        <f>IFERROR(BCO_GIOTI_4!J20,"")</f>
        <v/>
      </c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104" t="n"/>
      <c r="U42" s="104" t="n"/>
      <c r="V42" s="104" t="n"/>
      <c r="W42" s="104" t="n"/>
      <c r="X42" s="104" t="n"/>
      <c r="Y42" s="104" t="n"/>
      <c r="Z42" s="104" t="n"/>
      <c r="AA42" s="104" t="n"/>
      <c r="AB42" s="104" t="n"/>
      <c r="AC42" s="104" t="n"/>
      <c r="AD42" s="104" t="n"/>
      <c r="AE42" s="104" t="n"/>
      <c r="AF42" s="104" t="n"/>
    </row>
    <row r="43" ht="21.75" customHeight="1" s="102">
      <c r="A43" s="104" t="n"/>
      <c r="B43" s="187" t="inlineStr">
        <is>
          <t>2. Capacidad/FTE</t>
        </is>
      </c>
      <c r="C43" s="188">
        <f>IFERROR(SURA_Cotizadores!J21,"")</f>
        <v/>
      </c>
      <c r="D43" s="188">
        <f>IFERROR(SURA_VentaDigital!J21,"")</f>
        <v/>
      </c>
      <c r="E43" s="188">
        <f>IFERROR(SURA_TorreControl!J21,"")</f>
        <v/>
      </c>
      <c r="F43" s="188">
        <f>IFERROR(SURA_Mesa4!J21,"")</f>
        <v/>
      </c>
      <c r="G43" s="188">
        <f>IFERROR(BCO_GIOTI_1!J21,"")</f>
        <v/>
      </c>
      <c r="H43" s="188">
        <f>IFERROR(BCO_GIOTI_2!J21,"")</f>
        <v/>
      </c>
      <c r="I43" s="188">
        <f>IFERROR(BCO_GIOTI_3!J21,"")</f>
        <v/>
      </c>
      <c r="J43" s="188">
        <f>IFERROR(BCO_GIOTI_4!J21,"")</f>
        <v/>
      </c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  <c r="AB43" s="104" t="n"/>
      <c r="AC43" s="104" t="n"/>
      <c r="AD43" s="104" t="n"/>
      <c r="AE43" s="104" t="n"/>
      <c r="AF43" s="104" t="n"/>
    </row>
    <row r="44" ht="21.75" customHeight="1" s="102">
      <c r="A44" s="104" t="n"/>
      <c r="B44" s="185" t="inlineStr">
        <is>
          <t>3. Herramientas</t>
        </is>
      </c>
      <c r="C44" s="186">
        <f>IFERROR(SURA_Cotizadores!J23,"")</f>
        <v/>
      </c>
      <c r="D44" s="186">
        <f>IFERROR(SURA_VentaDigital!J23,"")</f>
        <v/>
      </c>
      <c r="E44" s="186">
        <f>IFERROR(SURA_TorreControl!J23,"")</f>
        <v/>
      </c>
      <c r="F44" s="186">
        <f>IFERROR(SURA_Mesa4!J23,"")</f>
        <v/>
      </c>
      <c r="G44" s="186">
        <f>IFERROR(BCO_GIOTI_1!J23,"")</f>
        <v/>
      </c>
      <c r="H44" s="186">
        <f>IFERROR(BCO_GIOTI_2!J23,"")</f>
        <v/>
      </c>
      <c r="I44" s="186">
        <f>IFERROR(BCO_GIOTI_3!J23,"")</f>
        <v/>
      </c>
      <c r="J44" s="186">
        <f>IFERROR(BCO_GIOTI_4!J23,"")</f>
        <v/>
      </c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4" t="n"/>
      <c r="X44" s="104" t="n"/>
      <c r="Y44" s="104" t="n"/>
      <c r="Z44" s="104" t="n"/>
      <c r="AA44" s="104" t="n"/>
      <c r="AB44" s="104" t="n"/>
      <c r="AC44" s="104" t="n"/>
      <c r="AD44" s="104" t="n"/>
      <c r="AE44" s="104" t="n"/>
      <c r="AF44" s="104" t="n"/>
    </row>
    <row r="45" ht="21.75" customHeight="1" s="102">
      <c r="A45" s="104" t="n"/>
      <c r="B45" s="187" t="inlineStr">
        <is>
          <t>4. KEDB</t>
        </is>
      </c>
      <c r="C45" s="188">
        <f>IFERROR(SURA_Cotizadores!J24,"")</f>
        <v/>
      </c>
      <c r="D45" s="188">
        <f>IFERROR(SURA_VentaDigital!J24,"")</f>
        <v/>
      </c>
      <c r="E45" s="188">
        <f>IFERROR(SURA_TorreControl!J24,"")</f>
        <v/>
      </c>
      <c r="F45" s="188">
        <f>IFERROR(SURA_Mesa4!J24,"")</f>
        <v/>
      </c>
      <c r="G45" s="188">
        <f>IFERROR(BCO_GIOTI_1!J24,"")</f>
        <v/>
      </c>
      <c r="H45" s="188">
        <f>IFERROR(BCO_GIOTI_2!J24,"")</f>
        <v/>
      </c>
      <c r="I45" s="188">
        <f>IFERROR(BCO_GIOTI_3!J24,"")</f>
        <v/>
      </c>
      <c r="J45" s="188">
        <f>IFERROR(BCO_GIOTI_4!J24,"")</f>
        <v/>
      </c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</row>
    <row r="46" ht="21.75" customHeight="1" s="102">
      <c r="A46" s="104" t="n"/>
      <c r="B46" s="185" t="inlineStr">
        <is>
          <t>5. Integraciones</t>
        </is>
      </c>
      <c r="C46" s="186">
        <f>IFERROR(SURA_Cotizadores!J25,"")</f>
        <v/>
      </c>
      <c r="D46" s="186">
        <f>IFERROR(SURA_VentaDigital!J25,"")</f>
        <v/>
      </c>
      <c r="E46" s="186">
        <f>IFERROR(SURA_TorreControl!J25,"")</f>
        <v/>
      </c>
      <c r="F46" s="186">
        <f>IFERROR(SURA_Mesa4!J25,"")</f>
        <v/>
      </c>
      <c r="G46" s="186">
        <f>IFERROR(BCO_GIOTI_1!J25,"")</f>
        <v/>
      </c>
      <c r="H46" s="186">
        <f>IFERROR(BCO_GIOTI_2!J25,"")</f>
        <v/>
      </c>
      <c r="I46" s="186">
        <f>IFERROR(BCO_GIOTI_3!J25,"")</f>
        <v/>
      </c>
      <c r="J46" s="186">
        <f>IFERROR(BCO_GIOTI_4!J25,"")</f>
        <v/>
      </c>
      <c r="K46" s="104" t="n"/>
      <c r="L46" s="104" t="n"/>
      <c r="M46" s="104" t="n"/>
      <c r="N46" s="104" t="n"/>
      <c r="O46" s="104" t="n"/>
      <c r="P46" s="104" t="n"/>
      <c r="Q46" s="104" t="n"/>
      <c r="R46" s="104" t="n"/>
      <c r="S46" s="104" t="n"/>
      <c r="T46" s="104" t="n"/>
      <c r="U46" s="104" t="n"/>
      <c r="V46" s="104" t="n"/>
      <c r="W46" s="104" t="n"/>
      <c r="X46" s="104" t="n"/>
      <c r="Y46" s="104" t="n"/>
      <c r="Z46" s="104" t="n"/>
      <c r="AA46" s="104" t="n"/>
      <c r="AB46" s="104" t="n"/>
      <c r="AC46" s="104" t="n"/>
      <c r="AD46" s="104" t="n"/>
      <c r="AE46" s="104" t="n"/>
      <c r="AF46" s="104" t="n"/>
    </row>
    <row r="47" ht="21.75" customHeight="1" s="102">
      <c r="A47" s="104" t="n"/>
      <c r="B47" s="187" t="inlineStr">
        <is>
          <t>6. Monitoreo</t>
        </is>
      </c>
      <c r="C47" s="188">
        <f>IFERROR(SURA_Cotizadores!J26,"")</f>
        <v/>
      </c>
      <c r="D47" s="188">
        <f>IFERROR(SURA_VentaDigital!J26,"")</f>
        <v/>
      </c>
      <c r="E47" s="188">
        <f>IFERROR(SURA_TorreControl!J26,"")</f>
        <v/>
      </c>
      <c r="F47" s="188">
        <f>IFERROR(SURA_Mesa4!J26,"")</f>
        <v/>
      </c>
      <c r="G47" s="188">
        <f>IFERROR(BCO_GIOTI_1!J26,"")</f>
        <v/>
      </c>
      <c r="H47" s="188">
        <f>IFERROR(BCO_GIOTI_2!J26,"")</f>
        <v/>
      </c>
      <c r="I47" s="188">
        <f>IFERROR(BCO_GIOTI_3!J26,"")</f>
        <v/>
      </c>
      <c r="J47" s="188">
        <f>IFERROR(BCO_GIOTI_4!J26,"")</f>
        <v/>
      </c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  <c r="AB47" s="104" t="n"/>
      <c r="AC47" s="104" t="n"/>
      <c r="AD47" s="104" t="n"/>
      <c r="AE47" s="104" t="n"/>
      <c r="AF47" s="104" t="n"/>
    </row>
    <row r="48" ht="21.75" customHeight="1" s="102">
      <c r="A48" s="104" t="n"/>
      <c r="B48" s="185" t="inlineStr">
        <is>
          <t>7. Service Desk SPOC</t>
        </is>
      </c>
      <c r="C48" s="186">
        <f>IFERROR(SURA_Cotizadores!J28,"")</f>
        <v/>
      </c>
      <c r="D48" s="186">
        <f>IFERROR(SURA_VentaDigital!J28,"")</f>
        <v/>
      </c>
      <c r="E48" s="186">
        <f>IFERROR(SURA_TorreControl!J28,"")</f>
        <v/>
      </c>
      <c r="F48" s="186">
        <f>IFERROR(SURA_Mesa4!J28,"")</f>
        <v/>
      </c>
      <c r="G48" s="186">
        <f>IFERROR(BCO_GIOTI_1!J28,"")</f>
        <v/>
      </c>
      <c r="H48" s="186">
        <f>IFERROR(BCO_GIOTI_2!J28,"")</f>
        <v/>
      </c>
      <c r="I48" s="186">
        <f>IFERROR(BCO_GIOTI_3!J28,"")</f>
        <v/>
      </c>
      <c r="J48" s="186">
        <f>IFERROR(BCO_GIOTI_4!J28,"")</f>
        <v/>
      </c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</row>
    <row r="49" ht="21.75" customHeight="1" s="102">
      <c r="A49" s="104" t="n"/>
      <c r="B49" s="187" t="inlineStr">
        <is>
          <t>8. Catálogo</t>
        </is>
      </c>
      <c r="C49" s="188">
        <f>IFERROR(SURA_Cotizadores!J29,"")</f>
        <v/>
      </c>
      <c r="D49" s="188">
        <f>IFERROR(SURA_VentaDigital!J29,"")</f>
        <v/>
      </c>
      <c r="E49" s="188">
        <f>IFERROR(SURA_TorreControl!J29,"")</f>
        <v/>
      </c>
      <c r="F49" s="188">
        <f>IFERROR(SURA_Mesa4!J29,"")</f>
        <v/>
      </c>
      <c r="G49" s="188">
        <f>IFERROR(BCO_GIOTI_1!J29,"")</f>
        <v/>
      </c>
      <c r="H49" s="188">
        <f>IFERROR(BCO_GIOTI_2!J29,"")</f>
        <v/>
      </c>
      <c r="I49" s="188">
        <f>IFERROR(BCO_GIOTI_3!J29,"")</f>
        <v/>
      </c>
      <c r="J49" s="188">
        <f>IFERROR(BCO_GIOTI_4!J29,"")</f>
        <v/>
      </c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  <c r="AB49" s="104" t="n"/>
      <c r="AC49" s="104" t="n"/>
      <c r="AD49" s="104" t="n"/>
      <c r="AE49" s="104" t="n"/>
      <c r="AF49" s="104" t="n"/>
    </row>
    <row r="50" ht="21.75" customHeight="1" s="102">
      <c r="A50" s="104" t="n"/>
      <c r="B50" s="185" t="inlineStr">
        <is>
          <t>9. ANS/SLA+XLA</t>
        </is>
      </c>
      <c r="C50" s="186">
        <f>IFERROR(SURA_Cotizadores!J30,"")</f>
        <v/>
      </c>
      <c r="D50" s="186">
        <f>IFERROR(SURA_VentaDigital!J30,"")</f>
        <v/>
      </c>
      <c r="E50" s="186">
        <f>IFERROR(SURA_TorreControl!J30,"")</f>
        <v/>
      </c>
      <c r="F50" s="186">
        <f>IFERROR(SURA_Mesa4!J30,"")</f>
        <v/>
      </c>
      <c r="G50" s="186">
        <f>IFERROR(BCO_GIOTI_1!J30,"")</f>
        <v/>
      </c>
      <c r="H50" s="186">
        <f>IFERROR(BCO_GIOTI_2!J30,"")</f>
        <v/>
      </c>
      <c r="I50" s="186">
        <f>IFERROR(BCO_GIOTI_3!J30,"")</f>
        <v/>
      </c>
      <c r="J50" s="186">
        <f>IFERROR(BCO_GIOTI_4!J30,"")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04" t="n"/>
      <c r="S50" s="104" t="n"/>
      <c r="T50" s="104" t="n"/>
      <c r="U50" s="104" t="n"/>
      <c r="V50" s="104" t="n"/>
      <c r="W50" s="104" t="n"/>
      <c r="X50" s="104" t="n"/>
      <c r="Y50" s="104" t="n"/>
      <c r="Z50" s="104" t="n"/>
      <c r="AA50" s="104" t="n"/>
      <c r="AB50" s="104" t="n"/>
      <c r="AC50" s="104" t="n"/>
      <c r="AD50" s="104" t="n"/>
      <c r="AE50" s="104" t="n"/>
      <c r="AF50" s="104" t="n"/>
    </row>
    <row r="51" ht="21.75" customHeight="1" s="102">
      <c r="A51" s="104" t="n"/>
      <c r="B51" s="187" t="inlineStr">
        <is>
          <t>10. Disponibilidad</t>
        </is>
      </c>
      <c r="C51" s="188">
        <f>IFERROR(SURA_Cotizadores!J31,"")</f>
        <v/>
      </c>
      <c r="D51" s="188">
        <f>IFERROR(SURA_VentaDigital!J31,"")</f>
        <v/>
      </c>
      <c r="E51" s="188">
        <f>IFERROR(SURA_TorreControl!J31,"")</f>
        <v/>
      </c>
      <c r="F51" s="188">
        <f>IFERROR(SURA_Mesa4!J31,"")</f>
        <v/>
      </c>
      <c r="G51" s="188">
        <f>IFERROR(BCO_GIOTI_1!J31,"")</f>
        <v/>
      </c>
      <c r="H51" s="188">
        <f>IFERROR(BCO_GIOTI_2!J31,"")</f>
        <v/>
      </c>
      <c r="I51" s="188">
        <f>IFERROR(BCO_GIOTI_3!J31,"")</f>
        <v/>
      </c>
      <c r="J51" s="188">
        <f>IFERROR(BCO_GIOTI_4!J31,"")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</row>
    <row r="52" ht="21.75" customHeight="1" s="102">
      <c r="A52" s="104" t="n"/>
      <c r="B52" s="185" t="inlineStr">
        <is>
          <t>11. Incidentes</t>
        </is>
      </c>
      <c r="C52" s="186">
        <f>IFERROR(SURA_Cotizadores!J33,"")</f>
        <v/>
      </c>
      <c r="D52" s="186">
        <f>IFERROR(SURA_VentaDigital!J33,"")</f>
        <v/>
      </c>
      <c r="E52" s="186">
        <f>IFERROR(SURA_TorreControl!J33,"")</f>
        <v/>
      </c>
      <c r="F52" s="186">
        <f>IFERROR(SURA_Mesa4!J33,"")</f>
        <v/>
      </c>
      <c r="G52" s="186">
        <f>IFERROR(BCO_GIOTI_1!J33,"")</f>
        <v/>
      </c>
      <c r="H52" s="186">
        <f>IFERROR(BCO_GIOTI_2!J33,"")</f>
        <v/>
      </c>
      <c r="I52" s="186">
        <f>IFERROR(BCO_GIOTI_3!J33,"")</f>
        <v/>
      </c>
      <c r="J52" s="186">
        <f>IFERROR(BCO_GIOTI_4!J33,"")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04" t="n"/>
      <c r="S52" s="104" t="n"/>
      <c r="T52" s="104" t="n"/>
      <c r="U52" s="104" t="n"/>
      <c r="V52" s="104" t="n"/>
      <c r="W52" s="104" t="n"/>
      <c r="X52" s="104" t="n"/>
      <c r="Y52" s="104" t="n"/>
      <c r="Z52" s="104" t="n"/>
      <c r="AA52" s="104" t="n"/>
      <c r="AB52" s="104" t="n"/>
      <c r="AC52" s="104" t="n"/>
      <c r="AD52" s="104" t="n"/>
      <c r="AE52" s="104" t="n"/>
      <c r="AF52" s="104" t="n"/>
    </row>
    <row r="53" ht="21.75" customHeight="1" s="102">
      <c r="A53" s="104" t="n"/>
      <c r="B53" s="187" t="inlineStr">
        <is>
          <t>12. Solicitudes</t>
        </is>
      </c>
      <c r="C53" s="188">
        <f>IFERROR(SURA_Cotizadores!J34,"")</f>
        <v/>
      </c>
      <c r="D53" s="188">
        <f>IFERROR(SURA_VentaDigital!J34,"")</f>
        <v/>
      </c>
      <c r="E53" s="188">
        <f>IFERROR(SURA_TorreControl!J34,"")</f>
        <v/>
      </c>
      <c r="F53" s="188">
        <f>IFERROR(SURA_Mesa4!J34,"")</f>
        <v/>
      </c>
      <c r="G53" s="188">
        <f>IFERROR(BCO_GIOTI_1!J34,"")</f>
        <v/>
      </c>
      <c r="H53" s="188">
        <f>IFERROR(BCO_GIOTI_2!J34,"")</f>
        <v/>
      </c>
      <c r="I53" s="188">
        <f>IFERROR(BCO_GIOTI_3!J34,"")</f>
        <v/>
      </c>
      <c r="J53" s="188">
        <f>IFERROR(BCO_GIOTI_4!J34,"")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</row>
    <row r="54" ht="21.75" customHeight="1" s="102">
      <c r="A54" s="104" t="n"/>
      <c r="B54" s="185" t="inlineStr">
        <is>
          <t>13. Problemas/RCA</t>
        </is>
      </c>
      <c r="C54" s="186">
        <f>IFERROR(SURA_Cotizadores!J35,"")</f>
        <v/>
      </c>
      <c r="D54" s="186">
        <f>IFERROR(SURA_VentaDigital!J35,"")</f>
        <v/>
      </c>
      <c r="E54" s="186">
        <f>IFERROR(SURA_TorreControl!J35,"")</f>
        <v/>
      </c>
      <c r="F54" s="186">
        <f>IFERROR(SURA_Mesa4!J35,"")</f>
        <v/>
      </c>
      <c r="G54" s="186">
        <f>IFERROR(BCO_GIOTI_1!J35,"")</f>
        <v/>
      </c>
      <c r="H54" s="186">
        <f>IFERROR(BCO_GIOTI_2!J35,"")</f>
        <v/>
      </c>
      <c r="I54" s="186">
        <f>IFERROR(BCO_GIOTI_3!J35,"")</f>
        <v/>
      </c>
      <c r="J54" s="186">
        <f>IFERROR(BCO_GIOTI_4!J35,"")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</row>
    <row r="55" ht="21.75" customHeight="1" s="102">
      <c r="A55" s="104" t="n"/>
      <c r="B55" s="187" t="inlineStr">
        <is>
          <t>14. Change Enablement</t>
        </is>
      </c>
      <c r="C55" s="188">
        <f>IFERROR(SURA_Cotizadores!J36,"")</f>
        <v/>
      </c>
      <c r="D55" s="188">
        <f>IFERROR(SURA_VentaDigital!J36,"")</f>
        <v/>
      </c>
      <c r="E55" s="188">
        <f>IFERROR(SURA_TorreControl!J36,"")</f>
        <v/>
      </c>
      <c r="F55" s="188">
        <f>IFERROR(SURA_Mesa4!J36,"")</f>
        <v/>
      </c>
      <c r="G55" s="188">
        <f>IFERROR(BCO_GIOTI_1!J36,"")</f>
        <v/>
      </c>
      <c r="H55" s="188">
        <f>IFERROR(BCO_GIOTI_2!J36,"")</f>
        <v/>
      </c>
      <c r="I55" s="188">
        <f>IFERROR(BCO_GIOTI_3!J36,"")</f>
        <v/>
      </c>
      <c r="J55" s="188">
        <f>IFERROR(BCO_GIOTI_4!J36,"")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</row>
    <row r="56" ht="21.75" customHeight="1" s="102">
      <c r="A56" s="104" t="n"/>
      <c r="B56" s="185" t="inlineStr">
        <is>
          <t>15. Onboarding</t>
        </is>
      </c>
      <c r="C56" s="186">
        <f>IFERROR(SURA_Cotizadores!J37,"")</f>
        <v/>
      </c>
      <c r="D56" s="186">
        <f>IFERROR(SURA_VentaDigital!J37,"")</f>
        <v/>
      </c>
      <c r="E56" s="186">
        <f>IFERROR(SURA_TorreControl!J37,"")</f>
        <v/>
      </c>
      <c r="F56" s="186">
        <f>IFERROR(SURA_Mesa4!J37,"")</f>
        <v/>
      </c>
      <c r="G56" s="186">
        <f>IFERROR(BCO_GIOTI_1!J37,"")</f>
        <v/>
      </c>
      <c r="H56" s="186">
        <f>IFERROR(BCO_GIOTI_2!J37,"")</f>
        <v/>
      </c>
      <c r="I56" s="186">
        <f>IFERROR(BCO_GIOTI_3!J37,"")</f>
        <v/>
      </c>
      <c r="J56" s="186">
        <f>IFERROR(BCO_GIOTI_4!J37,"")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</row>
    <row r="57" ht="21.75" customHeight="1" s="102">
      <c r="A57" s="104" t="n"/>
      <c r="B57" s="187" t="inlineStr">
        <is>
          <t>16. Mejora continua</t>
        </is>
      </c>
      <c r="C57" s="188">
        <f>IFERROR(SURA_Cotizadores!J38,"")</f>
        <v/>
      </c>
      <c r="D57" s="188">
        <f>IFERROR(SURA_VentaDigital!J38,"")</f>
        <v/>
      </c>
      <c r="E57" s="188">
        <f>IFERROR(SURA_TorreControl!J38,"")</f>
        <v/>
      </c>
      <c r="F57" s="188">
        <f>IFERROR(SURA_Mesa4!J38,"")</f>
        <v/>
      </c>
      <c r="G57" s="188">
        <f>IFERROR(BCO_GIOTI_1!J38,"")</f>
        <v/>
      </c>
      <c r="H57" s="188">
        <f>IFERROR(BCO_GIOTI_2!J38,"")</f>
        <v/>
      </c>
      <c r="I57" s="188">
        <f>IFERROR(BCO_GIOTI_3!J38,"")</f>
        <v/>
      </c>
      <c r="J57" s="188">
        <f>IFERROR(BCO_GIOTI_4!J38,"")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  <c r="AB57" s="104" t="n"/>
      <c r="AC57" s="104" t="n"/>
      <c r="AD57" s="104" t="n"/>
      <c r="AE57" s="104" t="n"/>
      <c r="AF57" s="104" t="n"/>
    </row>
    <row r="58" ht="21.75" customHeight="1" s="102">
      <c r="A58" s="104" t="n"/>
      <c r="B58" s="185" t="inlineStr">
        <is>
          <t>17. CX/CSAT/XLA</t>
        </is>
      </c>
      <c r="C58" s="186">
        <f>IFERROR(SURA_Cotizadores!J39,"")</f>
        <v/>
      </c>
      <c r="D58" s="186">
        <f>IFERROR(SURA_VentaDigital!J39,"")</f>
        <v/>
      </c>
      <c r="E58" s="186">
        <f>IFERROR(SURA_TorreControl!J39,"")</f>
        <v/>
      </c>
      <c r="F58" s="186">
        <f>IFERROR(SURA_Mesa4!J39,"")</f>
        <v/>
      </c>
      <c r="G58" s="186">
        <f>IFERROR(BCO_GIOTI_1!J39,"")</f>
        <v/>
      </c>
      <c r="H58" s="186">
        <f>IFERROR(BCO_GIOTI_2!J39,"")</f>
        <v/>
      </c>
      <c r="I58" s="186">
        <f>IFERROR(BCO_GIOTI_3!J39,"")</f>
        <v/>
      </c>
      <c r="J58" s="186">
        <f>IFERROR(BCO_GIOTI_4!J39,"")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104" t="n"/>
      <c r="U58" s="104" t="n"/>
      <c r="V58" s="104" t="n"/>
      <c r="W58" s="104" t="n"/>
      <c r="X58" s="104" t="n"/>
      <c r="Y58" s="104" t="n"/>
      <c r="Z58" s="104" t="n"/>
      <c r="AA58" s="104" t="n"/>
      <c r="AB58" s="104" t="n"/>
      <c r="AC58" s="104" t="n"/>
      <c r="AD58" s="104" t="n"/>
      <c r="AE58" s="104" t="n"/>
      <c r="AF58" s="104" t="n"/>
    </row>
    <row r="59">
      <c r="A59" s="104" t="n"/>
      <c r="B59" s="104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</row>
    <row r="60" ht="14.25" customHeight="1" s="102">
      <c r="A60" s="104" t="n"/>
      <c r="B60" s="180" t="inlineStr">
        <is>
          <t>Mesa</t>
        </is>
      </c>
      <c r="C60" s="180" t="inlineStr">
        <is>
          <t>Cotizadores</t>
        </is>
      </c>
      <c r="D60" s="180" t="inlineStr">
        <is>
          <t>Venta Digital</t>
        </is>
      </c>
      <c r="E60" s="180" t="inlineStr">
        <is>
          <t>Torre Control</t>
        </is>
      </c>
      <c r="F60" s="180" t="inlineStr">
        <is>
          <t>Mesa 4</t>
        </is>
      </c>
      <c r="G60" s="180" t="inlineStr">
        <is>
          <t>GIOTI 1</t>
        </is>
      </c>
      <c r="H60" s="180" t="inlineStr">
        <is>
          <t>GIOTI 2</t>
        </is>
      </c>
      <c r="I60" s="180" t="inlineStr">
        <is>
          <t>GIOTI 3</t>
        </is>
      </c>
      <c r="J60" s="180" t="inlineStr">
        <is>
          <t>GIOTI 4</t>
        </is>
      </c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104" t="n"/>
      <c r="U60" s="104" t="n"/>
      <c r="V60" s="104" t="n"/>
      <c r="W60" s="104" t="n"/>
      <c r="X60" s="104" t="n"/>
      <c r="Y60" s="104" t="n"/>
      <c r="Z60" s="104" t="n"/>
      <c r="AA60" s="104" t="n"/>
      <c r="AB60" s="104" t="n"/>
      <c r="AC60" s="104" t="n"/>
      <c r="AD60" s="104" t="n"/>
      <c r="AE60" s="104" t="n"/>
      <c r="AF60" s="104" t="n"/>
    </row>
    <row r="61" ht="14.25" customHeight="1" s="102">
      <c r="A61" s="104" t="n"/>
      <c r="B61" s="180" t="inlineStr">
        <is>
          <t>Nivel Global Promedio</t>
        </is>
      </c>
      <c r="C61" s="180">
        <f>IFERROR(SURA_Cotizadores!J15,"")</f>
        <v/>
      </c>
      <c r="D61" s="180">
        <f>IFERROR(SURA_VentaDigital!J15,"")</f>
        <v/>
      </c>
      <c r="E61" s="180">
        <f>IFERROR(SURA_TorreControl!J15,"")</f>
        <v/>
      </c>
      <c r="F61" s="180">
        <f>IFERROR(SURA_Mesa4!J15,"")</f>
        <v/>
      </c>
      <c r="G61" s="180">
        <f>IFERROR(BCO_GIOTI_1!J15,"")</f>
        <v/>
      </c>
      <c r="H61" s="180">
        <f>IFERROR(BCO_GIOTI_2!J15,"")</f>
        <v/>
      </c>
      <c r="I61" s="180">
        <f>IFERROR(BCO_GIOTI_3!J15,"")</f>
        <v/>
      </c>
      <c r="J61" s="180">
        <f>IFERROR(BCO_GIOTI_4!J15,"")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</row>
    <row r="62" ht="14.25" customHeight="1" s="102">
      <c r="A62" s="104" t="n"/>
      <c r="B62" s="180" t="inlineStr">
        <is>
          <t>Nivel D1 — Org. y Personas</t>
        </is>
      </c>
      <c r="C62" s="180">
        <f>IFERROR(AVERAGE(SURA_Cotizadores!F20:F21),"")</f>
        <v/>
      </c>
      <c r="D62" s="180">
        <f>IFERROR(AVERAGE(SURA_VentaDigital!F20:F21),"")</f>
        <v/>
      </c>
      <c r="E62" s="180">
        <f>IFERROR(AVERAGE(SURA_TorreControl!F20:F21),"")</f>
        <v/>
      </c>
      <c r="F62" s="180">
        <f>IFERROR(AVERAGE(SURA_Mesa4!F20:F21),"")</f>
        <v/>
      </c>
      <c r="G62" s="180">
        <f>IFERROR(AVERAGE(BCO_GIOTI_1!F20:BCO20),"")</f>
        <v/>
      </c>
      <c r="H62" s="180">
        <f>IFERROR(AVERAGE(BCO_GIOTI_2!F20:BCO20),"")</f>
        <v/>
      </c>
      <c r="I62" s="180">
        <f>IFERROR(AVERAGE(BCO_GIOTI_3!F20:BCO20),"")</f>
        <v/>
      </c>
      <c r="J62" s="180">
        <f>IFERROR(AVERAGE(BCO_GIOTI_4!F20:BCO20),"")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4" t="n"/>
    </row>
    <row r="63" ht="14.25" customHeight="1" s="102">
      <c r="A63" s="104" t="n"/>
      <c r="B63" s="180" t="inlineStr">
        <is>
          <t>Nivel D2 — Info. y Tecnología</t>
        </is>
      </c>
      <c r="C63" s="180">
        <f>IFERROR(AVERAGE(SURA_Cotizadores!F23:F26),"")</f>
        <v/>
      </c>
      <c r="D63" s="180">
        <f>IFERROR(AVERAGE(SURA_VentaDigital!F23:F26),"")</f>
        <v/>
      </c>
      <c r="E63" s="180">
        <f>IFERROR(AVERAGE(SURA_TorreControl!F23:F26),"")</f>
        <v/>
      </c>
      <c r="F63" s="180">
        <f>IFERROR(AVERAGE(SURA_Mesa4!F23:F26),"")</f>
        <v/>
      </c>
      <c r="G63" s="180">
        <f>IFERROR(AVERAGE(BCO_GIOTI_1!F23:BCO23),"")</f>
        <v/>
      </c>
      <c r="H63" s="180">
        <f>IFERROR(AVERAGE(BCO_GIOTI_2!F23:BCO23),"")</f>
        <v/>
      </c>
      <c r="I63" s="180">
        <f>IFERROR(AVERAGE(BCO_GIOTI_3!F23:BCO23),"")</f>
        <v/>
      </c>
      <c r="J63" s="180">
        <f>IFERROR(AVERAGE(BCO_GIOTI_4!F23:BCO23),"")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</row>
    <row r="64" ht="14.25" customHeight="1" s="102">
      <c r="A64" s="104" t="n"/>
      <c r="B64" s="180" t="inlineStr">
        <is>
          <t>Nivel D3 — Socios</t>
        </is>
      </c>
      <c r="C64" s="180">
        <f>IFERROR(AVERAGE(SURA_Cotizadores!F28:F31),"")</f>
        <v/>
      </c>
      <c r="D64" s="180">
        <f>IFERROR(AVERAGE(SURA_VentaDigital!F28:F31),"")</f>
        <v/>
      </c>
      <c r="E64" s="180">
        <f>IFERROR(AVERAGE(SURA_TorreControl!F28:F31),"")</f>
        <v/>
      </c>
      <c r="F64" s="180">
        <f>IFERROR(AVERAGE(SURA_Mesa4!F28:F31),"")</f>
        <v/>
      </c>
      <c r="G64" s="180">
        <f>IFERROR(AVERAGE(BCO_GIOTI_1!F28:BCO28),"")</f>
        <v/>
      </c>
      <c r="H64" s="180">
        <f>IFERROR(AVERAGE(BCO_GIOTI_2!F28:BCO28),"")</f>
        <v/>
      </c>
      <c r="I64" s="180">
        <f>IFERROR(AVERAGE(BCO_GIOTI_3!F28:BCO28),"")</f>
        <v/>
      </c>
      <c r="J64" s="180">
        <f>IFERROR(AVERAGE(BCO_GIOTI_4!F28:BCO28),"")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</row>
    <row r="65" ht="14.25" customHeight="1" s="102">
      <c r="A65" s="104" t="n"/>
      <c r="B65" s="180" t="inlineStr">
        <is>
          <t>Nivel D4 — Flujos de Valor</t>
        </is>
      </c>
      <c r="C65" s="180">
        <f>IFERROR(AVERAGE(SURA_Cotizadores!F33:F39),"")</f>
        <v/>
      </c>
      <c r="D65" s="180">
        <f>IFERROR(AVERAGE(SURA_VentaDigital!F33:F39),"")</f>
        <v/>
      </c>
      <c r="E65" s="180">
        <f>IFERROR(AVERAGE(SURA_TorreControl!F33:F39),"")</f>
        <v/>
      </c>
      <c r="F65" s="180">
        <f>IFERROR(AVERAGE(SURA_Mesa4!F33:F39),"")</f>
        <v/>
      </c>
      <c r="G65" s="180">
        <f>IFERROR(AVERAGE(BCO_GIOTI_1!F33:BCO33),"")</f>
        <v/>
      </c>
      <c r="H65" s="180">
        <f>IFERROR(AVERAGE(BCO_GIOTI_2!F33:BCO33),"")</f>
        <v/>
      </c>
      <c r="I65" s="180">
        <f>IFERROR(AVERAGE(BCO_GIOTI_3!F33:BCO33),"")</f>
        <v/>
      </c>
      <c r="J65" s="180">
        <f>IFERROR(AVERAGE(BCO_GIOTI_4!F33:BCO33),"")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  <c r="AB65" s="104" t="n"/>
      <c r="AC65" s="104" t="n"/>
      <c r="AD65" s="104" t="n"/>
      <c r="AE65" s="104" t="n"/>
      <c r="AF65" s="104" t="n"/>
    </row>
  </sheetData>
  <mergeCells count="3">
    <mergeCell ref="B3:AD3"/>
    <mergeCell ref="B2:AD2"/>
    <mergeCell ref="B40:K40"/>
  </mergeCells>
  <conditionalFormatting sqref="G6:AC13">
    <cfRule type="colorScale" priority="2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2026-07-01T18:08:04Z</dcterms:created>
  <dcterms:modified xmlns:dcterms="http://purl.org/dc/terms/" xmlns:xsi="http://www.w3.org/2001/XMLSchema-instance" xsi:type="dcterms:W3CDTF">2026-07-03T23:03:24Z</dcterms:modified>
  <cp:revision>7</cp:revision>
</cp:coreProperties>
</file>