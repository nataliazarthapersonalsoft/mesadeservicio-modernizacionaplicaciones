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olors1.xml" ContentType="application/vnd.ms-office.chartcolorstyle+xml"/>
  <Override PartName="/xl/charts/style2.xml" ContentType="application/vnd.ms-office.chartstyle+xml"/>
  <Override PartName="/xl/charts/chart3.xml" ContentType="application/vnd.openxmlformats-officedocument.drawingml.chart+xml"/>
  <Override PartName="/xl/charts/chart2.xml" ContentType="application/vnd.openxmlformats-officedocument.drawingml.chart+xml"/>
  <Override PartName="/xl/charts/colors2.xml" ContentType="application/vnd.ms-office.chartcolorstyle+xml"/>
  <Override PartName="/xl/charts/style3.xml" ContentType="application/vnd.ms-office.chartstyle+xml"/>
  <Override PartName="/xl/charts/style1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Inicio" sheetId="1" state="visible" r:id="rId3"/>
    <sheet name="Listas" sheetId="2" state="visible" r:id="rId4"/>
    <sheet name="Rúbrica" sheetId="3" state="visible" r:id="rId5"/>
    <sheet name="SURA_Cotizadores" sheetId="4" state="visible" r:id="rId6"/>
    <sheet name="SURA_VentaDigital" sheetId="5" state="visible" r:id="rId7"/>
    <sheet name="SURA_TorreControl" sheetId="6" state="visible" r:id="rId8"/>
    <sheet name="SURA_Mesa4" sheetId="7" state="visible" r:id="rId9"/>
    <sheet name="BCO_GIOTI_1" sheetId="8" state="visible" r:id="rId10"/>
    <sheet name="BCO_GIOTI_2" sheetId="9" state="visible" r:id="rId11"/>
    <sheet name="BCO_GIOTI_3" sheetId="10" state="visible" r:id="rId12"/>
    <sheet name="BCO_GIOTI_4" sheetId="11" state="visible" r:id="rId13"/>
    <sheet name="Dashboard" sheetId="12" state="visible" r:id="rId1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<sst xmlns="http://schemas.openxmlformats.org/spreadsheetml/2006/main" count="985" uniqueCount="343">
  <si>
    <t xml:space="preserve">Modelo de Madurez · Mesa de Servicios de Nueva Generación</t>
  </si>
  <si>
    <t xml:space="preserve">PersonalSoft · ITIL v5 · 4 Dimensiones · 17 Prácticas Operativas + 4 de Negocio · Escala N0–N5</t>
  </si>
  <si>
    <t xml:space="preserve">ESTRUCTURA DEL ARCHIVO</t>
  </si>
  <si>
    <t xml:space="preserve">Hoja</t>
  </si>
  <si>
    <t xml:space="preserve">Contenido</t>
  </si>
  <si>
    <t xml:space="preserve">Inicio</t>
  </si>
  <si>
    <t xml:space="preserve">Esta hoja — instrucciones y estructura general</t>
  </si>
  <si>
    <t xml:space="preserve">Listas</t>
  </si>
  <si>
    <t xml:space="preserve">Listas paramétricas: tipos de mesa, sectores, herramientas, prioridades, horarios</t>
  </si>
  <si>
    <t xml:space="preserve">Rúbrica</t>
  </si>
  <si>
    <t xml:space="preserve">Descripción completa de qué significa cada nivel (N0–N5) en cada práctica</t>
  </si>
  <si>
    <t xml:space="preserve">SURA_Cotizadores … BCO_GIOTI_4</t>
  </si>
  <si>
    <t xml:space="preserve">8 hojas de evaluación — una por mesa de servicio</t>
  </si>
  <si>
    <t xml:space="preserve">Dashboard</t>
  </si>
  <si>
    <t xml:space="preserve">Consolidado visual: barras de nivel global, radar por dimensión y barras comparativas</t>
  </si>
  <si>
    <t xml:space="preserve">DIMENSIONES EVALUADAS (ITIL v5) — 4 dimensiones · 17 prácticas operativas</t>
  </si>
  <si>
    <t xml:space="preserve">D1 · Organizaciones y Personas</t>
  </si>
  <si>
    <t xml:space="preserve">1. Gobierno de roles (RACI)  ·  2. Capacidad y dimensionamiento del equipo</t>
  </si>
  <si>
    <t xml:space="preserve">D2 · Información y Tecnología</t>
  </si>
  <si>
    <t xml:space="preserve">3. Herramientas y automatización  ·  4. Gestión del conocimiento (KEDB)  ·  5. Gestión de integraciones  ·  6. Monitoreo y gestión de eventos ★</t>
  </si>
  <si>
    <t xml:space="preserve">D3 · Socios y Proveedores</t>
  </si>
  <si>
    <t xml:space="preserve">7. Service Desk — punto único de contacto ★  ·  8. Catálogo de servicios  ·  9. SLA / ANS + XLA por prioridad  ·  10. Disponibilidad y cobertura horaria</t>
  </si>
  <si>
    <t xml:space="preserve">D4 · Flujos de Valor y Procesos</t>
  </si>
  <si>
    <t xml:space="preserve">11. Gestión de incidentes  ·  12. Gestión de solicitudes  ·  13. Gestión de problemas (causa raíz)  ·  14. Change Enablement ★  ·  15. Transición y onboarding  ·  16. Mejora continua ★  ·  17. CX / NPS / CSAT / XLA</t>
  </si>
  <si>
    <t xml:space="preserve">Dimensión de Negocio PS</t>
  </si>
  <si>
    <t xml:space="preserve">18. Salud financiera  ·  19. Retención y cuenta  ·  20. NPS / CSAT / XLA  ·  21. Eficiencia de costo operativo</t>
  </si>
  <si>
    <t xml:space="preserve">★ Nuevas desde ITIL v5 (2026)</t>
  </si>
  <si>
    <t xml:space="preserve">ESCALA DE MADUREZ — 6 niveles</t>
  </si>
  <si>
    <t xml:space="preserve">N0 · Autoservicio</t>
  </si>
  <si>
    <t xml:space="preserve">Portal + KEDB + IA generativa activa. Sin intervención humana.</t>
  </si>
  <si>
    <t xml:space="preserve">N1 · Inicial</t>
  </si>
  <si>
    <t xml:space="preserve">Reactivo total. Depende de personas, no de procesos. Bus factor alto.</t>
  </si>
  <si>
    <t xml:space="preserve">N2 · Administrado</t>
  </si>
  <si>
    <t xml:space="preserve">Procesos por mesa, sin estandarizar entre clientes. Nivel mínimo Mesa de Ayuda.</t>
  </si>
  <si>
    <t xml:space="preserve">N3 · Definido</t>
  </si>
  <si>
    <t xml:space="preserve">Estandarización entre mesas. Roles, RACI, catálogo y ANS documentados. Nivel mínimo Mesa de Soporte.</t>
  </si>
  <si>
    <t xml:space="preserve">N4 · Cuantitativo</t>
  </si>
  <si>
    <t xml:space="preserve">Gestión basada en datos: ANS medidos, KPIs reales, tendencias analizadas.</t>
  </si>
  <si>
    <t xml:space="preserve">N5 · Optimizado</t>
  </si>
  <si>
    <t xml:space="preserve">IA activa. Anticipación de problemas, mejora continua automatizada, AIOps.</t>
  </si>
  <si>
    <t xml:space="preserve">INSTRUCCIONES DE USO</t>
  </si>
  <si>
    <t xml:space="preserve">1.</t>
  </si>
  <si>
    <t xml:space="preserve">En la hoja de cada mesa: diligencia los datos generales y selecciona el nivel actual (N0–N5) para cada práctica usando el dropdown.</t>
  </si>
  <si>
    <t xml:space="preserve">2.</t>
  </si>
  <si>
    <t xml:space="preserve">Las celdas en ROJO indican que el nivel actual está por debajo del mínimo esperado para ese tipo de mesa (N2 para Ayuda, N3 para Soporte).</t>
  </si>
  <si>
    <t xml:space="preserve">3.</t>
  </si>
  <si>
    <t xml:space="preserve">La columna Evidencia es clave: escribe qué observaste concretamente para sustentar el nivel — no opiniones, hechos.</t>
  </si>
  <si>
    <t xml:space="preserve">4.</t>
  </si>
  <si>
    <t xml:space="preserve">El Dashboard consolida automáticamente los niveles de las 8 mesas en gráficas comparativas.</t>
  </si>
  <si>
    <t xml:space="preserve">5.</t>
  </si>
  <si>
    <t xml:space="preserve">Consulta la hoja Rúbrica para saber exactamente qué significa cada nivel en cada práctica antes de evaluar.</t>
  </si>
  <si>
    <t xml:space="preserve">6.</t>
  </si>
  <si>
    <t xml:space="preserve">La hoja Listas contiene todos los valores de los dropdowns — modifícalos allá para que se actualicen en todo el archivo.</t>
  </si>
  <si>
    <t xml:space="preserve">Listas paramétricas · Modelo de Madurez v1.0</t>
  </si>
  <si>
    <t xml:space="preserve">Modifica los valores en estas listas — se actualizan automáticamente en todo el archivo</t>
  </si>
  <si>
    <t xml:space="preserve">Tipo de mesa</t>
  </si>
  <si>
    <t xml:space="preserve">Sector</t>
  </si>
  <si>
    <t xml:space="preserve">Cliente</t>
  </si>
  <si>
    <t xml:space="preserve">Nivel de servicio</t>
  </si>
  <si>
    <t xml:space="preserve">N0 activo</t>
  </si>
  <si>
    <t xml:space="preserve">Herramienta de tickets</t>
  </si>
  <si>
    <t xml:space="preserve">Prioridad de ticket</t>
  </si>
  <si>
    <t xml:space="preserve">Horario de servicio</t>
  </si>
  <si>
    <t xml:space="preserve">Mesa de Ayuda</t>
  </si>
  <si>
    <t xml:space="preserve">Banca</t>
  </si>
  <si>
    <t xml:space="preserve">SURA</t>
  </si>
  <si>
    <t xml:space="preserve">Sí</t>
  </si>
  <si>
    <t xml:space="preserve">ServiceNow</t>
  </si>
  <si>
    <t xml:space="preserve">Crítico — PDN &lt;1h</t>
  </si>
  <si>
    <t xml:space="preserve">L-V 7:30AM–5PM</t>
  </si>
  <si>
    <t xml:space="preserve">Mesa de Soporte</t>
  </si>
  <si>
    <t xml:space="preserve">Salud (EPS)</t>
  </si>
  <si>
    <t xml:space="preserve">Bancolombia</t>
  </si>
  <si>
    <t xml:space="preserve">No</t>
  </si>
  <si>
    <t xml:space="preserve">Jira Service Management</t>
  </si>
  <si>
    <t xml:space="preserve">Alto — múltiples usuarios &lt;4h</t>
  </si>
  <si>
    <t xml:space="preserve">L-V 8AM–6PM</t>
  </si>
  <si>
    <t xml:space="preserve">Seguros</t>
  </si>
  <si>
    <t xml:space="preserve">XM</t>
  </si>
  <si>
    <t xml:space="preserve">En construcción</t>
  </si>
  <si>
    <t xml:space="preserve">Freshservice</t>
  </si>
  <si>
    <t xml:space="preserve">Medio — un usuario, workaround &lt;8h</t>
  </si>
  <si>
    <t xml:space="preserve">L-S 7AM–7PM</t>
  </si>
  <si>
    <t xml:space="preserve">Retail</t>
  </si>
  <si>
    <t xml:space="preserve">AES</t>
  </si>
  <si>
    <t xml:space="preserve">VMC (SURA)</t>
  </si>
  <si>
    <t xml:space="preserve">Bajo — consulta/mejora &lt;24h</t>
  </si>
  <si>
    <t xml:space="preserve">24x7 guardia humana</t>
  </si>
  <si>
    <t xml:space="preserve">Manufactura</t>
  </si>
  <si>
    <t xml:space="preserve">Medicarte</t>
  </si>
  <si>
    <t xml:space="preserve">Computer Associates</t>
  </si>
  <si>
    <t xml:space="preserve">24x7 N0/IA + guardia parcial</t>
  </si>
  <si>
    <t xml:space="preserve">Gobierno</t>
  </si>
  <si>
    <t xml:space="preserve">Otro</t>
  </si>
  <si>
    <t xml:space="preserve">Zendesk</t>
  </si>
  <si>
    <t xml:space="preserve">Best effort</t>
  </si>
  <si>
    <t xml:space="preserve">Azure DevOps</t>
  </si>
  <si>
    <t xml:space="preserve">Herramienta propia PS</t>
  </si>
  <si>
    <t xml:space="preserve">Sin herramienta definida</t>
  </si>
  <si>
    <t xml:space="preserve">Rúbrica de evaluación · v1.0 · 17 prácticas operativas + 4 de negocio · Escala N0–N5</t>
  </si>
  <si>
    <t xml:space="preserve">4 Dimensiones ITIL v5: D1 Organizaciones y Personas · D2 Información y Tecnología · D3 Socios y Proveedores · D4 Flujos de Valor y Procesos</t>
  </si>
  <si>
    <t xml:space="preserve">#</t>
  </si>
  <si>
    <t xml:space="preserve">Práctica</t>
  </si>
  <si>
    <t xml:space="preserve">Origen</t>
  </si>
  <si>
    <t xml:space="preserve">N0·Autoservicio</t>
  </si>
  <si>
    <t xml:space="preserve">N1·Inicial</t>
  </si>
  <si>
    <t xml:space="preserve">N2·Administrado</t>
  </si>
  <si>
    <t xml:space="preserve">N3·Definido</t>
  </si>
  <si>
    <t xml:space="preserve">N4·Cuantitativo</t>
  </si>
  <si>
    <t xml:space="preserve">N5·Optimizado</t>
  </si>
  <si>
    <t xml:space="preserve">D1 · Organizaciones y Personas — Gobierno, roles y cultura del equipo</t>
  </si>
  <si>
    <t xml:space="preserve">Gobierno de roles (RACI)</t>
  </si>
  <si>
    <t xml:space="preserve">Feedback operativo</t>
  </si>
  <si>
    <t xml:space="preserve">—</t>
  </si>
  <si>
    <t xml:space="preserve">Héroes aislados</t>
  </si>
  <si>
    <t xml:space="preserve">Roles informales</t>
  </si>
  <si>
    <t xml:space="preserve">RACI documentado: Coordinador, Líder Técnico, Especialista</t>
  </si>
  <si>
    <t xml:space="preserve">Desempeño medido por rol, RACI ajustado con datos</t>
  </si>
  <si>
    <t xml:space="preserve">IA sugiere reasignación según carga y disponibilidad</t>
  </si>
  <si>
    <t xml:space="preserve">Capacidad y dimensionamiento del equipo</t>
  </si>
  <si>
    <t xml:space="preserve">ITIL Foundation</t>
  </si>
  <si>
    <t xml:space="preserve">Cálculo a ojo</t>
  </si>
  <si>
    <t xml:space="preserve">Criterio estático que no se revisa</t>
  </si>
  <si>
    <t xml:space="preserve">Calculadora FTE basada en volumen histórico</t>
  </si>
  <si>
    <t xml:space="preserve">Se mide % GAP de tiempo muerto y se ajusta capacidad</t>
  </si>
  <si>
    <t xml:space="preserve">Dimensionamiento dinámico: IA anticipa picos</t>
  </si>
  <si>
    <t xml:space="preserve">D2 · Información y Tecnología — Herramientas, automatización y datos</t>
  </si>
  <si>
    <t xml:space="preserve">Herramientas y automatización</t>
  </si>
  <si>
    <t xml:space="preserve">Dispersas: Excel, correo, chats</t>
  </si>
  <si>
    <t xml:space="preserve">Solo como bitácora</t>
  </si>
  <si>
    <t xml:space="preserve">Flujos integrados: escalamiento y notificación automática</t>
  </si>
  <si>
    <t xml:space="preserve">Se mide % de automatización e impacto en tiempos</t>
  </si>
  <si>
    <t xml:space="preserve">Agentes IA clasifican, sugieren y resuelven tickets</t>
  </si>
  <si>
    <t xml:space="preserve">Gestión del conocimiento (KEDB)</t>
  </si>
  <si>
    <t xml:space="preserve">Monitor, Support &amp; Fulfill</t>
  </si>
  <si>
    <t xml:space="preserve">KEDB activa y accesible al usuario (base del N0)</t>
  </si>
  <si>
    <t xml:space="preserve">En la cabeza — bus factor</t>
  </si>
  <si>
    <t xml:space="preserve">Notas aisladas</t>
  </si>
  <si>
    <t xml:space="preserve">KEDB centralizada, estructurada y con dueño</t>
  </si>
  <si>
    <t xml:space="preserve">Uso correlacionado con reducción de tiempo de resolución</t>
  </si>
  <si>
    <t xml:space="preserve">Auto-sugerencia IA antes de que el humano busque</t>
  </si>
  <si>
    <t xml:space="preserve">Gestión de integraciones y entorno de aplicaciones</t>
  </si>
  <si>
    <t xml:space="preserve">Sin documentar</t>
  </si>
  <si>
    <t xml:space="preserve">Lista básica sin arquitectura</t>
  </si>
  <si>
    <t xml:space="preserve">Mapa de APIs, dependencias y owner documentado</t>
  </si>
  <si>
    <t xml:space="preserve">Alertas por criticidad de API afectada</t>
  </si>
  <si>
    <t xml:space="preserve">Monitoreo AIOps: detecta caídas antes que el usuario</t>
  </si>
  <si>
    <t xml:space="preserve">Monitoreo y gestión de eventos</t>
  </si>
  <si>
    <t xml:space="preserve">Sin monitoreo. El usuario reporta los problemas</t>
  </si>
  <si>
    <t xml:space="preserve">Alertas manuales básicas</t>
  </si>
  <si>
    <t xml:space="preserve">Monitoreo sistemático con umbrales y alertas automáticas</t>
  </si>
  <si>
    <t xml:space="preserve">Correlación de eventos para detectar patrones</t>
  </si>
  <si>
    <t xml:space="preserve">AIOps: predicción y resolución proactiva antes del impacto</t>
  </si>
  <si>
    <t xml:space="preserve">D3 · Socios y Proveedores — Niveles de servicio, contratos y límites del alcance</t>
  </si>
  <si>
    <t xml:space="preserve">Service Desk — punto único de contacto</t>
  </si>
  <si>
    <t xml:space="preserve">Sin punto único. Usuarios contactan por cualquier canal</t>
  </si>
  <si>
    <t xml:space="preserve">Mesa existe sin roles ni procesos claros</t>
  </si>
  <si>
    <t xml:space="preserve">Punto único definido: canales, horarios y escalamiento documentado</t>
  </si>
  <si>
    <t xml:space="preserve">Mesa medida como unidad de negocio: ANS, CSAT, costo/ticket</t>
  </si>
  <si>
    <t xml:space="preserve">Mesa orquestada por IA: N0 deflecta, N1 clasifica, N2/N3 solo casos complejos</t>
  </si>
  <si>
    <t xml:space="preserve">Catálogo de servicios y límites del alcance</t>
  </si>
  <si>
    <t xml:space="preserve">ITIL Service</t>
  </si>
  <si>
    <t xml:space="preserve">Informal, solo verbal</t>
  </si>
  <si>
    <t xml:space="preserve">Firmado y olvidado, desactualizado</t>
  </si>
  <si>
    <t xml:space="preserve">Catálogo vivo: el equipo lo usa como referencia real</t>
  </si>
  <si>
    <t xml:space="preserve">Costeo por servicio, identifica rentabilidad de cada módulo</t>
  </si>
  <si>
    <t xml:space="preserve">Ajuste dinámico según demanda real</t>
  </si>
  <si>
    <t xml:space="preserve">SLA / ANS + XLA por prioridad</t>
  </si>
  <si>
    <t xml:space="preserve">No medidos o aspiracionales</t>
  </si>
  <si>
    <t xml:space="preserve">Medición manual al recibir reclamo</t>
  </si>
  <si>
    <t xml:space="preserve">ANS por prioridad: Crítico &lt;1h · Alto &lt;4h · Medio &lt;8h · Bajo &lt;24h. XLA definido</t>
  </si>
  <si>
    <t xml:space="preserve">ANS con análisis de tendencia + XLA correlacionado con experiencia real</t>
  </si>
  <si>
    <t xml:space="preserve">Alertas predictivas de ANS + XLA en tiempo real</t>
  </si>
  <si>
    <t xml:space="preserve">Disponibilidad y cobertura horaria</t>
  </si>
  <si>
    <t xml:space="preserve">N0 activo = cobertura 24x7 para solicitudes frecuentes</t>
  </si>
  <si>
    <t xml:space="preserve">Best effort sin compromiso</t>
  </si>
  <si>
    <t xml:space="preserve">Horario conocido pero no contractual</t>
  </si>
  <si>
    <t xml:space="preserve">Horario pactado (ej. L-V 7:30-5PM), GAP administrativo negociado</t>
  </si>
  <si>
    <t xml:space="preserve">Cumplimiento de cobertura medido y reportado al cliente</t>
  </si>
  <si>
    <t xml:space="preserve">N0/N1 gestionado por IA fuera de horario: 24x7 efectivo</t>
  </si>
  <si>
    <t xml:space="preserve">D4 · Flujos de Valor y Procesos — Soporte, incidentes, cambios, transición y CX</t>
  </si>
  <si>
    <t xml:space="preserve">Gestión de incidentes</t>
  </si>
  <si>
    <t xml:space="preserve">Reactivo / apagar incendios, sin trazabilidad</t>
  </si>
  <si>
    <t xml:space="preserve">Registro básico, categorización inconsistente</t>
  </si>
  <si>
    <t xml:space="preserve">Proceso estándar de registro, triaje y escalamiento N1→N2→N3</t>
  </si>
  <si>
    <t xml:space="preserve">Tiempos medidos por categoría y nivel con metas claras</t>
  </si>
  <si>
    <t xml:space="preserve">Auto-resolución IA: clasifica, sugiere, escala solo si confianza baja</t>
  </si>
  <si>
    <t xml:space="preserve">Gestión de solicitudes</t>
  </si>
  <si>
    <t xml:space="preserve">Portal N0 resuelve solicitudes frecuentes sin abrir ticket</t>
  </si>
  <si>
    <t xml:space="preserve">Mezcladas con incidentes, sin distinción</t>
  </si>
  <si>
    <t xml:space="preserve">Flujo completamente manual</t>
  </si>
  <si>
    <t xml:space="preserve">Catálogo estándar con tiempos de cumplimiento por tipo</t>
  </si>
  <si>
    <t xml:space="preserve">ANS medido en tiempo real por tipo de solicitud</t>
  </si>
  <si>
    <t xml:space="preserve">Portal N0 expandido con IA: resuelve y aprende de cada interacción</t>
  </si>
  <si>
    <t xml:space="preserve">Gestión de problemas (causa raíz)</t>
  </si>
  <si>
    <t xml:space="preserve">No existe. Cada incidente se resuelve aislado</t>
  </si>
  <si>
    <t xml:space="preserve">A voluntad del analista, sin proceso formal</t>
  </si>
  <si>
    <t xml:space="preserve">Análisis formal cuando incidente se repite más de X veces</t>
  </si>
  <si>
    <t xml:space="preserve">Se mide reducción de tickets recurrentes tras resolver causa raíz</t>
  </si>
  <si>
    <t xml:space="preserve">IA detecta patrones ocultos proactivamente</t>
  </si>
  <si>
    <t xml:space="preserve">Gestión del cambio (Change Enablement)</t>
  </si>
  <si>
    <t xml:space="preserve">Cambios en producción sin control ni trazabilidad</t>
  </si>
  <si>
    <t xml:space="preserve">Registro básico sin aprobación formal</t>
  </si>
  <si>
    <t xml:space="preserve">Proceso documentado: quién solicita, aprueba y despliega (segregación de funciones)</t>
  </si>
  <si>
    <t xml:space="preserve">Se mide impacto de cambios en incidentes y se ajusta el proceso</t>
  </si>
  <si>
    <t xml:space="preserve">Cambios evaluados automáticamente por IA según riesgo calculado</t>
  </si>
  <si>
    <t xml:space="preserve">Transición y onboarding</t>
  </si>
  <si>
    <t xml:space="preserve">Improvisada, se reinventa con cada cliente</t>
  </si>
  <si>
    <t xml:space="preserve">Pasos sueltos, no replicables</t>
  </si>
  <si>
    <t xml:space="preserve">Playbook exacto: inducción, documentación, acuerdos, KEDB</t>
  </si>
  <si>
    <t xml:space="preserve">Métrica 30 días: calidad del arranque medida con datos reales</t>
  </si>
  <si>
    <t xml:space="preserve">Plantillas IA aceleran la transición (carga automática)</t>
  </si>
  <si>
    <t xml:space="preserve">Mejora continua del servicio</t>
  </si>
  <si>
    <t xml:space="preserve">Collaborate, Assure &amp; Improve</t>
  </si>
  <si>
    <t xml:space="preserve">Sin proceso de mejora. Solo se reacciona ante crisis</t>
  </si>
  <si>
    <t xml:space="preserve">Mejoras identificadas sin priorización ni seguimiento</t>
  </si>
  <si>
    <t xml:space="preserve">Backlog de mejoras activo: priorizado con owner y fecha de revisión</t>
  </si>
  <si>
    <t xml:space="preserve">Mejoras medidas: antes vs. después con datos reales</t>
  </si>
  <si>
    <t xml:space="preserve">IA detecta oportunidades de mejora a partir de patrones de operación</t>
  </si>
  <si>
    <t xml:space="preserve">Experiencia del cliente (CX / NPS / CSAT / XLA)</t>
  </si>
  <si>
    <t xml:space="preserve">ITIL Experience</t>
  </si>
  <si>
    <t xml:space="preserve">Satisfacción medida por tasa de resolución autónoma (% sin escalar)</t>
  </si>
  <si>
    <t xml:space="preserve">Cero quejas = todo OK, sin medición</t>
  </si>
  <si>
    <t xml:space="preserve">Encuesta anual esporádica sin seguimiento</t>
  </si>
  <si>
    <t xml:space="preserve">CSAT continuo por ticket + XLA: experiencia percibida medida</t>
  </si>
  <si>
    <t xml:space="preserve">Cruce operacional: CSAT/XLA correlacionado con tiempos, reincidencia y NPS</t>
  </si>
  <si>
    <t xml:space="preserve">CX en tiempo real: ajuste proactivo antes de que la insatisfacción se formalice</t>
  </si>
  <si>
    <t xml:space="preserve">Dimensión de Negocio · Éxito comercial y rentabilidad de PS</t>
  </si>
  <si>
    <t xml:space="preserve">Salud financiera del contrato</t>
  </si>
  <si>
    <t xml:space="preserve">Negocio PS</t>
  </si>
  <si>
    <t xml:space="preserve">Pérdida oculta: margen desconocido</t>
  </si>
  <si>
    <t xml:space="preserve">Rentabilidad plana, sin optimización</t>
  </si>
  <si>
    <t xml:space="preserve">Margen por FTE identificado y monitoreado</t>
  </si>
  <si>
    <t xml:space="preserve">Eficiencia de costo medida: costo/ticket</t>
  </si>
  <si>
    <t xml:space="preserve">Upselling automatizado: IA detecta oportunidades de expansión</t>
  </si>
  <si>
    <t xml:space="preserve">Retención y crecimiento de cuenta</t>
  </si>
  <si>
    <t xml:space="preserve">Riesgo de churn no detectado</t>
  </si>
  <si>
    <t xml:space="preserve">Renovación incierta, sin plan de cuenta</t>
  </si>
  <si>
    <t xml:space="preserve">Plan de cuenta activo, renovación gestionada proactivamente</t>
  </si>
  <si>
    <t xml:space="preserve">Expansión medida: servicios adicionales por cliente</t>
  </si>
  <si>
    <t xml:space="preserve">Expansión automática: modelo detecta señales de crecimiento</t>
  </si>
  <si>
    <t xml:space="preserve">NPS / CSAT / XLA del cliente final</t>
  </si>
  <si>
    <t xml:space="preserve">Cliente silencioso: no se mide lealtad</t>
  </si>
  <si>
    <t xml:space="preserve">Reactivo: solo se actúa ante queja formal</t>
  </si>
  <si>
    <t xml:space="preserve">CSAT + XLA sistemáticos, NPS periódico</t>
  </si>
  <si>
    <t xml:space="preserve">Promotor activo: cliente referencia el servicio con datos</t>
  </si>
  <si>
    <t xml:space="preserve">Predicción de churn: IA detecta señales antes de la queja</t>
  </si>
  <si>
    <t xml:space="preserve">Eficiencia de costo operativo</t>
  </si>
  <si>
    <t xml:space="preserve">Costo/ticket alto e invisible</t>
  </si>
  <si>
    <t xml:space="preserve">GAP de tiempo muerto sin medir</t>
  </si>
  <si>
    <t xml:space="preserve">Costo/ticket calculado y comparado contra línea base</t>
  </si>
  <si>
    <t xml:space="preserve">Reducción medida de costo por automatización incremental</t>
  </si>
  <si>
    <t xml:space="preserve">Automatización escala sola: costo marginal baja con cada ticket IA</t>
  </si>
  <si>
    <t xml:space="preserve">Evaluación de Madurez · Cotizadores</t>
  </si>
  <si>
    <t xml:space="preserve">PersonalSoft · SURA · Modelo de Madurez v1.0 · ITIL v5</t>
  </si>
  <si>
    <t xml:space="preserve">Nombre de la mesa:</t>
  </si>
  <si>
    <t xml:space="preserve">Cotizadores</t>
  </si>
  <si>
    <t xml:space="preserve">Cliente:</t>
  </si>
  <si>
    <t xml:space="preserve">Sector:</t>
  </si>
  <si>
    <t xml:space="preserve">Banca/Seguros</t>
  </si>
  <si>
    <t xml:space="preserve">Tipo de mesa:</t>
  </si>
  <si>
    <t xml:space="preserve">¿N0 activo?:</t>
  </si>
  <si>
    <t xml:space="preserve">Evaluador:</t>
  </si>
  <si>
    <t xml:space="preserve">Fecha de evaluación:</t>
  </si>
  <si>
    <t xml:space="preserve">Herramienta de tickets:</t>
  </si>
  <si>
    <t xml:space="preserve">Horario de servicio:</t>
  </si>
  <si>
    <t xml:space="preserve">Nivel mínimo esperado:</t>
  </si>
  <si>
    <t xml:space="preserve">Nivel global operativo (promedio):</t>
  </si>
  <si>
    <t xml:space="preserve">Nivel mínimo (número):</t>
  </si>
  <si>
    <t xml:space="preserve">Nivel mínimo
esperado</t>
  </si>
  <si>
    <t xml:space="preserve">Nivel actual
(0=N0 · 5=N5)
▼ dropdown</t>
  </si>
  <si>
    <t xml:space="preserve">Nivel objetivo
(N0–N5)</t>
  </si>
  <si>
    <t xml:space="preserve">Brecha</t>
  </si>
  <si>
    <t xml:space="preserve">Evidencia / observación</t>
  </si>
  <si>
    <t xml:space="preserve">Herramienta / Nota</t>
  </si>
  <si>
    <t xml:space="preserve">¿Bajo mínimo?</t>
  </si>
  <si>
    <t xml:space="preserve">Dimensión de Negocio · Éxito comercial y rentabilidad PS</t>
  </si>
  <si>
    <t xml:space="preserve">Evaluación de Madurez · Venta Canal Digital</t>
  </si>
  <si>
    <t xml:space="preserve">Venta Canal Digital</t>
  </si>
  <si>
    <t xml:space="preserve">Evaluación de Madurez · Torre de Control</t>
  </si>
  <si>
    <t xml:space="preserve">Torre de Control</t>
  </si>
  <si>
    <t xml:space="preserve">Evaluación de Madurez · Mesa 4</t>
  </si>
  <si>
    <t xml:space="preserve">Mesa 4</t>
  </si>
  <si>
    <t xml:space="preserve">Evaluación de Madurez · GIOTI 1</t>
  </si>
  <si>
    <t xml:space="preserve">PersonalSoft · Bancolombia · Modelo de Madurez v1.0 · ITIL v5</t>
  </si>
  <si>
    <t xml:space="preserve">GIOTI 1</t>
  </si>
  <si>
    <t xml:space="preserve">Evaluación de Madurez · GIOTI 2</t>
  </si>
  <si>
    <t xml:space="preserve">GIOTI 2</t>
  </si>
  <si>
    <t xml:space="preserve">Evaluación de Madurez · GIOTI 3</t>
  </si>
  <si>
    <t xml:space="preserve">GIOTI 3</t>
  </si>
  <si>
    <t xml:space="preserve">Evaluación de Madurez · GIOTI 4</t>
  </si>
  <si>
    <t xml:space="preserve">GIOTI 4</t>
  </si>
  <si>
    <t xml:space="preserve">Dashboard Consolidado · Modelo de Madurez · 8 Mesas de Servicio</t>
  </si>
  <si>
    <t xml:space="preserve">PersonalSoft · ITIL v5 · 4 Dimensiones · 17 Prácticas Operativas + 4 Negocio · Escala N0–N5</t>
  </si>
  <si>
    <t xml:space="preserve">Mesa de servicio</t>
  </si>
  <si>
    <t xml:space="preserve">Nivel global
operativo</t>
  </si>
  <si>
    <t xml:space="preserve">Nivel global
negocio</t>
  </si>
  <si>
    <t xml:space="preserve">Gobierno de roles </t>
  </si>
  <si>
    <t xml:space="preserve">Capacidad y dimens</t>
  </si>
  <si>
    <t xml:space="preserve">Herramientas y aut</t>
  </si>
  <si>
    <t xml:space="preserve">Gestión del conoci</t>
  </si>
  <si>
    <t xml:space="preserve">Gestión de integra</t>
  </si>
  <si>
    <t xml:space="preserve">Monitoreo y gestió</t>
  </si>
  <si>
    <t xml:space="preserve">Service Desk — pun</t>
  </si>
  <si>
    <t xml:space="preserve">Catálogo de servic</t>
  </si>
  <si>
    <t xml:space="preserve">SLA / ANS + XLA po</t>
  </si>
  <si>
    <t xml:space="preserve">Disponibilidad y c</t>
  </si>
  <si>
    <t xml:space="preserve">Gestión de inciden</t>
  </si>
  <si>
    <t xml:space="preserve">Gestión de solicit</t>
  </si>
  <si>
    <t xml:space="preserve">Gestión de problem</t>
  </si>
  <si>
    <t xml:space="preserve">Gestión del cambio</t>
  </si>
  <si>
    <t xml:space="preserve">Transición y onboa</t>
  </si>
  <si>
    <t xml:space="preserve">Mejora continua de</t>
  </si>
  <si>
    <t xml:space="preserve">Experiencia del cl</t>
  </si>
  <si>
    <t xml:space="preserve">Salud financiera d</t>
  </si>
  <si>
    <t xml:space="preserve">Retención y crecim</t>
  </si>
  <si>
    <t xml:space="preserve">NPS / CSAT / XLA d</t>
  </si>
  <si>
    <t xml:space="preserve">Eficiencia de cost</t>
  </si>
  <si>
    <t xml:space="preserve"># Práct.
bajo mínimo</t>
  </si>
  <si>
    <t xml:space="preserve">Promedios por dimensión (todas las mesas)</t>
  </si>
  <si>
    <t xml:space="preserve">D1 · Org. y Personas</t>
  </si>
  <si>
    <t xml:space="preserve">D2 · Info. y Tecnología</t>
  </si>
  <si>
    <t xml:space="preserve">D4 · Flujos de Valor</t>
  </si>
  <si>
    <t xml:space="preserve">E · HERRAMIENTAS Y NOTAS CLAVE — jala de col J (Herramienta/Nota) de cada hoja de evaluación</t>
  </si>
  <si>
    <t xml:space="preserve">Venta Dig.</t>
  </si>
  <si>
    <t xml:space="preserve">Torre Ctrl.</t>
  </si>
  <si>
    <t xml:space="preserve">1. Gobierno roles (RACI)</t>
  </si>
  <si>
    <t xml:space="preserve">2. Capacidad/FTE</t>
  </si>
  <si>
    <t xml:space="preserve">3. Herramientas</t>
  </si>
  <si>
    <t xml:space="preserve">4. KEDB</t>
  </si>
  <si>
    <t xml:space="preserve">5. Integraciones</t>
  </si>
  <si>
    <t xml:space="preserve">6. Monitoreo</t>
  </si>
  <si>
    <t xml:space="preserve">7. Service Desk SPOC</t>
  </si>
  <si>
    <t xml:space="preserve">8. Catálogo</t>
  </si>
  <si>
    <t xml:space="preserve">9. ANS/SLA+XLA</t>
  </si>
  <si>
    <t xml:space="preserve">10. Disponibilidad</t>
  </si>
  <si>
    <t xml:space="preserve">11. Incidentes</t>
  </si>
  <si>
    <t xml:space="preserve">12. Solicitudes</t>
  </si>
  <si>
    <t xml:space="preserve">13. Problemas/RCA</t>
  </si>
  <si>
    <t xml:space="preserve">14. Change Enablement</t>
  </si>
  <si>
    <t xml:space="preserve">15. Onboarding</t>
  </si>
  <si>
    <t xml:space="preserve">16. Mejora continua</t>
  </si>
  <si>
    <t xml:space="preserve">17. CX/CSAT/XLA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</si>
</sst>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/mm/yyyy"/>
    <numFmt numFmtId="166" formatCode="0.0"/>
    <numFmt numFmtId="167" formatCode="0"/>
  </numFmts>
  <fonts count="5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26215C"/>
      <name val="Calibri"/>
      <family val="0"/>
      <charset val="1"/>
    </font>
    <font>
      <i val="true"/>
      <sz val="10"/>
      <color rgb="FF5F5E5A"/>
      <name val="Calibri"/>
      <family val="0"/>
      <charset val="1"/>
    </font>
    <font>
      <b val="true"/>
      <sz val="11"/>
      <color rgb="FF26215C"/>
      <name val="Calibri"/>
      <family val="0"/>
      <charset val="1"/>
    </font>
    <font>
      <b val="true"/>
      <sz val="10"/>
      <color rgb="FF26215C"/>
      <name val="Calibri"/>
      <family val="0"/>
      <charset val="1"/>
    </font>
    <font>
      <sz val="10"/>
      <color rgb="FF2C2C2A"/>
      <name val="Calibri"/>
      <family val="0"/>
      <charset val="1"/>
    </font>
    <font>
      <b val="true"/>
      <sz val="10"/>
      <name val="Calibri"/>
      <family val="0"/>
      <charset val="1"/>
    </font>
    <font>
      <sz val="10"/>
      <name val="Calibri"/>
      <family val="0"/>
      <charset val="1"/>
    </font>
    <font>
      <i val="true"/>
      <sz val="9"/>
      <color rgb="FF888888"/>
      <name val="Calibri"/>
      <family val="0"/>
      <charset val="1"/>
    </font>
    <font>
      <b val="true"/>
      <sz val="14"/>
      <color rgb="FF26215C"/>
      <name val="Calibri"/>
      <family val="0"/>
      <charset val="1"/>
    </font>
    <font>
      <b val="true"/>
      <sz val="10"/>
      <color rgb="FFFFFFFF"/>
      <name val="Calibri"/>
      <family val="0"/>
      <charset val="1"/>
    </font>
    <font>
      <b val="true"/>
      <sz val="9"/>
      <color rgb="FFFFFFFF"/>
      <name val="Calibri"/>
      <family val="0"/>
      <charset val="1"/>
    </font>
    <font>
      <b val="true"/>
      <sz val="9"/>
      <color rgb="FF085041"/>
      <name val="Calibri"/>
      <family val="0"/>
      <charset val="1"/>
    </font>
    <font>
      <b val="true"/>
      <sz val="9"/>
      <color rgb="FF712B13"/>
      <name val="Calibri"/>
      <family val="0"/>
      <charset val="1"/>
    </font>
    <font>
      <b val="true"/>
      <sz val="9"/>
      <color rgb="FF633806"/>
      <name val="Calibri"/>
      <family val="0"/>
      <charset val="1"/>
    </font>
    <font>
      <b val="true"/>
      <sz val="9"/>
      <color rgb="FF0C447C"/>
      <name val="Calibri"/>
      <family val="0"/>
      <charset val="1"/>
    </font>
    <font>
      <b val="true"/>
      <sz val="9"/>
      <color rgb="FF3C3489"/>
      <name val="Calibri"/>
      <family val="0"/>
      <charset val="1"/>
    </font>
    <font>
      <b val="true"/>
      <sz val="11"/>
      <color rgb="FF0C447C"/>
      <name val="Calibri"/>
      <family val="0"/>
      <charset val="1"/>
    </font>
    <font>
      <b val="true"/>
      <sz val="10"/>
      <color rgb="FF0C447C"/>
      <name val="Calibri"/>
      <family val="0"/>
      <charset val="1"/>
    </font>
    <font>
      <sz val="9"/>
      <color rgb="FF712B13"/>
      <name val="Calibri"/>
      <family val="0"/>
      <charset val="1"/>
    </font>
    <font>
      <i val="true"/>
      <sz val="9"/>
      <color rgb="FF2C2C2A"/>
      <name val="Calibri"/>
      <family val="0"/>
      <charset val="1"/>
    </font>
    <font>
      <sz val="9"/>
      <color rgb="FF2C2C2A"/>
      <name val="Calibri"/>
      <family val="0"/>
      <charset val="1"/>
    </font>
    <font>
      <sz val="9"/>
      <color rgb="FF633806"/>
      <name val="Calibri"/>
      <family val="0"/>
      <charset val="1"/>
    </font>
    <font>
      <b val="true"/>
      <sz val="11"/>
      <color rgb="FF633806"/>
      <name val="Calibri"/>
      <family val="0"/>
      <charset val="1"/>
    </font>
    <font>
      <b val="true"/>
      <sz val="10"/>
      <color rgb="FF633806"/>
      <name val="Calibri"/>
      <family val="0"/>
      <charset val="1"/>
    </font>
    <font>
      <sz val="9"/>
      <color rgb="FF085041"/>
      <name val="Calibri"/>
      <family val="0"/>
      <charset val="1"/>
    </font>
    <font>
      <b val="true"/>
      <sz val="11"/>
      <color rgb="FF3C3489"/>
      <name val="Calibri"/>
      <family val="0"/>
      <charset val="1"/>
    </font>
    <font>
      <b val="true"/>
      <sz val="10"/>
      <color rgb="FF3C3489"/>
      <name val="Calibri"/>
      <family val="0"/>
      <charset val="1"/>
    </font>
    <font>
      <sz val="9"/>
      <color rgb="FF0C447C"/>
      <name val="Calibri"/>
      <family val="0"/>
      <charset val="1"/>
    </font>
    <font>
      <b val="true"/>
      <sz val="11"/>
      <color rgb="FF085041"/>
      <name val="Calibri"/>
      <family val="0"/>
      <charset val="1"/>
    </font>
    <font>
      <b val="true"/>
      <sz val="10"/>
      <color rgb="FF085041"/>
      <name val="Calibri"/>
      <family val="0"/>
      <charset val="1"/>
    </font>
    <font>
      <sz val="9"/>
      <color rgb="FF3C3489"/>
      <name val="Calibri"/>
      <family val="0"/>
      <charset val="1"/>
    </font>
    <font>
      <b val="true"/>
      <sz val="11"/>
      <color rgb="FFCECBF6"/>
      <name val="Calibri"/>
      <family val="0"/>
      <charset val="1"/>
    </font>
    <font>
      <b val="true"/>
      <sz val="10"/>
      <color rgb="FFCECBF6"/>
      <name val="Calibri"/>
      <family val="0"/>
      <charset val="1"/>
    </font>
    <font>
      <sz val="9"/>
      <color rgb="FFCECBF6"/>
      <name val="Calibri"/>
      <family val="0"/>
      <charset val="1"/>
    </font>
    <font>
      <b val="true"/>
      <sz val="14"/>
      <color rgb="FF712B13"/>
      <name val="Calibri"/>
      <family val="0"/>
      <charset val="1"/>
    </font>
    <font>
      <b val="true"/>
      <sz val="11"/>
      <color rgb="FF1D9E75"/>
      <name val="Calibri"/>
      <family val="0"/>
      <charset val="1"/>
    </font>
    <font>
      <b val="true"/>
      <sz val="13"/>
      <color rgb="FF1D9E75"/>
      <name val="Calibri"/>
      <family val="0"/>
      <charset val="1"/>
    </font>
    <font>
      <sz val="9"/>
      <color rgb="FF888780"/>
      <name val="Calibri"/>
      <family val="0"/>
      <charset val="1"/>
    </font>
    <font>
      <b val="true"/>
      <sz val="8"/>
      <color rgb="FFFFFFFF"/>
      <name val="Calibri"/>
      <family val="0"/>
      <charset val="1"/>
    </font>
    <font>
      <sz val="9"/>
      <color rgb="FF1D9E75"/>
      <name val="Calibri"/>
      <family val="0"/>
      <charset val="1"/>
    </font>
    <font>
      <b val="true"/>
      <sz val="11"/>
      <color rgb="FF2C2C2A"/>
      <name val="Calibri"/>
      <family val="0"/>
      <charset val="1"/>
    </font>
    <font>
      <sz val="9"/>
      <color rgb="FF374151"/>
      <name val="Calibri"/>
      <family val="0"/>
      <charset val="1"/>
    </font>
    <font>
      <i val="true"/>
      <sz val="9"/>
      <color rgb="FF6B7280"/>
      <name val="Calibri"/>
      <family val="0"/>
      <charset val="1"/>
    </font>
    <font>
      <sz val="9"/>
      <color rgb="FF6B7280"/>
      <name val="Calibri"/>
      <family val="0"/>
      <charset val="1"/>
    </font>
    <font>
      <b val="true"/>
      <sz val="14"/>
      <color rgb="FF0C447C"/>
      <name val="Calibri"/>
      <family val="0"/>
      <charset val="1"/>
    </font>
    <font>
      <b val="true"/>
      <sz val="8"/>
      <color rgb="FF0C447C"/>
      <name val="Calibri"/>
      <family val="0"/>
      <charset val="1"/>
    </font>
    <font>
      <b val="true"/>
      <sz val="8"/>
      <color rgb="FF633806"/>
      <name val="Calibri"/>
      <family val="0"/>
      <charset val="1"/>
    </font>
    <font>
      <b val="true"/>
      <sz val="8"/>
      <color rgb="FF3C3489"/>
      <name val="Calibri"/>
      <family val="0"/>
      <charset val="1"/>
    </font>
    <font>
      <b val="true"/>
      <sz val="8"/>
      <color rgb="FF085041"/>
      <name val="Calibri"/>
      <family val="0"/>
      <charset val="1"/>
    </font>
    <font>
      <b val="true"/>
      <sz val="8"/>
      <color rgb="FFCECBF6"/>
      <name val="Calibri"/>
      <family val="0"/>
      <charset val="1"/>
    </font>
    <font>
      <b val="true"/>
      <sz val="10"/>
      <color rgb="FF991B1B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21">
    <fill>
      <patternFill patternType="none"/>
    </fill>
    <fill>
      <patternFill patternType="gray125"/>
    </fill>
    <fill>
      <patternFill patternType="solid">
        <fgColor rgb="FFE6F1FB"/>
        <bgColor rgb="FFEEEDFE"/>
      </patternFill>
    </fill>
    <fill>
      <patternFill patternType="solid">
        <fgColor rgb="FF26215C"/>
        <bgColor rgb="FF2C2C2A"/>
      </patternFill>
    </fill>
    <fill>
      <patternFill patternType="solid">
        <fgColor rgb="FFF8F7F4"/>
        <bgColor rgb="FFF3F4F6"/>
      </patternFill>
    </fill>
    <fill>
      <patternFill patternType="solid">
        <fgColor rgb="FFFFFFFF"/>
        <bgColor rgb="FFF8F7F4"/>
      </patternFill>
    </fill>
    <fill>
      <patternFill patternType="solid">
        <fgColor rgb="FFE1F5EE"/>
        <bgColor rgb="FFE6F1FB"/>
      </patternFill>
    </fill>
    <fill>
      <patternFill patternType="solid">
        <fgColor rgb="FFFAECE7"/>
        <bgColor rgb="FFFAEEDA"/>
      </patternFill>
    </fill>
    <fill>
      <patternFill patternType="solid">
        <fgColor rgb="FFFAEEDA"/>
        <bgColor rgb="FFFAECE7"/>
      </patternFill>
    </fill>
    <fill>
      <patternFill patternType="solid">
        <fgColor rgb="FFEEEDFE"/>
        <bgColor rgb="FFE6F1FB"/>
      </patternFill>
    </fill>
    <fill>
      <patternFill patternType="solid">
        <fgColor rgb="FF3C3489"/>
        <bgColor rgb="FF543E69"/>
      </patternFill>
    </fill>
    <fill>
      <patternFill patternType="solid">
        <fgColor rgb="FFFFF8CC"/>
        <bgColor rgb="FFFAEEDA"/>
      </patternFill>
    </fill>
    <fill>
      <patternFill patternType="solid">
        <fgColor rgb="FF085041"/>
        <bgColor rgb="FF166534"/>
      </patternFill>
    </fill>
    <fill>
      <patternFill patternType="solid">
        <fgColor rgb="FF712B13"/>
        <bgColor rgb="FF633806"/>
      </patternFill>
    </fill>
    <fill>
      <patternFill patternType="solid">
        <fgColor rgb="FF991B1B"/>
        <bgColor rgb="FF843533"/>
      </patternFill>
    </fill>
    <fill>
      <patternFill patternType="solid">
        <fgColor rgb="FFF0F8FF"/>
        <bgColor rgb="FFF3F4F6"/>
      </patternFill>
    </fill>
    <fill>
      <patternFill patternType="solid">
        <fgColor rgb="FF1D9E75"/>
        <bgColor rgb="FF4592A6"/>
      </patternFill>
    </fill>
    <fill>
      <patternFill patternType="solid">
        <fgColor rgb="FFFEE2E2"/>
        <bgColor rgb="FFFAECE7"/>
      </patternFill>
    </fill>
    <fill>
      <patternFill patternType="solid">
        <fgColor rgb="FF01696F"/>
        <bgColor rgb="FF166534"/>
      </patternFill>
    </fill>
    <fill>
      <patternFill patternType="solid">
        <fgColor rgb="FF1B3A5C"/>
        <bgColor rgb="FF344255"/>
      </patternFill>
    </fill>
    <fill>
      <patternFill patternType="solid">
        <fgColor rgb="FFF3F4F6"/>
        <bgColor rgb="FFF8F7F4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3D1C7"/>
      </left>
      <right style="thin">
        <color rgb="FFD3D1C7"/>
      </right>
      <top style="thin">
        <color rgb="FFD3D1C7"/>
      </top>
      <bottom style="thin">
        <color rgb="FFD3D1C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2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3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4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5" fillId="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6" fillId="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7" fillId="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8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9" fillId="9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0" fillId="9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1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2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3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4" fillId="9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5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6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7" fillId="1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1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0" fillId="11" borderId="1" xfId="0" applyFont="fals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9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0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2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1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2" fillId="1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3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11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15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false" applyBorder="true" applyAlignment="true" applyProtection="false">
      <alignment horizontal="left" vertical="center" textRotation="0" wrapText="true" indent="0" shrinkToFit="false"/>
      <protection locked="true" hidden="false"/>
    </xf>
    <xf numFmtId="164" fontId="45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7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1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0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1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2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3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1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9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3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0" fillId="0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4" fillId="1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4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5" fillId="18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1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5" fillId="2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45" fillId="2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45" fillId="5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45" fillId="5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>
          <bgColor rgb="FFFFD0CC"/>
        </patternFill>
      </fill>
    </dxf>
    <dxf>
      <fill>
        <patternFill>
          <bgColor rgb="FFE1F5EE"/>
        </patternFill>
      </fill>
    </dxf>
    <dxf>
      <font>
        <name val="Calibri"/>
        <charset val="1"/>
        <family val="0"/>
        <b val="1"/>
        <color rgb="FF991B1B"/>
      </font>
      <fill>
        <patternFill>
          <bgColor rgb="FFFEE2E2"/>
        </patternFill>
      </fill>
    </dxf>
    <dxf>
      <font>
        <name val="Calibri"/>
        <charset val="1"/>
        <family val="0"/>
        <b val="1"/>
        <color rgb="FF166534"/>
      </font>
      <fill>
        <patternFill>
          <bgColor rgb="FFDCFCE7"/>
        </patternFill>
      </fill>
    </dxf>
    <dxf>
      <fill>
        <patternFill>
          <bgColor rgb="FFD6E4F7"/>
        </patternFill>
      </fill>
    </dxf>
  </dxfs>
  <colors>
    <indexedColors>
      <rgbColor rgb="FF000000"/>
      <rgbColor rgb="FFFFFFFF"/>
      <rgbColor rgb="FFF0F8FF"/>
      <rgbColor rgb="FFEEEDFE"/>
      <rgbColor rgb="FF436A97"/>
      <rgbColor rgb="FFFAECE7"/>
      <rgbColor rgb="FF847F9E"/>
      <rgbColor rgb="FFAFC5DA"/>
      <rgbColor rgb="FF712B13"/>
      <rgbColor rgb="FF166534"/>
      <rgbColor rgb="FF26215C"/>
      <rgbColor rgb="FF778E45"/>
      <rgbColor rgb="FF5E6349"/>
      <rgbColor rgb="FF01696F"/>
      <rgbColor rgb="FFB3B3B3"/>
      <rgbColor rgb="FF8C857F"/>
      <rgbColor rgb="FFA5A8C8"/>
      <rgbColor rgb="FF843533"/>
      <rgbColor rgb="FFFFF8CC"/>
      <rgbColor rgb="FFDCFCE7"/>
      <rgbColor rgb="FF543E69"/>
      <rgbColor rgb="FFEE9556"/>
      <rgbColor rgb="FF0C447C"/>
      <rgbColor rgb="FFCECBF6"/>
      <rgbColor rgb="FF344255"/>
      <rgbColor rgb="FFF3F4F6"/>
      <rgbColor rgb="FFF8F7F4"/>
      <rgbColor rgb="FFD6E4F7"/>
      <rgbColor rgb="FF305A7D"/>
      <rgbColor rgb="FF935831"/>
      <rgbColor rgb="FF327689"/>
      <rgbColor rgb="FF6B7280"/>
      <rgbColor rgb="FF759DBF"/>
      <rgbColor rgb="FFE1F5EE"/>
      <rgbColor rgb="FFE6F1FB"/>
      <rgbColor rgb="FFFAEEDA"/>
      <rgbColor rgb="FF99CCFF"/>
      <rgbColor rgb="FFD3D1C7"/>
      <rgbColor rgb="FFC0938B"/>
      <rgbColor rgb="FFFFD0CC"/>
      <rgbColor rgb="FF4B7BB4"/>
      <rgbColor rgb="FF4592A6"/>
      <rgbColor rgb="FF9AB563"/>
      <rgbColor rgb="FFFEE2E2"/>
      <rgbColor rgb="FFB06B31"/>
      <rgbColor rgb="FFC6774D"/>
      <rgbColor rgb="FF6F598A"/>
      <rgbColor rgb="FF8A8D8A"/>
      <rgbColor rgb="FF1B3A5C"/>
      <rgbColor rgb="FF1D9E75"/>
      <rgbColor rgb="FF085041"/>
      <rgbColor rgb="FF633806"/>
      <rgbColor rgb="FF991B1B"/>
      <rgbColor rgb="FFA94642"/>
      <rgbColor rgb="FF3C3489"/>
      <rgbColor rgb="FF2C2C2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_rels/chart3.xml.rels><?xml version="1.0" encoding="UTF-8"?>
<Relationships xmlns="http://schemas.openxmlformats.org/package/2006/relationships"><Relationship Id="rId1" Type="http://schemas.microsoft.com/office/2011/relationships/chartStyle" Target="style3.xml"/><Relationship Id="rId2" Type="http://schemas.microsoft.com/office/2011/relationships/chartColorStyle" Target="colors3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Nivel global operativo por mesa (N0–N5)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Dashboard!$G$5</c:f>
              <c:strCache>
                <c:ptCount val="1"/>
                <c:pt idx="0">
                  <c:v>Nivel global
operativo</c:v>
                </c:pt>
              </c:strCache>
            </c:strRef>
          </c:tx>
          <c:spPr>
            <a:solidFill>
              <a:srgbClr val="4F81BD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Dashboard!$B$6:$B$13</c:f>
              <c:strCache>
                <c:ptCount val="8"/>
                <c:pt idx="0">
                  <c:v>Cotizadores</c:v>
                </c:pt>
                <c:pt idx="1">
                  <c:v>Venta Canal Digital</c:v>
                </c:pt>
                <c:pt idx="2">
                  <c:v>Torre de Control</c:v>
                </c:pt>
                <c:pt idx="3">
                  <c:v>Mesa 4</c:v>
                </c:pt>
                <c:pt idx="4">
                  <c:v>GIOTI 1</c:v>
                </c:pt>
                <c:pt idx="5">
                  <c:v>GIOTI 2</c:v>
                </c:pt>
                <c:pt idx="6">
                  <c:v>GIOTI 3</c:v>
                </c:pt>
                <c:pt idx="7">
                  <c:v>GIOTI 4</c:v>
                </c:pt>
              </c:strCache>
            </c:strRef>
          </c:cat>
          <c:val>
            <c:numRef>
              <c:f>Dashboard!$G$6:$G$13</c:f>
              <c:numCache>
                <c:formatCode>General</c:formatCode>
                <c:ptCount val="8"/>
              </c:numCache>
            </c:numRef>
          </c:val>
        </c:ser>
        <c:gapWidth val="150"/>
        <c:overlap val="0"/>
        <c:axId val="12714994"/>
        <c:axId val="64381198"/>
      </c:barChart>
      <c:catAx>
        <c:axId val="12714994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4381198"/>
        <c:crosses val="autoZero"/>
        <c:auto val="1"/>
        <c:lblAlgn val="ctr"/>
        <c:lblOffset val="100"/>
        <c:noMultiLvlLbl val="0"/>
      </c:catAx>
      <c:valAx>
        <c:axId val="64381198"/>
        <c:scaling>
          <c:orientation val="minMax"/>
          <c:max val="5"/>
          <c:min val="0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Nivel (N0=0 … N5=5)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2714994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Perfil de madurez por dimensión ITIL v5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radarChart>
        <c:radarStyle val="filled"/>
        <c:varyColors val="0"/>
        <c:ser>
          <c:idx val="0"/>
          <c:order val="0"/>
          <c:tx>
            <c:strRef>
              <c:f>"Cotizadores"</c:f>
              <c:strCache>
                <c:ptCount val="1"/>
                <c:pt idx="0">
                  <c:v>Cotizadores</c:v>
                </c:pt>
              </c:strCache>
            </c:strRef>
          </c:tx>
          <c:spPr>
            <a:gradFill>
              <a:gsLst>
                <a:gs pos="0">
                  <a:srgbClr val="2B4667"/>
                </a:gs>
                <a:gs pos="80000">
                  <a:srgbClr val="385C86"/>
                </a:gs>
                <a:gs pos="100000">
                  <a:srgbClr val="385C87"/>
                </a:gs>
              </a:gsLst>
              <a:lin ang="16200000"/>
            </a:gradFill>
            <a:ln w="0">
              <a:noFill/>
            </a:ln>
          </c:spP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multiLvlStrRef>
              <c:f>Dashboard!$I$27:$L$27</c:f>
              <c:multiLvlStrCache>
                <c:ptCount val="1"/>
                <c:lvl>
                  <c:pt idx="0">
                    <c:v>D4 · Flujos de Valor</c:v>
                  </c:pt>
                </c:lvl>
                <c:lvl>
                  <c:pt idx="0">
                    <c:v>D3 · Socios y Proveedores</c:v>
                  </c:pt>
                </c:lvl>
                <c:lvl>
                  <c:pt idx="0">
                    <c:v>D2 · Info. y Tecnología</c:v>
                  </c:pt>
                </c:lvl>
                <c:lvl>
                  <c:pt idx="0">
                    <c:v>D1 · Org. y Personas</c:v>
                  </c:pt>
                </c:lvl>
              </c:multiLvlStrCache>
            </c:multiLvlStrRef>
          </c:cat>
          <c:val>
            <c:numRef>
              <c:f>Dashboard!$I$30</c:f>
              <c:numCache>
                <c:formatCode>General</c:formatCode>
                <c:ptCount val="1"/>
              </c:numCache>
            </c:numRef>
          </c:val>
        </c:ser>
        <c:ser>
          <c:idx val="1"/>
          <c:order val="1"/>
          <c:tx>
            <c:strRef>
              <c:f>"Venta Canal Digital"</c:f>
              <c:strCache>
                <c:ptCount val="1"/>
                <c:pt idx="0">
                  <c:v>Venta Canal Digital</c:v>
                </c:pt>
              </c:strCache>
            </c:strRef>
          </c:tx>
          <c:spPr>
            <a:gradFill>
              <a:gsLst>
                <a:gs pos="0">
                  <a:srgbClr val="692C29"/>
                </a:gs>
                <a:gs pos="80000">
                  <a:srgbClr val="893936"/>
                </a:gs>
                <a:gs pos="100000">
                  <a:srgbClr val="8A3936"/>
                </a:gs>
              </a:gsLst>
              <a:lin ang="16200000"/>
            </a:gradFill>
            <a:ln w="0">
              <a:noFill/>
            </a:ln>
          </c:spP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multiLvlStrRef>
              <c:f>Dashboard!$I$27:$L$27</c:f>
              <c:multiLvlStrCache>
                <c:ptCount val="1"/>
                <c:lvl>
                  <c:pt idx="0">
                    <c:v>D4 · Flujos de Valor</c:v>
                  </c:pt>
                </c:lvl>
                <c:lvl>
                  <c:pt idx="0">
                    <c:v>D3 · Socios y Proveedores</c:v>
                  </c:pt>
                </c:lvl>
                <c:lvl>
                  <c:pt idx="0">
                    <c:v>D2 · Info. y Tecnología</c:v>
                  </c:pt>
                </c:lvl>
                <c:lvl>
                  <c:pt idx="0">
                    <c:v>D1 · Org. y Personas</c:v>
                  </c:pt>
                </c:lvl>
              </c:multiLvlStrCache>
            </c:multiLvlStrRef>
          </c:cat>
          <c:val>
            <c:numRef>
              <c:f>Dashboard!$J$30</c:f>
              <c:numCache>
                <c:formatCode>General</c:formatCode>
                <c:ptCount val="1"/>
              </c:numCache>
            </c:numRef>
          </c:val>
        </c:ser>
        <c:ser>
          <c:idx val="2"/>
          <c:order val="2"/>
          <c:tx>
            <c:strRef>
              <c:f>"Torre de Control"</c:f>
              <c:strCache>
                <c:ptCount val="1"/>
                <c:pt idx="0">
                  <c:v>Torre de Control</c:v>
                </c:pt>
              </c:strCache>
            </c:strRef>
          </c:tx>
          <c:spPr>
            <a:gradFill>
              <a:gsLst>
                <a:gs pos="0">
                  <a:srgbClr val="556630"/>
                </a:gs>
                <a:gs pos="80000">
                  <a:srgbClr val="6E853E"/>
                </a:gs>
                <a:gs pos="100000">
                  <a:srgbClr val="6E863F"/>
                </a:gs>
              </a:gsLst>
              <a:lin ang="16200000"/>
            </a:gradFill>
            <a:ln w="0">
              <a:noFill/>
            </a:ln>
          </c:spP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multiLvlStrRef>
              <c:f>Dashboard!$I$27:$L$27</c:f>
              <c:multiLvlStrCache>
                <c:ptCount val="1"/>
                <c:lvl>
                  <c:pt idx="0">
                    <c:v>D4 · Flujos de Valor</c:v>
                  </c:pt>
                </c:lvl>
                <c:lvl>
                  <c:pt idx="0">
                    <c:v>D3 · Socios y Proveedores</c:v>
                  </c:pt>
                </c:lvl>
                <c:lvl>
                  <c:pt idx="0">
                    <c:v>D2 · Info. y Tecnología</c:v>
                  </c:pt>
                </c:lvl>
                <c:lvl>
                  <c:pt idx="0">
                    <c:v>D1 · Org. y Personas</c:v>
                  </c:pt>
                </c:lvl>
              </c:multiLvlStrCache>
            </c:multiLvlStrRef>
          </c:cat>
          <c:val>
            <c:numRef>
              <c:f>Dashboard!$K$30</c:f>
              <c:numCache>
                <c:formatCode>General</c:formatCode>
                <c:ptCount val="1"/>
              </c:numCache>
            </c:numRef>
          </c:val>
        </c:ser>
        <c:ser>
          <c:idx val="3"/>
          <c:order val="3"/>
          <c:tx>
            <c:strRef>
              <c:f>"Mesa 4"</c:f>
              <c:strCache>
                <c:ptCount val="1"/>
                <c:pt idx="0">
                  <c:v>Mesa 4</c:v>
                </c:pt>
              </c:strCache>
            </c:strRef>
          </c:tx>
          <c:spPr>
            <a:gradFill>
              <a:gsLst>
                <a:gs pos="0">
                  <a:srgbClr val="463658"/>
                </a:gs>
                <a:gs pos="80000">
                  <a:srgbClr val="5B4673"/>
                </a:gs>
                <a:gs pos="100000">
                  <a:srgbClr val="5B4773"/>
                </a:gs>
              </a:gsLst>
              <a:lin ang="16200000"/>
            </a:gradFill>
            <a:ln w="0">
              <a:noFill/>
            </a:ln>
          </c:spP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multiLvlStrRef>
              <c:f>Dashboard!$I$27:$L$27</c:f>
              <c:multiLvlStrCache>
                <c:ptCount val="1"/>
                <c:lvl>
                  <c:pt idx="0">
                    <c:v>D4 · Flujos de Valor</c:v>
                  </c:pt>
                </c:lvl>
                <c:lvl>
                  <c:pt idx="0">
                    <c:v>D3 · Socios y Proveedores</c:v>
                  </c:pt>
                </c:lvl>
                <c:lvl>
                  <c:pt idx="0">
                    <c:v>D2 · Info. y Tecnología</c:v>
                  </c:pt>
                </c:lvl>
                <c:lvl>
                  <c:pt idx="0">
                    <c:v>D1 · Org. y Personas</c:v>
                  </c:pt>
                </c:lvl>
              </c:multiLvlStrCache>
            </c:multiLvlStrRef>
          </c:cat>
          <c:val>
            <c:numRef>
              <c:f>Dashboard!$L$30</c:f>
              <c:numCache>
                <c:formatCode>General</c:formatCode>
                <c:ptCount val="1"/>
              </c:numCache>
            </c:numRef>
          </c:val>
        </c:ser>
        <c:ser>
          <c:idx val="4"/>
          <c:order val="4"/>
          <c:tx>
            <c:strRef>
              <c:f>"GIOTI 1"</c:f>
              <c:strCache>
                <c:ptCount val="1"/>
                <c:pt idx="0">
                  <c:v>GIOTI 1</c:v>
                </c:pt>
              </c:strCache>
            </c:strRef>
          </c:tx>
          <c:spPr>
            <a:gradFill>
              <a:gsLst>
                <a:gs pos="0">
                  <a:srgbClr val="295E6C"/>
                </a:gs>
                <a:gs pos="80000">
                  <a:srgbClr val="357B8D"/>
                </a:gs>
                <a:gs pos="100000">
                  <a:srgbClr val="357B8E"/>
                </a:gs>
              </a:gsLst>
              <a:lin ang="16200000"/>
            </a:gradFill>
            <a:ln w="0">
              <a:noFill/>
            </a:ln>
          </c:spP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multiLvlStrRef>
              <c:f>Dashboard!$I$27:$L$27</c:f>
              <c:multiLvlStrCache>
                <c:ptCount val="1"/>
                <c:lvl>
                  <c:pt idx="0">
                    <c:v>D4 · Flujos de Valor</c:v>
                  </c:pt>
                </c:lvl>
                <c:lvl>
                  <c:pt idx="0">
                    <c:v>D3 · Socios y Proveedores</c:v>
                  </c:pt>
                </c:lvl>
                <c:lvl>
                  <c:pt idx="0">
                    <c:v>D2 · Info. y Tecnología</c:v>
                  </c:pt>
                </c:lvl>
                <c:lvl>
                  <c:pt idx="0">
                    <c:v>D1 · Org. y Personas</c:v>
                  </c:pt>
                </c:lvl>
              </c:multiLvlStrCache>
            </c:multiLvlStrRef>
          </c:cat>
          <c:val>
            <c:numRef>
              <c:f>Dashboard!$I$31</c:f>
              <c:numCache>
                <c:formatCode>General</c:formatCode>
                <c:ptCount val="1"/>
              </c:numCache>
            </c:numRef>
          </c:val>
        </c:ser>
        <c:ser>
          <c:idx val="5"/>
          <c:order val="5"/>
          <c:tx>
            <c:strRef>
              <c:f>"GIOTI 2"</c:f>
              <c:strCache>
                <c:ptCount val="1"/>
                <c:pt idx="0">
                  <c:v>GIOTI 2</c:v>
                </c:pt>
              </c:strCache>
            </c:strRef>
          </c:tx>
          <c:spPr>
            <a:gradFill>
              <a:gsLst>
                <a:gs pos="0">
                  <a:srgbClr val="875226"/>
                </a:gs>
                <a:gs pos="80000">
                  <a:srgbClr val="B06A31"/>
                </a:gs>
                <a:gs pos="100000">
                  <a:srgbClr val="B16B31"/>
                </a:gs>
              </a:gsLst>
              <a:lin ang="16200000"/>
            </a:gradFill>
            <a:ln w="0">
              <a:noFill/>
            </a:ln>
          </c:spP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multiLvlStrRef>
              <c:f>Dashboard!$I$27:$L$27</c:f>
              <c:multiLvlStrCache>
                <c:ptCount val="1"/>
                <c:lvl>
                  <c:pt idx="0">
                    <c:v>D4 · Flujos de Valor</c:v>
                  </c:pt>
                </c:lvl>
                <c:lvl>
                  <c:pt idx="0">
                    <c:v>D3 · Socios y Proveedores</c:v>
                  </c:pt>
                </c:lvl>
                <c:lvl>
                  <c:pt idx="0">
                    <c:v>D2 · Info. y Tecnología</c:v>
                  </c:pt>
                </c:lvl>
                <c:lvl>
                  <c:pt idx="0">
                    <c:v>D1 · Org. y Personas</c:v>
                  </c:pt>
                </c:lvl>
              </c:multiLvlStrCache>
            </c:multiLvlStrRef>
          </c:cat>
          <c:val>
            <c:numRef>
              <c:f>Dashboard!$J$31</c:f>
              <c:numCache>
                <c:formatCode>General</c:formatCode>
                <c:ptCount val="1"/>
              </c:numCache>
            </c:numRef>
          </c:val>
        </c:ser>
        <c:ser>
          <c:idx val="6"/>
          <c:order val="6"/>
          <c:tx>
            <c:strRef>
              <c:f>"GIOTI 3"</c:f>
              <c:strCache>
                <c:ptCount val="1"/>
                <c:pt idx="0">
                  <c:v>GIOTI 3</c:v>
                </c:pt>
              </c:strCache>
            </c:strRef>
          </c:tx>
          <c:spPr>
            <a:gradFill>
              <a:gsLst>
                <a:gs pos="0">
                  <a:srgbClr val="315278"/>
                </a:gs>
                <a:gs pos="80000">
                  <a:srgbClr val="406A9B"/>
                </a:gs>
                <a:gs pos="100000">
                  <a:srgbClr val="416B9C"/>
                </a:gs>
              </a:gsLst>
              <a:lin ang="16200000"/>
            </a:gradFill>
            <a:ln w="0">
              <a:noFill/>
            </a:ln>
          </c:spP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multiLvlStrRef>
              <c:f>Dashboard!$I$27:$L$27</c:f>
              <c:multiLvlStrCache>
                <c:ptCount val="1"/>
                <c:lvl>
                  <c:pt idx="0">
                    <c:v>D4 · Flujos de Valor</c:v>
                  </c:pt>
                </c:lvl>
                <c:lvl>
                  <c:pt idx="0">
                    <c:v>D3 · Socios y Proveedores</c:v>
                  </c:pt>
                </c:lvl>
                <c:lvl>
                  <c:pt idx="0">
                    <c:v>D2 · Info. y Tecnología</c:v>
                  </c:pt>
                </c:lvl>
                <c:lvl>
                  <c:pt idx="0">
                    <c:v>D1 · Org. y Personas</c:v>
                  </c:pt>
                </c:lvl>
              </c:multiLvlStrCache>
            </c:multiLvlStrRef>
          </c:cat>
          <c:val>
            <c:numRef>
              <c:f>Dashboard!$K$31</c:f>
              <c:numCache>
                <c:formatCode>General</c:formatCode>
                <c:ptCount val="1"/>
              </c:numCache>
            </c:numRef>
          </c:val>
        </c:ser>
        <c:ser>
          <c:idx val="7"/>
          <c:order val="7"/>
          <c:tx>
            <c:strRef>
              <c:f>"GIOTI 4"</c:f>
              <c:strCache>
                <c:ptCount val="1"/>
                <c:pt idx="0">
                  <c:v>GIOTI 4</c:v>
                </c:pt>
              </c:strCache>
            </c:strRef>
          </c:tx>
          <c:spPr>
            <a:gradFill>
              <a:gsLst>
                <a:gs pos="0">
                  <a:srgbClr val="7A3230"/>
                </a:gs>
                <a:gs pos="80000">
                  <a:srgbClr val="9E413E"/>
                </a:gs>
                <a:gs pos="100000">
                  <a:srgbClr val="9F423F"/>
                </a:gs>
              </a:gsLst>
              <a:lin ang="16200000"/>
            </a:gradFill>
            <a:ln w="0">
              <a:noFill/>
            </a:ln>
          </c:spP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multiLvlStrRef>
              <c:f>Dashboard!$I$27:$L$27</c:f>
              <c:multiLvlStrCache>
                <c:ptCount val="1"/>
                <c:lvl>
                  <c:pt idx="0">
                    <c:v>D4 · Flujos de Valor</c:v>
                  </c:pt>
                </c:lvl>
                <c:lvl>
                  <c:pt idx="0">
                    <c:v>D3 · Socios y Proveedores</c:v>
                  </c:pt>
                </c:lvl>
                <c:lvl>
                  <c:pt idx="0">
                    <c:v>D2 · Info. y Tecnología</c:v>
                  </c:pt>
                </c:lvl>
                <c:lvl>
                  <c:pt idx="0">
                    <c:v>D1 · Org. y Personas</c:v>
                  </c:pt>
                </c:lvl>
              </c:multiLvlStrCache>
            </c:multiLvlStrRef>
          </c:cat>
          <c:val>
            <c:numRef>
              <c:f>Dashboard!$L$31</c:f>
              <c:numCache>
                <c:formatCode>General</c:formatCode>
                <c:ptCount val="1"/>
              </c:numCache>
            </c:numRef>
          </c:val>
        </c:ser>
        <c:ser>
          <c:idx val="8"/>
          <c:order val="8"/>
          <c:spPr>
            <a:gradFill>
              <a:gsLst>
                <a:gs pos="0">
                  <a:srgbClr val="627738"/>
                </a:gs>
                <a:gs pos="80000">
                  <a:srgbClr val="7F9B49"/>
                </a:gs>
                <a:gs pos="100000">
                  <a:srgbClr val="809B49"/>
                </a:gs>
              </a:gsLst>
              <a:lin ang="16200000"/>
            </a:gradFill>
            <a:ln w="0">
              <a:noFill/>
            </a:ln>
          </c:spP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multiLvlStrRef>
              <c:f>Dashboard!$I$27:$L$27</c:f>
              <c:multiLvlStrCache>
                <c:ptCount val="1"/>
                <c:lvl>
                  <c:pt idx="0">
                    <c:v>D4 · Flujos de Valor</c:v>
                  </c:pt>
                </c:lvl>
                <c:lvl>
                  <c:pt idx="0">
                    <c:v>D3 · Socios y Proveedores</c:v>
                  </c:pt>
                </c:lvl>
                <c:lvl>
                  <c:pt idx="0">
                    <c:v>D2 · Info. y Tecnología</c:v>
                  </c:pt>
                </c:lvl>
                <c:lvl>
                  <c:pt idx="0">
                    <c:v>D1 · Org. y Personas</c:v>
                  </c:pt>
                </c:lvl>
              </c:multiLvlStrCache>
            </c:multiLvlStrRef>
          </c:cat>
          <c:val>
            <c:numRef>
              <c:f>Dashboard!$I$32</c:f>
              <c:numCache>
                <c:formatCode>General</c:formatCode>
                <c:ptCount val="1"/>
              </c:numCache>
            </c:numRef>
          </c:val>
        </c:ser>
        <c:ser>
          <c:idx val="9"/>
          <c:order val="9"/>
          <c:spPr>
            <a:gradFill>
              <a:gsLst>
                <a:gs pos="0">
                  <a:srgbClr val="513F66"/>
                </a:gs>
                <a:gs pos="80000">
                  <a:srgbClr val="695285"/>
                </a:gs>
                <a:gs pos="100000">
                  <a:srgbClr val="6A5286"/>
                </a:gs>
              </a:gsLst>
              <a:lin ang="16200000"/>
            </a:gradFill>
            <a:ln w="0">
              <a:noFill/>
            </a:ln>
          </c:spP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multiLvlStrRef>
              <c:f>Dashboard!$I$27:$L$27</c:f>
              <c:multiLvlStrCache>
                <c:ptCount val="1"/>
                <c:lvl>
                  <c:pt idx="0">
                    <c:v>D4 · Flujos de Valor</c:v>
                  </c:pt>
                </c:lvl>
                <c:lvl>
                  <c:pt idx="0">
                    <c:v>D3 · Socios y Proveedores</c:v>
                  </c:pt>
                </c:lvl>
                <c:lvl>
                  <c:pt idx="0">
                    <c:v>D2 · Info. y Tecnología</c:v>
                  </c:pt>
                </c:lvl>
                <c:lvl>
                  <c:pt idx="0">
                    <c:v>D1 · Org. y Personas</c:v>
                  </c:pt>
                </c:lvl>
              </c:multiLvlStrCache>
            </c:multiLvlStrRef>
          </c:cat>
          <c:val>
            <c:numRef>
              <c:f>Dashboard!$J$32</c:f>
              <c:numCache>
                <c:formatCode>General</c:formatCode>
                <c:ptCount val="1"/>
              </c:numCache>
            </c:numRef>
          </c:val>
        </c:ser>
        <c:ser>
          <c:idx val="10"/>
          <c:order val="10"/>
          <c:spPr>
            <a:gradFill>
              <a:gsLst>
                <a:gs pos="0">
                  <a:srgbClr val="2F6D7E"/>
                </a:gs>
                <a:gs pos="80000">
                  <a:srgbClr val="3E8EA3"/>
                </a:gs>
                <a:gs pos="100000">
                  <a:srgbClr val="3E8FA4"/>
                </a:gs>
              </a:gsLst>
              <a:lin ang="16200000"/>
            </a:gradFill>
            <a:ln w="0">
              <a:noFill/>
            </a:ln>
          </c:spP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multiLvlStrRef>
              <c:f>Dashboard!$I$27:$L$27</c:f>
              <c:multiLvlStrCache>
                <c:ptCount val="1"/>
                <c:lvl>
                  <c:pt idx="0">
                    <c:v>D4 · Flujos de Valor</c:v>
                  </c:pt>
                </c:lvl>
                <c:lvl>
                  <c:pt idx="0">
                    <c:v>D3 · Socios y Proveedores</c:v>
                  </c:pt>
                </c:lvl>
                <c:lvl>
                  <c:pt idx="0">
                    <c:v>D2 · Info. y Tecnología</c:v>
                  </c:pt>
                </c:lvl>
                <c:lvl>
                  <c:pt idx="0">
                    <c:v>D1 · Org. y Personas</c:v>
                  </c:pt>
                </c:lvl>
              </c:multiLvlStrCache>
            </c:multiLvlStrRef>
          </c:cat>
          <c:val>
            <c:numRef>
              <c:f>Dashboard!$K$32</c:f>
              <c:numCache>
                <c:formatCode>General</c:formatCode>
                <c:ptCount val="1"/>
              </c:numCache>
            </c:numRef>
          </c:val>
        </c:ser>
        <c:ser>
          <c:idx val="11"/>
          <c:order val="11"/>
          <c:spPr>
            <a:gradFill>
              <a:gsLst>
                <a:gs pos="0">
                  <a:srgbClr val="9D5F2C"/>
                </a:gs>
                <a:gs pos="80000">
                  <a:srgbClr val="CC7C39"/>
                </a:gs>
                <a:gs pos="100000">
                  <a:srgbClr val="CD7C39"/>
                </a:gs>
              </a:gsLst>
              <a:lin ang="16200000"/>
            </a:gradFill>
            <a:ln w="0">
              <a:noFill/>
            </a:ln>
          </c:spP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multiLvlStrRef>
              <c:f>Dashboard!$I$27:$L$27</c:f>
              <c:multiLvlStrCache>
                <c:ptCount val="1"/>
                <c:lvl>
                  <c:pt idx="0">
                    <c:v>D4 · Flujos de Valor</c:v>
                  </c:pt>
                </c:lvl>
                <c:lvl>
                  <c:pt idx="0">
                    <c:v>D3 · Socios y Proveedores</c:v>
                  </c:pt>
                </c:lvl>
                <c:lvl>
                  <c:pt idx="0">
                    <c:v>D2 · Info. y Tecnología</c:v>
                  </c:pt>
                </c:lvl>
                <c:lvl>
                  <c:pt idx="0">
                    <c:v>D1 · Org. y Personas</c:v>
                  </c:pt>
                </c:lvl>
              </c:multiLvlStrCache>
            </c:multiLvlStrRef>
          </c:cat>
          <c:val>
            <c:numRef>
              <c:f>Dashboard!$L$32</c:f>
              <c:numCache>
                <c:formatCode>General</c:formatCode>
                <c:ptCount val="1"/>
              </c:numCache>
            </c:numRef>
          </c:val>
        </c:ser>
        <c:ser>
          <c:idx val="12"/>
          <c:order val="12"/>
          <c:spPr>
            <a:gradFill>
              <a:gsLst>
                <a:gs pos="0">
                  <a:srgbClr val="375B86"/>
                </a:gs>
                <a:gs pos="80000">
                  <a:srgbClr val="4877AE"/>
                </a:gs>
                <a:gs pos="100000">
                  <a:srgbClr val="4977AF"/>
                </a:gs>
              </a:gsLst>
              <a:lin ang="16200000"/>
            </a:gradFill>
            <a:ln w="0">
              <a:noFill/>
            </a:ln>
          </c:spP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multiLvlStrRef>
              <c:f>Dashboard!$I$27:$L$27</c:f>
              <c:multiLvlStrCache>
                <c:ptCount val="1"/>
                <c:lvl>
                  <c:pt idx="0">
                    <c:v>D4 · Flujos de Valor</c:v>
                  </c:pt>
                </c:lvl>
                <c:lvl>
                  <c:pt idx="0">
                    <c:v>D3 · Socios y Proveedores</c:v>
                  </c:pt>
                </c:lvl>
                <c:lvl>
                  <c:pt idx="0">
                    <c:v>D2 · Info. y Tecnología</c:v>
                  </c:pt>
                </c:lvl>
                <c:lvl>
                  <c:pt idx="0">
                    <c:v>D1 · Org. y Personas</c:v>
                  </c:pt>
                </c:lvl>
              </c:multiLvlStrCache>
            </c:multiLvlStrRef>
          </c:cat>
          <c:val>
            <c:numRef>
              <c:f>Dashboard!$I$33</c:f>
              <c:numCache>
                <c:formatCode>General</c:formatCode>
                <c:ptCount val="1"/>
              </c:numCache>
            </c:numRef>
          </c:val>
        </c:ser>
        <c:ser>
          <c:idx val="13"/>
          <c:order val="13"/>
          <c:spPr>
            <a:gradFill>
              <a:gsLst>
                <a:gs pos="0">
                  <a:srgbClr val="883836"/>
                </a:gs>
                <a:gs pos="80000">
                  <a:srgbClr val="B14946"/>
                </a:gs>
                <a:gs pos="100000">
                  <a:srgbClr val="B24947"/>
                </a:gs>
              </a:gsLst>
              <a:lin ang="16200000"/>
            </a:gradFill>
            <a:ln w="0">
              <a:noFill/>
            </a:ln>
          </c:spP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multiLvlStrRef>
              <c:f>Dashboard!$I$27:$L$27</c:f>
              <c:multiLvlStrCache>
                <c:ptCount val="1"/>
                <c:lvl>
                  <c:pt idx="0">
                    <c:v>D4 · Flujos de Valor</c:v>
                  </c:pt>
                </c:lvl>
                <c:lvl>
                  <c:pt idx="0">
                    <c:v>D3 · Socios y Proveedores</c:v>
                  </c:pt>
                </c:lvl>
                <c:lvl>
                  <c:pt idx="0">
                    <c:v>D2 · Info. y Tecnología</c:v>
                  </c:pt>
                </c:lvl>
                <c:lvl>
                  <c:pt idx="0">
                    <c:v>D1 · Org. y Personas</c:v>
                  </c:pt>
                </c:lvl>
              </c:multiLvlStrCache>
            </c:multiLvlStrRef>
          </c:cat>
          <c:val>
            <c:numRef>
              <c:f>Dashboard!$J$33</c:f>
              <c:numCache>
                <c:formatCode>General</c:formatCode>
                <c:ptCount val="1"/>
              </c:numCache>
            </c:numRef>
          </c:val>
        </c:ser>
        <c:ser>
          <c:idx val="14"/>
          <c:order val="14"/>
          <c:spPr>
            <a:gradFill>
              <a:gsLst>
                <a:gs pos="0">
                  <a:srgbClr val="6E843F"/>
                </a:gs>
                <a:gs pos="80000">
                  <a:srgbClr val="8FAC52"/>
                </a:gs>
                <a:gs pos="100000">
                  <a:srgbClr val="90AD52"/>
                </a:gs>
              </a:gsLst>
              <a:lin ang="16200000"/>
            </a:gradFill>
            <a:ln w="0">
              <a:noFill/>
            </a:ln>
          </c:spP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multiLvlStrRef>
              <c:f>Dashboard!$I$27:$L$27</c:f>
              <c:multiLvlStrCache>
                <c:ptCount val="1"/>
                <c:lvl>
                  <c:pt idx="0">
                    <c:v>D4 · Flujos de Valor</c:v>
                  </c:pt>
                </c:lvl>
                <c:lvl>
                  <c:pt idx="0">
                    <c:v>D3 · Socios y Proveedores</c:v>
                  </c:pt>
                </c:lvl>
                <c:lvl>
                  <c:pt idx="0">
                    <c:v>D2 · Info. y Tecnología</c:v>
                  </c:pt>
                </c:lvl>
                <c:lvl>
                  <c:pt idx="0">
                    <c:v>D1 · Org. y Personas</c:v>
                  </c:pt>
                </c:lvl>
              </c:multiLvlStrCache>
            </c:multiLvlStrRef>
          </c:cat>
          <c:val>
            <c:numRef>
              <c:f>Dashboard!$K$33</c:f>
              <c:numCache>
                <c:formatCode>General</c:formatCode>
                <c:ptCount val="1"/>
              </c:numCache>
            </c:numRef>
          </c:val>
        </c:ser>
        <c:ser>
          <c:idx val="15"/>
          <c:order val="15"/>
          <c:spPr>
            <a:gradFill>
              <a:gsLst>
                <a:gs pos="0">
                  <a:srgbClr val="5B4672"/>
                </a:gs>
                <a:gs pos="80000">
                  <a:srgbClr val="765C95"/>
                </a:gs>
                <a:gs pos="100000">
                  <a:srgbClr val="765C95"/>
                </a:gs>
              </a:gsLst>
              <a:lin ang="16200000"/>
            </a:gradFill>
            <a:ln w="0">
              <a:noFill/>
            </a:ln>
          </c:spP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multiLvlStrRef>
              <c:f>Dashboard!$I$27:$L$27</c:f>
              <c:multiLvlStrCache>
                <c:ptCount val="1"/>
                <c:lvl>
                  <c:pt idx="0">
                    <c:v>D4 · Flujos de Valor</c:v>
                  </c:pt>
                </c:lvl>
                <c:lvl>
                  <c:pt idx="0">
                    <c:v>D3 · Socios y Proveedores</c:v>
                  </c:pt>
                </c:lvl>
                <c:lvl>
                  <c:pt idx="0">
                    <c:v>D2 · Info. y Tecnología</c:v>
                  </c:pt>
                </c:lvl>
                <c:lvl>
                  <c:pt idx="0">
                    <c:v>D1 · Org. y Personas</c:v>
                  </c:pt>
                </c:lvl>
              </c:multiLvlStrCache>
            </c:multiLvlStrRef>
          </c:cat>
          <c:val>
            <c:numRef>
              <c:f>Dashboard!$L$33</c:f>
              <c:numCache>
                <c:formatCode>General</c:formatCode>
                <c:ptCount val="1"/>
              </c:numCache>
            </c:numRef>
          </c:val>
        </c:ser>
        <c:ser>
          <c:idx val="16"/>
          <c:order val="16"/>
          <c:spPr>
            <a:gradFill>
              <a:gsLst>
                <a:gs pos="0">
                  <a:srgbClr val="347A8D"/>
                </a:gs>
                <a:gs pos="80000">
                  <a:srgbClr val="449EB7"/>
                </a:gs>
                <a:gs pos="100000">
                  <a:srgbClr val="459FB7"/>
                </a:gs>
              </a:gsLst>
              <a:lin ang="16200000"/>
            </a:gradFill>
            <a:ln w="0">
              <a:noFill/>
            </a:ln>
          </c:spP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multiLvlStrRef>
              <c:f>Dashboard!$I$27:$L$27</c:f>
              <c:multiLvlStrCache>
                <c:ptCount val="1"/>
                <c:lvl>
                  <c:pt idx="0">
                    <c:v>D4 · Flujos de Valor</c:v>
                  </c:pt>
                </c:lvl>
                <c:lvl>
                  <c:pt idx="0">
                    <c:v>D3 · Socios y Proveedores</c:v>
                  </c:pt>
                </c:lvl>
                <c:lvl>
                  <c:pt idx="0">
                    <c:v>D2 · Info. y Tecnología</c:v>
                  </c:pt>
                </c:lvl>
                <c:lvl>
                  <c:pt idx="0">
                    <c:v>D1 · Org. y Personas</c:v>
                  </c:pt>
                </c:lvl>
              </c:multiLvlStrCache>
            </c:multiLvlStrRef>
          </c:cat>
          <c:val>
            <c:numRef>
              <c:f>Dashboard!$I$34</c:f>
              <c:numCache>
                <c:formatCode>General</c:formatCode>
                <c:ptCount val="1"/>
              </c:numCache>
            </c:numRef>
          </c:val>
        </c:ser>
        <c:ser>
          <c:idx val="17"/>
          <c:order val="17"/>
          <c:spPr>
            <a:gradFill>
              <a:gsLst>
                <a:gs pos="0">
                  <a:srgbClr val="AF6A31"/>
                </a:gs>
                <a:gs pos="80000">
                  <a:srgbClr val="E38A3F"/>
                </a:gs>
                <a:gs pos="100000">
                  <a:srgbClr val="E48B40"/>
                </a:gs>
              </a:gsLst>
              <a:lin ang="16200000"/>
            </a:gradFill>
            <a:ln w="0">
              <a:noFill/>
            </a:ln>
          </c:spP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multiLvlStrRef>
              <c:f>Dashboard!$I$27:$L$27</c:f>
              <c:multiLvlStrCache>
                <c:ptCount val="1"/>
                <c:lvl>
                  <c:pt idx="0">
                    <c:v>D4 · Flujos de Valor</c:v>
                  </c:pt>
                </c:lvl>
                <c:lvl>
                  <c:pt idx="0">
                    <c:v>D3 · Socios y Proveedores</c:v>
                  </c:pt>
                </c:lvl>
                <c:lvl>
                  <c:pt idx="0">
                    <c:v>D2 · Info. y Tecnología</c:v>
                  </c:pt>
                </c:lvl>
                <c:lvl>
                  <c:pt idx="0">
                    <c:v>D1 · Org. y Personas</c:v>
                  </c:pt>
                </c:lvl>
              </c:multiLvlStrCache>
            </c:multiLvlStrRef>
          </c:cat>
          <c:val>
            <c:numRef>
              <c:f>Dashboard!$J$34</c:f>
              <c:numCache>
                <c:formatCode>General</c:formatCode>
                <c:ptCount val="1"/>
              </c:numCache>
            </c:numRef>
          </c:val>
        </c:ser>
        <c:ser>
          <c:idx val="18"/>
          <c:order val="18"/>
          <c:spPr>
            <a:gradFill>
              <a:gsLst>
                <a:gs pos="0">
                  <a:srgbClr val="556E92"/>
                </a:gs>
                <a:gs pos="80000">
                  <a:srgbClr val="6F8FBD"/>
                </a:gs>
                <a:gs pos="100000">
                  <a:srgbClr val="6F90BE"/>
                </a:gs>
              </a:gsLst>
              <a:lin ang="16200000"/>
            </a:gradFill>
            <a:ln w="0">
              <a:noFill/>
            </a:ln>
          </c:spP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multiLvlStrRef>
              <c:f>Dashboard!$I$27:$L$27</c:f>
              <c:multiLvlStrCache>
                <c:ptCount val="1"/>
                <c:lvl>
                  <c:pt idx="0">
                    <c:v>D4 · Flujos de Valor</c:v>
                  </c:pt>
                </c:lvl>
                <c:lvl>
                  <c:pt idx="0">
                    <c:v>D3 · Socios y Proveedores</c:v>
                  </c:pt>
                </c:lvl>
                <c:lvl>
                  <c:pt idx="0">
                    <c:v>D2 · Info. y Tecnología</c:v>
                  </c:pt>
                </c:lvl>
                <c:lvl>
                  <c:pt idx="0">
                    <c:v>D1 · Org. y Personas</c:v>
                  </c:pt>
                </c:lvl>
              </c:multiLvlStrCache>
            </c:multiLvlStrRef>
          </c:cat>
          <c:val>
            <c:numRef>
              <c:f>Dashboard!$K$34</c:f>
              <c:numCache>
                <c:formatCode>General</c:formatCode>
                <c:ptCount val="1"/>
              </c:numCache>
            </c:numRef>
          </c:val>
        </c:ser>
        <c:ser>
          <c:idx val="19"/>
          <c:order val="19"/>
          <c:spPr>
            <a:gradFill>
              <a:gsLst>
                <a:gs pos="0">
                  <a:srgbClr val="945555"/>
                </a:gs>
                <a:gs pos="80000">
                  <a:srgbClr val="C06F6E"/>
                </a:gs>
                <a:gs pos="100000">
                  <a:srgbClr val="C16F6E"/>
                </a:gs>
              </a:gsLst>
              <a:lin ang="16200000"/>
            </a:gradFill>
            <a:ln w="0">
              <a:noFill/>
            </a:ln>
          </c:spP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multiLvlStrRef>
              <c:f>Dashboard!$I$27:$L$27</c:f>
              <c:multiLvlStrCache>
                <c:ptCount val="1"/>
                <c:lvl>
                  <c:pt idx="0">
                    <c:v>D4 · Flujos de Valor</c:v>
                  </c:pt>
                </c:lvl>
                <c:lvl>
                  <c:pt idx="0">
                    <c:v>D3 · Socios y Proveedores</c:v>
                  </c:pt>
                </c:lvl>
                <c:lvl>
                  <c:pt idx="0">
                    <c:v>D2 · Info. y Tecnología</c:v>
                  </c:pt>
                </c:lvl>
                <c:lvl>
                  <c:pt idx="0">
                    <c:v>D1 · Org. y Personas</c:v>
                  </c:pt>
                </c:lvl>
              </c:multiLvlStrCache>
            </c:multiLvlStrRef>
          </c:cat>
          <c:val>
            <c:numRef>
              <c:f>Dashboard!$L$34</c:f>
              <c:numCache>
                <c:formatCode>General</c:formatCode>
                <c:ptCount val="1"/>
              </c:numCache>
            </c:numRef>
          </c:val>
        </c:ser>
        <c:ser>
          <c:idx val="20"/>
          <c:order val="20"/>
          <c:spPr>
            <a:gradFill>
              <a:gsLst>
                <a:gs pos="0">
                  <a:srgbClr val="7D9159"/>
                </a:gs>
                <a:gs pos="80000">
                  <a:srgbClr val="A2BC74"/>
                </a:gs>
                <a:gs pos="100000">
                  <a:srgbClr val="A3BD74"/>
                </a:gs>
              </a:gsLst>
              <a:lin ang="16200000"/>
            </a:gradFill>
            <a:ln w="0">
              <a:noFill/>
            </a:ln>
          </c:spP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multiLvlStrRef>
              <c:f>Dashboard!$I$27:$L$27</c:f>
              <c:multiLvlStrCache>
                <c:ptCount val="1"/>
                <c:lvl>
                  <c:pt idx="0">
                    <c:v>D4 · Flujos de Valor</c:v>
                  </c:pt>
                </c:lvl>
                <c:lvl>
                  <c:pt idx="0">
                    <c:v>D3 · Socios y Proveedores</c:v>
                  </c:pt>
                </c:lvl>
                <c:lvl>
                  <c:pt idx="0">
                    <c:v>D2 · Info. y Tecnología</c:v>
                  </c:pt>
                </c:lvl>
                <c:lvl>
                  <c:pt idx="0">
                    <c:v>D1 · Org. y Personas</c:v>
                  </c:pt>
                </c:lvl>
              </c:multiLvlStrCache>
            </c:multiLvlStrRef>
          </c:cat>
          <c:val>
            <c:numRef>
              <c:f>Dashboard!$I$35</c:f>
              <c:numCache>
                <c:formatCode>General</c:formatCode>
                <c:ptCount val="1"/>
              </c:numCache>
            </c:numRef>
          </c:val>
        </c:ser>
        <c:ser>
          <c:idx val="21"/>
          <c:order val="21"/>
          <c:spPr>
            <a:gradFill>
              <a:gsLst>
                <a:gs pos="0">
                  <a:srgbClr val="6D5E81"/>
                </a:gs>
                <a:gs pos="80000">
                  <a:srgbClr val="8E7BA8"/>
                </a:gs>
                <a:gs pos="100000">
                  <a:srgbClr val="8F7BA9"/>
                </a:gs>
              </a:gsLst>
              <a:lin ang="16200000"/>
            </a:gradFill>
            <a:ln w="0">
              <a:noFill/>
            </a:ln>
          </c:spP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multiLvlStrRef>
              <c:f>Dashboard!$I$27:$L$27</c:f>
              <c:multiLvlStrCache>
                <c:ptCount val="1"/>
                <c:lvl>
                  <c:pt idx="0">
                    <c:v>D4 · Flujos de Valor</c:v>
                  </c:pt>
                </c:lvl>
                <c:lvl>
                  <c:pt idx="0">
                    <c:v>D3 · Socios y Proveedores</c:v>
                  </c:pt>
                </c:lvl>
                <c:lvl>
                  <c:pt idx="0">
                    <c:v>D2 · Info. y Tecnología</c:v>
                  </c:pt>
                </c:lvl>
                <c:lvl>
                  <c:pt idx="0">
                    <c:v>D1 · Org. y Personas</c:v>
                  </c:pt>
                </c:lvl>
              </c:multiLvlStrCache>
            </c:multiLvlStrRef>
          </c:cat>
          <c:val>
            <c:numRef>
              <c:f>Dashboard!$J$35</c:f>
              <c:numCache>
                <c:formatCode>General</c:formatCode>
                <c:ptCount val="1"/>
              </c:numCache>
            </c:numRef>
          </c:val>
        </c:ser>
        <c:ser>
          <c:idx val="22"/>
          <c:order val="22"/>
          <c:spPr>
            <a:gradFill>
              <a:gsLst>
                <a:gs pos="0">
                  <a:srgbClr val="548798"/>
                </a:gs>
                <a:gs pos="80000">
                  <a:srgbClr val="6DB0C5"/>
                </a:gs>
                <a:gs pos="100000">
                  <a:srgbClr val="6DB1C6"/>
                </a:gs>
              </a:gsLst>
              <a:lin ang="16200000"/>
            </a:gradFill>
            <a:ln w="0">
              <a:noFill/>
            </a:ln>
          </c:spP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multiLvlStrRef>
              <c:f>Dashboard!$I$27:$L$27</c:f>
              <c:multiLvlStrCache>
                <c:ptCount val="1"/>
                <c:lvl>
                  <c:pt idx="0">
                    <c:v>D4 · Flujos de Valor</c:v>
                  </c:pt>
                </c:lvl>
                <c:lvl>
                  <c:pt idx="0">
                    <c:v>D3 · Socios y Proveedores</c:v>
                  </c:pt>
                </c:lvl>
                <c:lvl>
                  <c:pt idx="0">
                    <c:v>D2 · Info. y Tecnología</c:v>
                  </c:pt>
                </c:lvl>
                <c:lvl>
                  <c:pt idx="0">
                    <c:v>D1 · Org. y Personas</c:v>
                  </c:pt>
                </c:lvl>
              </c:multiLvlStrCache>
            </c:multiLvlStrRef>
          </c:cat>
          <c:val>
            <c:numRef>
              <c:f>Dashboard!$K$35</c:f>
              <c:numCache>
                <c:formatCode>General</c:formatCode>
                <c:ptCount val="1"/>
              </c:numCache>
            </c:numRef>
          </c:val>
        </c:ser>
        <c:ser>
          <c:idx val="23"/>
          <c:order val="23"/>
          <c:spPr>
            <a:gradFill>
              <a:gsLst>
                <a:gs pos="0">
                  <a:srgbClr val="B87A52"/>
                </a:gs>
                <a:gs pos="80000">
                  <a:srgbClr val="EF9E6A"/>
                </a:gs>
                <a:gs pos="100000">
                  <a:srgbClr val="F09F6B"/>
                </a:gs>
              </a:gsLst>
              <a:lin ang="16200000"/>
            </a:gradFill>
            <a:ln w="0">
              <a:noFill/>
            </a:ln>
          </c:spP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multiLvlStrRef>
              <c:f>Dashboard!$I$27:$L$27</c:f>
              <c:multiLvlStrCache>
                <c:ptCount val="1"/>
                <c:lvl>
                  <c:pt idx="0">
                    <c:v>D4 · Flujos de Valor</c:v>
                  </c:pt>
                </c:lvl>
                <c:lvl>
                  <c:pt idx="0">
                    <c:v>D3 · Socios y Proveedores</c:v>
                  </c:pt>
                </c:lvl>
                <c:lvl>
                  <c:pt idx="0">
                    <c:v>D2 · Info. y Tecnología</c:v>
                  </c:pt>
                </c:lvl>
                <c:lvl>
                  <c:pt idx="0">
                    <c:v>D1 · Org. y Personas</c:v>
                  </c:pt>
                </c:lvl>
              </c:multiLvlStrCache>
            </c:multiLvlStrRef>
          </c:cat>
          <c:val>
            <c:numRef>
              <c:f>Dashboard!$L$35</c:f>
              <c:numCache>
                <c:formatCode>General</c:formatCode>
                <c:ptCount val="1"/>
              </c:numCache>
            </c:numRef>
          </c:val>
        </c:ser>
        <c:ser>
          <c:idx val="24"/>
          <c:order val="24"/>
          <c:spPr>
            <a:gradFill>
              <a:gsLst>
                <a:gs pos="0">
                  <a:srgbClr val="78859D"/>
                </a:gs>
                <a:gs pos="80000">
                  <a:srgbClr val="9BADCC"/>
                </a:gs>
                <a:gs pos="100000">
                  <a:srgbClr val="9CAECD"/>
                </a:gs>
              </a:gsLst>
              <a:lin ang="16200000"/>
            </a:gradFill>
            <a:ln w="0">
              <a:noFill/>
            </a:ln>
          </c:spP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multiLvlStrRef>
              <c:f>Dashboard!$I$27:$L$27</c:f>
              <c:multiLvlStrCache>
                <c:ptCount val="1"/>
                <c:lvl>
                  <c:pt idx="0">
                    <c:v>D4 · Flujos de Valor</c:v>
                  </c:pt>
                </c:lvl>
                <c:lvl>
                  <c:pt idx="0">
                    <c:v>D3 · Socios y Proveedores</c:v>
                  </c:pt>
                </c:lvl>
                <c:lvl>
                  <c:pt idx="0">
                    <c:v>D2 · Info. y Tecnología</c:v>
                  </c:pt>
                </c:lvl>
                <c:lvl>
                  <c:pt idx="0">
                    <c:v>D1 · Org. y Personas</c:v>
                  </c:pt>
                </c:lvl>
              </c:multiLvlStrCache>
            </c:multiLvlStrRef>
          </c:cat>
          <c:val>
            <c:numRef>
              <c:f>Dashboard!$I$36</c:f>
              <c:numCache>
                <c:formatCode>General</c:formatCode>
                <c:ptCount val="1"/>
              </c:numCache>
            </c:numRef>
          </c:val>
        </c:ser>
        <c:ser>
          <c:idx val="25"/>
          <c:order val="25"/>
          <c:spPr>
            <a:gradFill>
              <a:gsLst>
                <a:gs pos="0">
                  <a:srgbClr val="9E7877"/>
                </a:gs>
                <a:gs pos="80000">
                  <a:srgbClr val="CE9B9B"/>
                </a:gs>
                <a:gs pos="100000">
                  <a:srgbClr val="CF9C9B"/>
                </a:gs>
              </a:gsLst>
              <a:lin ang="16200000"/>
            </a:gradFill>
            <a:ln w="0">
              <a:noFill/>
            </a:ln>
          </c:spP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multiLvlStrRef>
              <c:f>Dashboard!$I$27:$L$27</c:f>
              <c:multiLvlStrCache>
                <c:ptCount val="1"/>
                <c:lvl>
                  <c:pt idx="0">
                    <c:v>D4 · Flujos de Valor</c:v>
                  </c:pt>
                </c:lvl>
                <c:lvl>
                  <c:pt idx="0">
                    <c:v>D3 · Socios y Proveedores</c:v>
                  </c:pt>
                </c:lvl>
                <c:lvl>
                  <c:pt idx="0">
                    <c:v>D2 · Info. y Tecnología</c:v>
                  </c:pt>
                </c:lvl>
                <c:lvl>
                  <c:pt idx="0">
                    <c:v>D1 · Org. y Personas</c:v>
                  </c:pt>
                </c:lvl>
              </c:multiLvlStrCache>
            </c:multiLvlStrRef>
          </c:cat>
          <c:val>
            <c:numRef>
              <c:f>Dashboard!$J$36</c:f>
              <c:numCache>
                <c:formatCode>General</c:formatCode>
                <c:ptCount val="1"/>
              </c:numCache>
            </c:numRef>
          </c:val>
        </c:ser>
        <c:ser>
          <c:idx val="26"/>
          <c:order val="26"/>
          <c:spPr>
            <a:gradFill>
              <a:gsLst>
                <a:gs pos="0">
                  <a:srgbClr val="8F9C79"/>
                </a:gs>
                <a:gs pos="80000">
                  <a:srgbClr val="BACB9D"/>
                </a:gs>
                <a:gs pos="100000">
                  <a:srgbClr val="BACC9E"/>
                </a:gs>
              </a:gsLst>
              <a:lin ang="16200000"/>
            </a:gradFill>
            <a:ln w="0">
              <a:noFill/>
            </a:ln>
          </c:spP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multiLvlStrRef>
              <c:f>Dashboard!$I$27:$L$27</c:f>
              <c:multiLvlStrCache>
                <c:ptCount val="1"/>
                <c:lvl>
                  <c:pt idx="0">
                    <c:v>D4 · Flujos de Valor</c:v>
                  </c:pt>
                </c:lvl>
                <c:lvl>
                  <c:pt idx="0">
                    <c:v>D3 · Socios y Proveedores</c:v>
                  </c:pt>
                </c:lvl>
                <c:lvl>
                  <c:pt idx="0">
                    <c:v>D2 · Info. y Tecnología</c:v>
                  </c:pt>
                </c:lvl>
                <c:lvl>
                  <c:pt idx="0">
                    <c:v>D1 · Org. y Personas</c:v>
                  </c:pt>
                </c:lvl>
              </c:multiLvlStrCache>
            </c:multiLvlStrRef>
          </c:cat>
          <c:val>
            <c:numRef>
              <c:f>Dashboard!$K$36</c:f>
              <c:numCache>
                <c:formatCode>General</c:formatCode>
                <c:ptCount val="1"/>
              </c:numCache>
            </c:numRef>
          </c:val>
        </c:ser>
        <c:ser>
          <c:idx val="27"/>
          <c:order val="27"/>
          <c:spPr>
            <a:gradFill>
              <a:gsLst>
                <a:gs pos="0">
                  <a:srgbClr val="857C92"/>
                </a:gs>
                <a:gs pos="80000">
                  <a:srgbClr val="ADA1BD"/>
                </a:gs>
                <a:gs pos="100000">
                  <a:srgbClr val="AEA2BE"/>
                </a:gs>
              </a:gsLst>
              <a:lin ang="16200000"/>
            </a:gradFill>
            <a:ln w="0">
              <a:noFill/>
            </a:ln>
          </c:spP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multiLvlStrRef>
              <c:f>Dashboard!$I$27:$L$27</c:f>
              <c:multiLvlStrCache>
                <c:ptCount val="1"/>
                <c:lvl>
                  <c:pt idx="0">
                    <c:v>D4 · Flujos de Valor</c:v>
                  </c:pt>
                </c:lvl>
                <c:lvl>
                  <c:pt idx="0">
                    <c:v>D3 · Socios y Proveedores</c:v>
                  </c:pt>
                </c:lvl>
                <c:lvl>
                  <c:pt idx="0">
                    <c:v>D2 · Info. y Tecnología</c:v>
                  </c:pt>
                </c:lvl>
                <c:lvl>
                  <c:pt idx="0">
                    <c:v>D1 · Org. y Personas</c:v>
                  </c:pt>
                </c:lvl>
              </c:multiLvlStrCache>
            </c:multiLvlStrRef>
          </c:cat>
          <c:val>
            <c:numRef>
              <c:f>Dashboard!$L$36</c:f>
              <c:numCache>
                <c:formatCode>General</c:formatCode>
                <c:ptCount val="1"/>
              </c:numCache>
            </c:numRef>
          </c:val>
        </c:ser>
        <c:ser>
          <c:idx val="28"/>
          <c:order val="28"/>
          <c:spPr>
            <a:gradFill>
              <a:gsLst>
                <a:gs pos="0">
                  <a:srgbClr val="7695A1"/>
                </a:gs>
                <a:gs pos="80000">
                  <a:srgbClr val="9AC2D2"/>
                </a:gs>
                <a:gs pos="100000">
                  <a:srgbClr val="9AC3D3"/>
                </a:gs>
              </a:gsLst>
              <a:lin ang="16200000"/>
            </a:gradFill>
            <a:ln w="0">
              <a:noFill/>
            </a:ln>
          </c:spP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multiLvlStrRef>
              <c:f>Dashboard!$I$27:$L$27</c:f>
              <c:multiLvlStrCache>
                <c:ptCount val="1"/>
                <c:lvl>
                  <c:pt idx="0">
                    <c:v>D4 · Flujos de Valor</c:v>
                  </c:pt>
                </c:lvl>
                <c:lvl>
                  <c:pt idx="0">
                    <c:v>D3 · Socios y Proveedores</c:v>
                  </c:pt>
                </c:lvl>
                <c:lvl>
                  <c:pt idx="0">
                    <c:v>D2 · Info. y Tecnología</c:v>
                  </c:pt>
                </c:lvl>
                <c:lvl>
                  <c:pt idx="0">
                    <c:v>D1 · Org. y Personas</c:v>
                  </c:pt>
                </c:lvl>
              </c:multiLvlStrCache>
            </c:multiLvlStrRef>
          </c:cat>
          <c:val>
            <c:numRef>
              <c:f>Dashboard!$I$37</c:f>
              <c:numCache>
                <c:formatCode>General</c:formatCode>
                <c:ptCount val="1"/>
              </c:numCache>
            </c:numRef>
          </c:val>
        </c:ser>
        <c:ser>
          <c:idx val="29"/>
          <c:order val="29"/>
          <c:spPr>
            <a:gradFill>
              <a:gsLst>
                <a:gs pos="0">
                  <a:srgbClr val="B98D75"/>
                </a:gs>
                <a:gs pos="80000">
                  <a:srgbClr val="F1B799"/>
                </a:gs>
                <a:gs pos="100000">
                  <a:srgbClr val="F2B799"/>
                </a:gs>
              </a:gsLst>
              <a:lin ang="16200000"/>
            </a:gradFill>
            <a:ln w="0">
              <a:noFill/>
            </a:ln>
          </c:spP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multiLvlStrRef>
              <c:f>Dashboard!$I$27:$L$27</c:f>
              <c:multiLvlStrCache>
                <c:ptCount val="1"/>
                <c:lvl>
                  <c:pt idx="0">
                    <c:v>D4 · Flujos de Valor</c:v>
                  </c:pt>
                </c:lvl>
                <c:lvl>
                  <c:pt idx="0">
                    <c:v>D3 · Socios y Proveedores</c:v>
                  </c:pt>
                </c:lvl>
                <c:lvl>
                  <c:pt idx="0">
                    <c:v>D2 · Info. y Tecnología</c:v>
                  </c:pt>
                </c:lvl>
                <c:lvl>
                  <c:pt idx="0">
                    <c:v>D1 · Org. y Personas</c:v>
                  </c:pt>
                </c:lvl>
              </c:multiLvlStrCache>
            </c:multiLvlStrRef>
          </c:cat>
          <c:val>
            <c:numRef>
              <c:f>Dashboard!$J$37</c:f>
              <c:numCache>
                <c:formatCode>General</c:formatCode>
                <c:ptCount val="1"/>
              </c:numCache>
            </c:numRef>
          </c:val>
        </c:ser>
        <c:ser>
          <c:idx val="30"/>
          <c:order val="30"/>
          <c:spPr>
            <a:gradFill>
              <a:gsLst>
                <a:gs pos="0">
                  <a:srgbClr val="9098A7"/>
                </a:gs>
                <a:gs pos="80000">
                  <a:srgbClr val="BBC5DA"/>
                </a:gs>
                <a:gs pos="100000">
                  <a:srgbClr val="BCC6DB"/>
                </a:gs>
              </a:gsLst>
              <a:lin ang="16200000"/>
            </a:gradFill>
            <a:ln w="0">
              <a:noFill/>
            </a:ln>
          </c:spP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multiLvlStrRef>
              <c:f>Dashboard!$I$27:$L$27</c:f>
              <c:multiLvlStrCache>
                <c:ptCount val="1"/>
                <c:lvl>
                  <c:pt idx="0">
                    <c:v>D4 · Flujos de Valor</c:v>
                  </c:pt>
                </c:lvl>
                <c:lvl>
                  <c:pt idx="0">
                    <c:v>D3 · Socios y Proveedores</c:v>
                  </c:pt>
                </c:lvl>
                <c:lvl>
                  <c:pt idx="0">
                    <c:v>D2 · Info. y Tecnología</c:v>
                  </c:pt>
                </c:lvl>
                <c:lvl>
                  <c:pt idx="0">
                    <c:v>D1 · Org. y Personas</c:v>
                  </c:pt>
                </c:lvl>
              </c:multiLvlStrCache>
            </c:multiLvlStrRef>
          </c:cat>
          <c:val>
            <c:numRef>
              <c:f>Dashboard!$K$37</c:f>
              <c:numCache>
                <c:formatCode>General</c:formatCode>
                <c:ptCount val="1"/>
              </c:numCache>
            </c:numRef>
          </c:val>
        </c:ser>
        <c:ser>
          <c:idx val="31"/>
          <c:order val="31"/>
          <c:spPr>
            <a:gradFill>
              <a:gsLst>
                <a:gs pos="0">
                  <a:srgbClr val="A89090"/>
                </a:gs>
                <a:gs pos="80000">
                  <a:srgbClr val="DABBBB"/>
                </a:gs>
                <a:gs pos="100000">
                  <a:srgbClr val="DBBCBB"/>
                </a:gs>
              </a:gsLst>
              <a:lin ang="16200000"/>
            </a:gradFill>
            <a:ln w="0">
              <a:noFill/>
            </a:ln>
          </c:spP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multiLvlStrRef>
              <c:f>Dashboard!$I$27:$L$27</c:f>
              <c:multiLvlStrCache>
                <c:ptCount val="1"/>
                <c:lvl>
                  <c:pt idx="0">
                    <c:v>D4 · Flujos de Valor</c:v>
                  </c:pt>
                </c:lvl>
                <c:lvl>
                  <c:pt idx="0">
                    <c:v>D3 · Socios y Proveedores</c:v>
                  </c:pt>
                </c:lvl>
                <c:lvl>
                  <c:pt idx="0">
                    <c:v>D2 · Info. y Tecnología</c:v>
                  </c:pt>
                </c:lvl>
                <c:lvl>
                  <c:pt idx="0">
                    <c:v>D1 · Org. y Personas</c:v>
                  </c:pt>
                </c:lvl>
              </c:multiLvlStrCache>
            </c:multiLvlStrRef>
          </c:cat>
          <c:val>
            <c:numRef>
              <c:f>Dashboard!$L$37</c:f>
              <c:numCache>
                <c:formatCode>General</c:formatCode>
                <c:ptCount val="1"/>
              </c:numCache>
            </c:numRef>
          </c:val>
        </c:ser>
        <c:axId val="74124397"/>
        <c:axId val="83898185"/>
      </c:radarChart>
      <c:catAx>
        <c:axId val="74124397"/>
        <c:scaling>
          <c:orientation val="maxMin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3898185"/>
        <c:crosses val="autoZero"/>
        <c:auto val="1"/>
        <c:lblAlgn val="ctr"/>
        <c:lblOffset val="100"/>
        <c:noMultiLvlLbl val="0"/>
      </c:catAx>
      <c:valAx>
        <c:axId val="83898185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4124397"/>
        <c:crosses val="autoZero"/>
        <c:crossBetween val="midCat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Nivel por dimensión — comparativo entre mesas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"D1 · Org. y Personas"</c:f>
              <c:strCache>
                <c:ptCount val="1"/>
                <c:pt idx="0">
                  <c:v>D1 · Org. y Personas</c:v>
                </c:pt>
              </c:strCache>
            </c:strRef>
          </c:tx>
          <c:spPr>
            <a:solidFill>
              <a:srgbClr val="3E6595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Dashboard!$H$30:$H$37</c:f>
              <c:strCache>
                <c:ptCount val="8"/>
                <c:pt idx="0">
                  <c:v>Cotizadores</c:v>
                </c:pt>
                <c:pt idx="1">
                  <c:v>Venta Canal Digital</c:v>
                </c:pt>
                <c:pt idx="2">
                  <c:v>Torre de Control</c:v>
                </c:pt>
                <c:pt idx="3">
                  <c:v>Mesa 4</c:v>
                </c:pt>
                <c:pt idx="4">
                  <c:v>GIOTI 1</c:v>
                </c:pt>
                <c:pt idx="5">
                  <c:v>GIOTI 2</c:v>
                </c:pt>
                <c:pt idx="6">
                  <c:v>GIOTI 3</c:v>
                </c:pt>
                <c:pt idx="7">
                  <c:v>GIOTI 4</c:v>
                </c:pt>
              </c:strCache>
            </c:strRef>
          </c:cat>
          <c:val>
            <c:numRef>
              <c:f>Dashboard!$I$30:$I$37</c:f>
              <c:numCache>
                <c:formatCode>General</c:formatCode>
                <c:ptCount val="8"/>
              </c:numCache>
            </c:numRef>
          </c:val>
        </c:ser>
        <c:ser>
          <c:idx val="1"/>
          <c:order val="1"/>
          <c:tx>
            <c:strRef>
              <c:f>"D2 · Info. y Tecnología"</c:f>
              <c:strCache>
                <c:ptCount val="1"/>
                <c:pt idx="0">
                  <c:v>D2 · Info. y Tecnología</c:v>
                </c:pt>
              </c:strCache>
            </c:strRef>
          </c:tx>
          <c:spPr>
            <a:solidFill>
              <a:srgbClr val="4978B1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Dashboard!$H$30:$H$37</c:f>
              <c:strCache>
                <c:ptCount val="8"/>
                <c:pt idx="0">
                  <c:v>Cotizadores</c:v>
                </c:pt>
                <c:pt idx="1">
                  <c:v>Venta Canal Digital</c:v>
                </c:pt>
                <c:pt idx="2">
                  <c:v>Torre de Control</c:v>
                </c:pt>
                <c:pt idx="3">
                  <c:v>Mesa 4</c:v>
                </c:pt>
                <c:pt idx="4">
                  <c:v>GIOTI 1</c:v>
                </c:pt>
                <c:pt idx="5">
                  <c:v>GIOTI 2</c:v>
                </c:pt>
                <c:pt idx="6">
                  <c:v>GIOTI 3</c:v>
                </c:pt>
                <c:pt idx="7">
                  <c:v>GIOTI 4</c:v>
                </c:pt>
              </c:strCache>
            </c:strRef>
          </c:cat>
          <c:val>
            <c:numRef>
              <c:f>Dashboard!$J$30:$J$37</c:f>
              <c:numCache>
                <c:formatCode>General</c:formatCode>
                <c:ptCount val="8"/>
              </c:numCache>
            </c:numRef>
          </c:val>
        </c:ser>
        <c:ser>
          <c:idx val="2"/>
          <c:order val="2"/>
          <c:tx>
            <c:strRef>
              <c:f>"D3 · Socios y Proveedores"</c:f>
              <c:strCache>
                <c:ptCount val="1"/>
                <c:pt idx="0">
                  <c:v>D3 · Socios y Proveedores</c:v>
                </c:pt>
              </c:strCache>
            </c:strRef>
          </c:tx>
          <c:spPr>
            <a:solidFill>
              <a:srgbClr val="7E9BC7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Dashboard!$H$30:$H$37</c:f>
              <c:strCache>
                <c:ptCount val="8"/>
                <c:pt idx="0">
                  <c:v>Cotizadores</c:v>
                </c:pt>
                <c:pt idx="1">
                  <c:v>Venta Canal Digital</c:v>
                </c:pt>
                <c:pt idx="2">
                  <c:v>Torre de Control</c:v>
                </c:pt>
                <c:pt idx="3">
                  <c:v>Mesa 4</c:v>
                </c:pt>
                <c:pt idx="4">
                  <c:v>GIOTI 1</c:v>
                </c:pt>
                <c:pt idx="5">
                  <c:v>GIOTI 2</c:v>
                </c:pt>
                <c:pt idx="6">
                  <c:v>GIOTI 3</c:v>
                </c:pt>
                <c:pt idx="7">
                  <c:v>GIOTI 4</c:v>
                </c:pt>
              </c:strCache>
            </c:strRef>
          </c:cat>
          <c:val>
            <c:numRef>
              <c:f>Dashboard!$K$30:$K$37</c:f>
              <c:numCache>
                <c:formatCode>General</c:formatCode>
                <c:ptCount val="8"/>
              </c:numCache>
            </c:numRef>
          </c:val>
        </c:ser>
        <c:ser>
          <c:idx val="3"/>
          <c:order val="3"/>
          <c:tx>
            <c:strRef>
              <c:f>"D4 · Flujos de Valor"</c:f>
              <c:strCache>
                <c:ptCount val="1"/>
                <c:pt idx="0">
                  <c:v>D4 · Flujos de Valor</c:v>
                </c:pt>
              </c:strCache>
            </c:strRef>
          </c:tx>
          <c:spPr>
            <a:solidFill>
              <a:srgbClr val="B5C3DB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Dashboard!$H$30:$H$37</c:f>
              <c:strCache>
                <c:ptCount val="8"/>
                <c:pt idx="0">
                  <c:v>Cotizadores</c:v>
                </c:pt>
                <c:pt idx="1">
                  <c:v>Venta Canal Digital</c:v>
                </c:pt>
                <c:pt idx="2">
                  <c:v>Torre de Control</c:v>
                </c:pt>
                <c:pt idx="3">
                  <c:v>Mesa 4</c:v>
                </c:pt>
                <c:pt idx="4">
                  <c:v>GIOTI 1</c:v>
                </c:pt>
                <c:pt idx="5">
                  <c:v>GIOTI 2</c:v>
                </c:pt>
                <c:pt idx="6">
                  <c:v>GIOTI 3</c:v>
                </c:pt>
                <c:pt idx="7">
                  <c:v>GIOTI 4</c:v>
                </c:pt>
              </c:strCache>
            </c:strRef>
          </c:cat>
          <c:val>
            <c:numRef>
              <c:f>Dashboard!$L$30:$L$37</c:f>
              <c:numCache>
                <c:formatCode>General</c:formatCode>
                <c:ptCount val="8"/>
              </c:numCache>
            </c:numRef>
          </c:val>
        </c:ser>
        <c:gapWidth val="150"/>
        <c:overlap val="0"/>
        <c:axId val="17271296"/>
        <c:axId val="38092891"/>
      </c:barChart>
      <c:catAx>
        <c:axId val="1727129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8092891"/>
        <c:crosses val="autoZero"/>
        <c:auto val="1"/>
        <c:lblAlgn val="ctr"/>
        <c:lblOffset val="100"/>
        <c:noMultiLvlLbl val="0"/>
      </c:catAx>
      <c:valAx>
        <c:axId val="38092891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7271296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15</xdr:row>
      <xdr:rowOff>0</xdr:rowOff>
    </xdr:from>
    <xdr:to>
      <xdr:col>8</xdr:col>
      <xdr:colOff>729000</xdr:colOff>
      <xdr:row>41</xdr:row>
      <xdr:rowOff>85320</xdr:rowOff>
    </xdr:to>
    <xdr:graphicFrame>
      <xdr:nvGraphicFramePr>
        <xdr:cNvPr id="1" name="Chart 1"/>
        <xdr:cNvGraphicFramePr/>
      </xdr:nvGraphicFramePr>
      <xdr:xfrm>
        <a:off x="141120" y="4133880"/>
        <a:ext cx="7918200" cy="5047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0</xdr:colOff>
      <xdr:row>34</xdr:row>
      <xdr:rowOff>0</xdr:rowOff>
    </xdr:from>
    <xdr:to>
      <xdr:col>7</xdr:col>
      <xdr:colOff>205200</xdr:colOff>
      <xdr:row>60</xdr:row>
      <xdr:rowOff>85320</xdr:rowOff>
    </xdr:to>
    <xdr:graphicFrame>
      <xdr:nvGraphicFramePr>
        <xdr:cNvPr id="2" name="Chart 2"/>
        <xdr:cNvGraphicFramePr/>
      </xdr:nvGraphicFramePr>
      <xdr:xfrm>
        <a:off x="141120" y="7639200"/>
        <a:ext cx="6478200" cy="66002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23</xdr:col>
      <xdr:colOff>0</xdr:colOff>
      <xdr:row>15</xdr:row>
      <xdr:rowOff>0</xdr:rowOff>
    </xdr:from>
    <xdr:to>
      <xdr:col>33</xdr:col>
      <xdr:colOff>515520</xdr:colOff>
      <xdr:row>41</xdr:row>
      <xdr:rowOff>85320</xdr:rowOff>
    </xdr:to>
    <xdr:graphicFrame>
      <xdr:nvGraphicFramePr>
        <xdr:cNvPr id="3" name="Chart 3"/>
        <xdr:cNvGraphicFramePr/>
      </xdr:nvGraphicFramePr>
      <xdr:xfrm>
        <a:off x="18960480" y="4133880"/>
        <a:ext cx="7908840" cy="5047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34"/>
  <sheetViews>
    <sheetView showFormulas="false" showGridLines="false" showRowColHeaders="true" showZeros="true" rightToLeft="false" tabSelected="false" showOutlineSymbols="true" defaultGridColor="true" view="normal" topLeftCell="A7" colorId="64" zoomScale="100" zoomScaleNormal="100" zoomScalePageLayoutView="100" workbookViewId="0">
      <selection pane="topLeft" activeCell="C36" activeCellId="0" sqref="C36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0"/>
    <col collapsed="false" customWidth="true" hidden="false" outlineLevel="0" max="3" min="3" style="0" width="90"/>
    <col collapsed="false" customWidth="true" hidden="false" outlineLevel="0" max="4" min="4" style="0" width="2"/>
  </cols>
  <sheetData>
    <row r="2" customFormat="false" ht="20.25" hidden="false" customHeight="true" outlineLevel="0" collapsed="false">
      <c r="B2" s="1" t="s">
        <v>0</v>
      </c>
      <c r="C2" s="1"/>
    </row>
    <row r="3" customFormat="false" ht="15" hidden="false" customHeight="true" outlineLevel="0" collapsed="false">
      <c r="B3" s="2" t="s">
        <v>1</v>
      </c>
      <c r="C3" s="2"/>
    </row>
    <row r="5" customFormat="false" ht="21.75" hidden="false" customHeight="true" outlineLevel="0" collapsed="false">
      <c r="B5" s="3" t="s">
        <v>2</v>
      </c>
      <c r="C5" s="3"/>
    </row>
    <row r="6" customFormat="false" ht="18" hidden="false" customHeight="true" outlineLevel="0" collapsed="false">
      <c r="B6" s="4" t="s">
        <v>3</v>
      </c>
      <c r="C6" s="5" t="s">
        <v>4</v>
      </c>
    </row>
    <row r="7" customFormat="false" ht="18" hidden="false" customHeight="true" outlineLevel="0" collapsed="false">
      <c r="B7" s="4" t="s">
        <v>5</v>
      </c>
      <c r="C7" s="5" t="s">
        <v>6</v>
      </c>
    </row>
    <row r="8" customFormat="false" ht="18" hidden="false" customHeight="true" outlineLevel="0" collapsed="false">
      <c r="B8" s="4" t="s">
        <v>7</v>
      </c>
      <c r="C8" s="5" t="s">
        <v>8</v>
      </c>
    </row>
    <row r="9" customFormat="false" ht="18" hidden="false" customHeight="true" outlineLevel="0" collapsed="false">
      <c r="B9" s="4" t="s">
        <v>9</v>
      </c>
      <c r="C9" s="5" t="s">
        <v>10</v>
      </c>
    </row>
    <row r="10" customFormat="false" ht="18" hidden="false" customHeight="true" outlineLevel="0" collapsed="false">
      <c r="B10" s="4" t="s">
        <v>11</v>
      </c>
      <c r="C10" s="5" t="s">
        <v>12</v>
      </c>
    </row>
    <row r="11" customFormat="false" ht="18" hidden="false" customHeight="true" outlineLevel="0" collapsed="false">
      <c r="B11" s="4" t="s">
        <v>13</v>
      </c>
      <c r="C11" s="5" t="s">
        <v>14</v>
      </c>
    </row>
    <row r="13" customFormat="false" ht="21.75" hidden="false" customHeight="true" outlineLevel="0" collapsed="false">
      <c r="B13" s="3" t="s">
        <v>15</v>
      </c>
      <c r="C13" s="3"/>
    </row>
    <row r="14" customFormat="false" ht="30" hidden="false" customHeight="true" outlineLevel="0" collapsed="false">
      <c r="B14" s="6" t="s">
        <v>16</v>
      </c>
      <c r="C14" s="7" t="s">
        <v>17</v>
      </c>
    </row>
    <row r="15" customFormat="false" ht="30" hidden="false" customHeight="true" outlineLevel="0" collapsed="false">
      <c r="B15" s="6" t="s">
        <v>18</v>
      </c>
      <c r="C15" s="7" t="s">
        <v>19</v>
      </c>
    </row>
    <row r="16" customFormat="false" ht="30" hidden="false" customHeight="true" outlineLevel="0" collapsed="false">
      <c r="B16" s="6" t="s">
        <v>20</v>
      </c>
      <c r="C16" s="7" t="s">
        <v>21</v>
      </c>
    </row>
    <row r="17" customFormat="false" ht="30" hidden="false" customHeight="true" outlineLevel="0" collapsed="false">
      <c r="B17" s="6" t="s">
        <v>22</v>
      </c>
      <c r="C17" s="7" t="s">
        <v>23</v>
      </c>
    </row>
    <row r="18" customFormat="false" ht="30" hidden="false" customHeight="true" outlineLevel="0" collapsed="false">
      <c r="B18" s="6" t="s">
        <v>24</v>
      </c>
      <c r="C18" s="7" t="s">
        <v>25</v>
      </c>
    </row>
    <row r="19" customFormat="false" ht="14.25" hidden="false" customHeight="false" outlineLevel="0" collapsed="false">
      <c r="B19" s="8" t="s">
        <v>26</v>
      </c>
    </row>
    <row r="20" customFormat="false" ht="21.75" hidden="false" customHeight="true" outlineLevel="0" collapsed="false">
      <c r="B20" s="3" t="s">
        <v>27</v>
      </c>
      <c r="C20" s="3"/>
    </row>
    <row r="21" customFormat="false" ht="18" hidden="false" customHeight="true" outlineLevel="0" collapsed="false">
      <c r="B21" s="4" t="s">
        <v>28</v>
      </c>
      <c r="C21" s="5" t="s">
        <v>29</v>
      </c>
    </row>
    <row r="22" customFormat="false" ht="18" hidden="false" customHeight="true" outlineLevel="0" collapsed="false">
      <c r="B22" s="4" t="s">
        <v>30</v>
      </c>
      <c r="C22" s="5" t="s">
        <v>31</v>
      </c>
    </row>
    <row r="23" customFormat="false" ht="18" hidden="false" customHeight="true" outlineLevel="0" collapsed="false">
      <c r="B23" s="4" t="s">
        <v>32</v>
      </c>
      <c r="C23" s="5" t="s">
        <v>33</v>
      </c>
    </row>
    <row r="24" customFormat="false" ht="18" hidden="false" customHeight="true" outlineLevel="0" collapsed="false">
      <c r="B24" s="4" t="s">
        <v>34</v>
      </c>
      <c r="C24" s="5" t="s">
        <v>35</v>
      </c>
    </row>
    <row r="25" customFormat="false" ht="18" hidden="false" customHeight="true" outlineLevel="0" collapsed="false">
      <c r="B25" s="4" t="s">
        <v>36</v>
      </c>
      <c r="C25" s="5" t="s">
        <v>37</v>
      </c>
    </row>
    <row r="26" customFormat="false" ht="18" hidden="false" customHeight="true" outlineLevel="0" collapsed="false">
      <c r="B26" s="4" t="s">
        <v>38</v>
      </c>
      <c r="C26" s="5" t="s">
        <v>39</v>
      </c>
    </row>
    <row r="28" customFormat="false" ht="21.75" hidden="false" customHeight="true" outlineLevel="0" collapsed="false">
      <c r="B28" s="3" t="s">
        <v>40</v>
      </c>
      <c r="C28" s="3"/>
    </row>
    <row r="29" customFormat="false" ht="27" hidden="false" customHeight="true" outlineLevel="0" collapsed="false">
      <c r="B29" s="4" t="s">
        <v>41</v>
      </c>
      <c r="C29" s="5" t="s">
        <v>42</v>
      </c>
    </row>
    <row r="30" customFormat="false" ht="28.5" hidden="false" customHeight="true" outlineLevel="0" collapsed="false">
      <c r="B30" s="4" t="s">
        <v>43</v>
      </c>
      <c r="C30" s="5" t="s">
        <v>44</v>
      </c>
    </row>
    <row r="31" customFormat="false" ht="30" hidden="false" customHeight="true" outlineLevel="0" collapsed="false">
      <c r="B31" s="4" t="s">
        <v>45</v>
      </c>
      <c r="C31" s="5" t="s">
        <v>46</v>
      </c>
    </row>
    <row r="32" customFormat="false" ht="27.75" hidden="false" customHeight="true" outlineLevel="0" collapsed="false">
      <c r="B32" s="4" t="s">
        <v>47</v>
      </c>
      <c r="C32" s="5" t="s">
        <v>48</v>
      </c>
    </row>
    <row r="33" customFormat="false" ht="18" hidden="false" customHeight="true" outlineLevel="0" collapsed="false">
      <c r="B33" s="4" t="s">
        <v>49</v>
      </c>
      <c r="C33" s="5" t="s">
        <v>50</v>
      </c>
    </row>
    <row r="34" customFormat="false" ht="30" hidden="false" customHeight="true" outlineLevel="0" collapsed="false">
      <c r="B34" s="4" t="s">
        <v>51</v>
      </c>
      <c r="C34" s="5" t="s">
        <v>52</v>
      </c>
    </row>
  </sheetData>
  <mergeCells count="6">
    <mergeCell ref="B2:C2"/>
    <mergeCell ref="B3:C3"/>
    <mergeCell ref="B5:C5"/>
    <mergeCell ref="B13:C13"/>
    <mergeCell ref="B20:C20"/>
    <mergeCell ref="B28:C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14"/>
  <sheetViews>
    <sheetView showFormulas="false" showGridLines="fals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A1" activeCellId="0" sqref="A1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0" width="3"/>
    <col collapsed="false" customWidth="true" hidden="false" outlineLevel="0" max="8" min="2" style="0" width="22"/>
    <col collapsed="false" customWidth="true" hidden="false" outlineLevel="0" max="9" min="9" style="0" width="14.09"/>
  </cols>
  <sheetData>
    <row r="2" customFormat="false" ht="17.25" hidden="false" customHeight="true" outlineLevel="0" collapsed="false">
      <c r="B2" s="9" t="s">
        <v>53</v>
      </c>
      <c r="C2" s="9"/>
      <c r="D2" s="9"/>
      <c r="E2" s="9"/>
      <c r="F2" s="9"/>
      <c r="G2" s="9"/>
      <c r="H2" s="9"/>
    </row>
    <row r="3" customFormat="false" ht="15" hidden="false" customHeight="true" outlineLevel="0" collapsed="false">
      <c r="B3" s="10" t="s">
        <v>54</v>
      </c>
      <c r="C3" s="10"/>
      <c r="D3" s="10"/>
      <c r="E3" s="10"/>
      <c r="F3" s="10"/>
      <c r="G3" s="10"/>
      <c r="H3" s="10"/>
    </row>
    <row r="5" customFormat="false" ht="21.75" hidden="false" customHeight="true" outlineLevel="0" collapsed="false">
      <c r="B5" s="11" t="s">
        <v>55</v>
      </c>
      <c r="C5" s="11" t="s">
        <v>56</v>
      </c>
      <c r="D5" s="11" t="s">
        <v>57</v>
      </c>
      <c r="E5" s="11" t="s">
        <v>58</v>
      </c>
      <c r="F5" s="11" t="s">
        <v>59</v>
      </c>
      <c r="G5" s="11" t="s">
        <v>60</v>
      </c>
      <c r="H5" s="11" t="s">
        <v>61</v>
      </c>
      <c r="I5" s="11" t="s">
        <v>62</v>
      </c>
    </row>
    <row r="6" customFormat="false" ht="34.5" hidden="false" customHeight="true" outlineLevel="0" collapsed="false">
      <c r="B6" s="12" t="s">
        <v>63</v>
      </c>
      <c r="C6" s="12" t="s">
        <v>64</v>
      </c>
      <c r="D6" s="12" t="s">
        <v>65</v>
      </c>
      <c r="E6" s="12" t="s">
        <v>28</v>
      </c>
      <c r="F6" s="12" t="s">
        <v>66</v>
      </c>
      <c r="G6" s="12" t="s">
        <v>67</v>
      </c>
      <c r="H6" s="12" t="s">
        <v>68</v>
      </c>
      <c r="I6" s="12" t="s">
        <v>69</v>
      </c>
    </row>
    <row r="7" customFormat="false" ht="23.25" hidden="false" customHeight="true" outlineLevel="0" collapsed="false">
      <c r="B7" s="13" t="s">
        <v>70</v>
      </c>
      <c r="C7" s="13" t="s">
        <v>71</v>
      </c>
      <c r="D7" s="13" t="s">
        <v>72</v>
      </c>
      <c r="E7" s="13" t="s">
        <v>30</v>
      </c>
      <c r="F7" s="13" t="s">
        <v>73</v>
      </c>
      <c r="G7" s="13" t="s">
        <v>74</v>
      </c>
      <c r="H7" s="13" t="s">
        <v>75</v>
      </c>
      <c r="I7" s="13" t="s">
        <v>76</v>
      </c>
    </row>
    <row r="8" customFormat="false" ht="23.25" hidden="false" customHeight="true" outlineLevel="0" collapsed="false">
      <c r="C8" s="12" t="s">
        <v>77</v>
      </c>
      <c r="D8" s="12" t="s">
        <v>78</v>
      </c>
      <c r="E8" s="12" t="s">
        <v>32</v>
      </c>
      <c r="F8" s="12" t="s">
        <v>79</v>
      </c>
      <c r="G8" s="12" t="s">
        <v>80</v>
      </c>
      <c r="H8" s="12" t="s">
        <v>81</v>
      </c>
      <c r="I8" s="12" t="s">
        <v>82</v>
      </c>
    </row>
    <row r="9" customFormat="false" ht="34.5" hidden="false" customHeight="true" outlineLevel="0" collapsed="false">
      <c r="C9" s="13" t="s">
        <v>83</v>
      </c>
      <c r="D9" s="13" t="s">
        <v>84</v>
      </c>
      <c r="E9" s="13" t="s">
        <v>34</v>
      </c>
      <c r="G9" s="13" t="s">
        <v>85</v>
      </c>
      <c r="H9" s="13" t="s">
        <v>86</v>
      </c>
      <c r="I9" s="13" t="s">
        <v>87</v>
      </c>
    </row>
    <row r="10" customFormat="false" ht="45.75" hidden="false" customHeight="true" outlineLevel="0" collapsed="false">
      <c r="C10" s="12" t="s">
        <v>88</v>
      </c>
      <c r="D10" s="12" t="s">
        <v>89</v>
      </c>
      <c r="E10" s="12" t="s">
        <v>36</v>
      </c>
      <c r="G10" s="12" t="s">
        <v>90</v>
      </c>
      <c r="I10" s="12" t="s">
        <v>91</v>
      </c>
    </row>
    <row r="11" customFormat="false" ht="15" hidden="false" customHeight="true" outlineLevel="0" collapsed="false">
      <c r="C11" s="13" t="s">
        <v>92</v>
      </c>
      <c r="D11" s="13" t="s">
        <v>93</v>
      </c>
      <c r="E11" s="13" t="s">
        <v>38</v>
      </c>
      <c r="G11" s="13" t="s">
        <v>94</v>
      </c>
      <c r="I11" s="13" t="s">
        <v>95</v>
      </c>
    </row>
    <row r="12" customFormat="false" ht="15" hidden="false" customHeight="true" outlineLevel="0" collapsed="false">
      <c r="C12" s="12" t="s">
        <v>93</v>
      </c>
      <c r="G12" s="12" t="s">
        <v>96</v>
      </c>
    </row>
    <row r="13" customFormat="false" ht="15" hidden="false" customHeight="true" outlineLevel="0" collapsed="false">
      <c r="G13" s="13" t="s">
        <v>97</v>
      </c>
    </row>
    <row r="14" customFormat="false" ht="15" hidden="false" customHeight="true" outlineLevel="0" collapsed="false">
      <c r="G14" s="12" t="s">
        <v>98</v>
      </c>
    </row>
  </sheetData>
  <mergeCells count="2">
    <mergeCell ref="B2:H2"/>
    <mergeCell ref="B3:H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K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21" activePane="bottomRight" state="frozen"/>
      <selection pane="topLeft" activeCell="A1" activeCellId="0" sqref="A1"/>
      <selection pane="topRight" activeCell="E1" activeCellId="0" sqref="E1"/>
      <selection pane="bottomLeft" activeCell="A21" activeCellId="0" sqref="A21"/>
      <selection pane="bottomRight" activeCell="A1" activeCellId="0" sqref="A1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"/>
    <col collapsed="false" customWidth="true" hidden="false" outlineLevel="0" max="3" min="3" style="0" width="32"/>
    <col collapsed="false" customWidth="true" hidden="false" outlineLevel="0" max="4" min="4" style="0" width="22"/>
    <col collapsed="false" customWidth="true" hidden="false" outlineLevel="0" max="6" min="5" style="0" width="24"/>
    <col collapsed="false" customWidth="true" hidden="false" outlineLevel="0" max="10" min="7" style="0" width="28"/>
  </cols>
  <sheetData>
    <row r="2" customFormat="false" ht="17.25" hidden="false" customHeight="true" outlineLevel="0" collapsed="false">
      <c r="B2" s="9" t="s">
        <v>99</v>
      </c>
      <c r="C2" s="9"/>
      <c r="D2" s="9"/>
      <c r="E2" s="9"/>
      <c r="F2" s="9"/>
      <c r="G2" s="9"/>
      <c r="H2" s="9"/>
      <c r="I2" s="9"/>
      <c r="J2" s="9"/>
    </row>
    <row r="3" customFormat="false" ht="15" hidden="false" customHeight="true" outlineLevel="0" collapsed="false">
      <c r="B3" s="10" t="s">
        <v>100</v>
      </c>
      <c r="C3" s="10"/>
      <c r="D3" s="10"/>
      <c r="E3" s="10"/>
      <c r="F3" s="10"/>
      <c r="G3" s="10"/>
      <c r="H3" s="10"/>
      <c r="I3" s="10"/>
      <c r="J3" s="10"/>
    </row>
    <row r="5" customFormat="false" ht="27.75" hidden="false" customHeight="true" outlineLevel="0" collapsed="false">
      <c r="B5" s="14" t="s">
        <v>101</v>
      </c>
      <c r="C5" s="14" t="s">
        <v>102</v>
      </c>
      <c r="D5" s="14" t="s">
        <v>103</v>
      </c>
      <c r="E5" s="15" t="s">
        <v>104</v>
      </c>
      <c r="F5" s="16" t="s">
        <v>105</v>
      </c>
      <c r="G5" s="17" t="s">
        <v>106</v>
      </c>
      <c r="H5" s="18" t="s">
        <v>107</v>
      </c>
      <c r="I5" s="19" t="s">
        <v>108</v>
      </c>
      <c r="J5" s="15" t="s">
        <v>109</v>
      </c>
    </row>
    <row r="6" customFormat="false" ht="21.75" hidden="false" customHeight="true" outlineLevel="0" collapsed="false">
      <c r="B6" s="20" t="s">
        <v>110</v>
      </c>
      <c r="C6" s="20"/>
      <c r="D6" s="20"/>
      <c r="E6" s="20"/>
      <c r="F6" s="20"/>
      <c r="G6" s="20"/>
      <c r="H6" s="20"/>
      <c r="I6" s="20"/>
      <c r="J6" s="20"/>
      <c r="K6" s="20"/>
    </row>
    <row r="7" customFormat="false" ht="60" hidden="false" customHeight="true" outlineLevel="0" collapsed="false">
      <c r="B7" s="21" t="n">
        <v>1</v>
      </c>
      <c r="C7" s="22" t="s">
        <v>111</v>
      </c>
      <c r="D7" s="23" t="s">
        <v>112</v>
      </c>
      <c r="E7" s="24" t="s">
        <v>113</v>
      </c>
      <c r="F7" s="25" t="s">
        <v>114</v>
      </c>
      <c r="G7" s="25" t="s">
        <v>115</v>
      </c>
      <c r="H7" s="25" t="s">
        <v>116</v>
      </c>
      <c r="I7" s="25" t="s">
        <v>117</v>
      </c>
      <c r="J7" s="25" t="s">
        <v>118</v>
      </c>
    </row>
    <row r="8" customFormat="false" ht="60" hidden="false" customHeight="true" outlineLevel="0" collapsed="false">
      <c r="B8" s="21" t="n">
        <v>2</v>
      </c>
      <c r="C8" s="22" t="s">
        <v>119</v>
      </c>
      <c r="D8" s="26" t="s">
        <v>120</v>
      </c>
      <c r="E8" s="24" t="s">
        <v>113</v>
      </c>
      <c r="F8" s="25" t="s">
        <v>121</v>
      </c>
      <c r="G8" s="25" t="s">
        <v>122</v>
      </c>
      <c r="H8" s="25" t="s">
        <v>123</v>
      </c>
      <c r="I8" s="25" t="s">
        <v>124</v>
      </c>
      <c r="J8" s="25" t="s">
        <v>125</v>
      </c>
    </row>
    <row r="9" customFormat="false" ht="21.75" hidden="false" customHeight="true" outlineLevel="0" collapsed="false">
      <c r="B9" s="27" t="s">
        <v>126</v>
      </c>
      <c r="C9" s="27"/>
      <c r="D9" s="27"/>
      <c r="E9" s="27"/>
      <c r="F9" s="27"/>
      <c r="G9" s="27"/>
      <c r="H9" s="27"/>
      <c r="I9" s="27"/>
      <c r="J9" s="27"/>
      <c r="K9" s="27"/>
    </row>
    <row r="10" customFormat="false" ht="60" hidden="false" customHeight="true" outlineLevel="0" collapsed="false">
      <c r="B10" s="21" t="n">
        <v>3</v>
      </c>
      <c r="C10" s="28" t="s">
        <v>127</v>
      </c>
      <c r="D10" s="26" t="s">
        <v>120</v>
      </c>
      <c r="E10" s="24" t="s">
        <v>113</v>
      </c>
      <c r="F10" s="25" t="s">
        <v>128</v>
      </c>
      <c r="G10" s="25" t="s">
        <v>129</v>
      </c>
      <c r="H10" s="25" t="s">
        <v>130</v>
      </c>
      <c r="I10" s="25" t="s">
        <v>131</v>
      </c>
      <c r="J10" s="25" t="s">
        <v>132</v>
      </c>
    </row>
    <row r="11" customFormat="false" ht="60" hidden="false" customHeight="true" outlineLevel="0" collapsed="false">
      <c r="B11" s="21" t="n">
        <v>4</v>
      </c>
      <c r="C11" s="28" t="s">
        <v>133</v>
      </c>
      <c r="D11" s="29" t="s">
        <v>134</v>
      </c>
      <c r="E11" s="24" t="s">
        <v>135</v>
      </c>
      <c r="F11" s="25" t="s">
        <v>136</v>
      </c>
      <c r="G11" s="25" t="s">
        <v>137</v>
      </c>
      <c r="H11" s="25" t="s">
        <v>138</v>
      </c>
      <c r="I11" s="25" t="s">
        <v>139</v>
      </c>
      <c r="J11" s="25" t="s">
        <v>140</v>
      </c>
    </row>
    <row r="12" customFormat="false" ht="60" hidden="false" customHeight="true" outlineLevel="0" collapsed="false">
      <c r="B12" s="21" t="n">
        <v>5</v>
      </c>
      <c r="C12" s="28" t="s">
        <v>141</v>
      </c>
      <c r="D12" s="23" t="s">
        <v>112</v>
      </c>
      <c r="E12" s="24" t="s">
        <v>113</v>
      </c>
      <c r="F12" s="25" t="s">
        <v>142</v>
      </c>
      <c r="G12" s="25" t="s">
        <v>143</v>
      </c>
      <c r="H12" s="25" t="s">
        <v>144</v>
      </c>
      <c r="I12" s="25" t="s">
        <v>145</v>
      </c>
      <c r="J12" s="25" t="s">
        <v>146</v>
      </c>
    </row>
    <row r="13" customFormat="false" ht="60" hidden="false" customHeight="true" outlineLevel="0" collapsed="false">
      <c r="B13" s="21" t="n">
        <v>6</v>
      </c>
      <c r="C13" s="28" t="s">
        <v>147</v>
      </c>
      <c r="D13" s="29" t="s">
        <v>134</v>
      </c>
      <c r="E13" s="24" t="s">
        <v>113</v>
      </c>
      <c r="F13" s="25" t="s">
        <v>148</v>
      </c>
      <c r="G13" s="25" t="s">
        <v>149</v>
      </c>
      <c r="H13" s="25" t="s">
        <v>150</v>
      </c>
      <c r="I13" s="25" t="s">
        <v>151</v>
      </c>
      <c r="J13" s="25" t="s">
        <v>152</v>
      </c>
    </row>
    <row r="14" customFormat="false" ht="21.75" hidden="false" customHeight="true" outlineLevel="0" collapsed="false">
      <c r="B14" s="30" t="s">
        <v>153</v>
      </c>
      <c r="C14" s="30"/>
      <c r="D14" s="30"/>
      <c r="E14" s="30"/>
      <c r="F14" s="30"/>
      <c r="G14" s="30"/>
      <c r="H14" s="30"/>
      <c r="I14" s="30"/>
      <c r="J14" s="30"/>
      <c r="K14" s="30"/>
    </row>
    <row r="15" customFormat="false" ht="60" hidden="false" customHeight="true" outlineLevel="0" collapsed="false">
      <c r="B15" s="21" t="n">
        <v>7</v>
      </c>
      <c r="C15" s="31" t="s">
        <v>154</v>
      </c>
      <c r="D15" s="29" t="s">
        <v>134</v>
      </c>
      <c r="E15" s="24" t="s">
        <v>113</v>
      </c>
      <c r="F15" s="25" t="s">
        <v>155</v>
      </c>
      <c r="G15" s="25" t="s">
        <v>156</v>
      </c>
      <c r="H15" s="25" t="s">
        <v>157</v>
      </c>
      <c r="I15" s="25" t="s">
        <v>158</v>
      </c>
      <c r="J15" s="25" t="s">
        <v>159</v>
      </c>
    </row>
    <row r="16" customFormat="false" ht="60" hidden="false" customHeight="true" outlineLevel="0" collapsed="false">
      <c r="B16" s="21" t="n">
        <v>8</v>
      </c>
      <c r="C16" s="31" t="s">
        <v>160</v>
      </c>
      <c r="D16" s="32" t="s">
        <v>161</v>
      </c>
      <c r="E16" s="24" t="s">
        <v>113</v>
      </c>
      <c r="F16" s="25" t="s">
        <v>162</v>
      </c>
      <c r="G16" s="25" t="s">
        <v>163</v>
      </c>
      <c r="H16" s="25" t="s">
        <v>164</v>
      </c>
      <c r="I16" s="25" t="s">
        <v>165</v>
      </c>
      <c r="J16" s="25" t="s">
        <v>166</v>
      </c>
    </row>
    <row r="17" customFormat="false" ht="60" hidden="false" customHeight="true" outlineLevel="0" collapsed="false">
      <c r="B17" s="21" t="n">
        <v>9</v>
      </c>
      <c r="C17" s="31" t="s">
        <v>167</v>
      </c>
      <c r="D17" s="32" t="s">
        <v>161</v>
      </c>
      <c r="E17" s="24" t="s">
        <v>113</v>
      </c>
      <c r="F17" s="25" t="s">
        <v>168</v>
      </c>
      <c r="G17" s="25" t="s">
        <v>169</v>
      </c>
      <c r="H17" s="25" t="s">
        <v>170</v>
      </c>
      <c r="I17" s="25" t="s">
        <v>171</v>
      </c>
      <c r="J17" s="25" t="s">
        <v>172</v>
      </c>
    </row>
    <row r="18" customFormat="false" ht="60" hidden="false" customHeight="true" outlineLevel="0" collapsed="false">
      <c r="B18" s="21" t="n">
        <v>10</v>
      </c>
      <c r="C18" s="31" t="s">
        <v>173</v>
      </c>
      <c r="D18" s="23" t="s">
        <v>112</v>
      </c>
      <c r="E18" s="24" t="s">
        <v>174</v>
      </c>
      <c r="F18" s="25" t="s">
        <v>175</v>
      </c>
      <c r="G18" s="25" t="s">
        <v>176</v>
      </c>
      <c r="H18" s="25" t="s">
        <v>177</v>
      </c>
      <c r="I18" s="25" t="s">
        <v>178</v>
      </c>
      <c r="J18" s="25" t="s">
        <v>179</v>
      </c>
    </row>
    <row r="19" customFormat="false" ht="21.75" hidden="false" customHeight="true" outlineLevel="0" collapsed="false">
      <c r="B19" s="33" t="s">
        <v>180</v>
      </c>
      <c r="C19" s="33"/>
      <c r="D19" s="33"/>
      <c r="E19" s="33"/>
      <c r="F19" s="33"/>
      <c r="G19" s="33"/>
      <c r="H19" s="33"/>
      <c r="I19" s="33"/>
      <c r="J19" s="33"/>
      <c r="K19" s="33"/>
    </row>
    <row r="20" customFormat="false" ht="60" hidden="false" customHeight="true" outlineLevel="0" collapsed="false">
      <c r="B20" s="21" t="n">
        <v>11</v>
      </c>
      <c r="C20" s="34" t="s">
        <v>181</v>
      </c>
      <c r="D20" s="29" t="s">
        <v>134</v>
      </c>
      <c r="E20" s="24" t="s">
        <v>113</v>
      </c>
      <c r="F20" s="25" t="s">
        <v>182</v>
      </c>
      <c r="G20" s="25" t="s">
        <v>183</v>
      </c>
      <c r="H20" s="25" t="s">
        <v>184</v>
      </c>
      <c r="I20" s="25" t="s">
        <v>185</v>
      </c>
      <c r="J20" s="25" t="s">
        <v>186</v>
      </c>
    </row>
    <row r="21" customFormat="false" ht="60" hidden="false" customHeight="true" outlineLevel="0" collapsed="false">
      <c r="B21" s="21" t="n">
        <v>12</v>
      </c>
      <c r="C21" s="34" t="s">
        <v>187</v>
      </c>
      <c r="D21" s="29" t="s">
        <v>134</v>
      </c>
      <c r="E21" s="24" t="s">
        <v>188</v>
      </c>
      <c r="F21" s="25" t="s">
        <v>189</v>
      </c>
      <c r="G21" s="25" t="s">
        <v>190</v>
      </c>
      <c r="H21" s="25" t="s">
        <v>191</v>
      </c>
      <c r="I21" s="25" t="s">
        <v>192</v>
      </c>
      <c r="J21" s="25" t="s">
        <v>193</v>
      </c>
    </row>
    <row r="22" customFormat="false" ht="60" hidden="false" customHeight="true" outlineLevel="0" collapsed="false">
      <c r="B22" s="21" t="n">
        <v>13</v>
      </c>
      <c r="C22" s="34" t="s">
        <v>194</v>
      </c>
      <c r="D22" s="29" t="s">
        <v>134</v>
      </c>
      <c r="E22" s="24" t="s">
        <v>113</v>
      </c>
      <c r="F22" s="25" t="s">
        <v>195</v>
      </c>
      <c r="G22" s="25" t="s">
        <v>196</v>
      </c>
      <c r="H22" s="25" t="s">
        <v>197</v>
      </c>
      <c r="I22" s="25" t="s">
        <v>198</v>
      </c>
      <c r="J22" s="25" t="s">
        <v>199</v>
      </c>
    </row>
    <row r="23" customFormat="false" ht="60" hidden="false" customHeight="true" outlineLevel="0" collapsed="false">
      <c r="B23" s="21" t="n">
        <v>14</v>
      </c>
      <c r="C23" s="34" t="s">
        <v>200</v>
      </c>
      <c r="D23" s="32" t="s">
        <v>161</v>
      </c>
      <c r="E23" s="24" t="s">
        <v>113</v>
      </c>
      <c r="F23" s="25" t="s">
        <v>201</v>
      </c>
      <c r="G23" s="25" t="s">
        <v>202</v>
      </c>
      <c r="H23" s="25" t="s">
        <v>203</v>
      </c>
      <c r="I23" s="25" t="s">
        <v>204</v>
      </c>
      <c r="J23" s="25" t="s">
        <v>205</v>
      </c>
    </row>
    <row r="24" customFormat="false" ht="60" hidden="false" customHeight="true" outlineLevel="0" collapsed="false">
      <c r="B24" s="21" t="n">
        <v>15</v>
      </c>
      <c r="C24" s="34" t="s">
        <v>206</v>
      </c>
      <c r="D24" s="32" t="s">
        <v>161</v>
      </c>
      <c r="E24" s="24" t="s">
        <v>113</v>
      </c>
      <c r="F24" s="25" t="s">
        <v>207</v>
      </c>
      <c r="G24" s="25" t="s">
        <v>208</v>
      </c>
      <c r="H24" s="25" t="s">
        <v>209</v>
      </c>
      <c r="I24" s="25" t="s">
        <v>210</v>
      </c>
      <c r="J24" s="25" t="s">
        <v>211</v>
      </c>
    </row>
    <row r="25" customFormat="false" ht="60" hidden="false" customHeight="true" outlineLevel="0" collapsed="false">
      <c r="B25" s="21" t="n">
        <v>16</v>
      </c>
      <c r="C25" s="34" t="s">
        <v>212</v>
      </c>
      <c r="D25" s="29" t="s">
        <v>213</v>
      </c>
      <c r="E25" s="24" t="s">
        <v>113</v>
      </c>
      <c r="F25" s="25" t="s">
        <v>214</v>
      </c>
      <c r="G25" s="25" t="s">
        <v>215</v>
      </c>
      <c r="H25" s="25" t="s">
        <v>216</v>
      </c>
      <c r="I25" s="25" t="s">
        <v>217</v>
      </c>
      <c r="J25" s="25" t="s">
        <v>218</v>
      </c>
    </row>
    <row r="26" customFormat="false" ht="60" hidden="false" customHeight="true" outlineLevel="0" collapsed="false">
      <c r="B26" s="21" t="n">
        <v>17</v>
      </c>
      <c r="C26" s="34" t="s">
        <v>219</v>
      </c>
      <c r="D26" s="35" t="s">
        <v>220</v>
      </c>
      <c r="E26" s="24" t="s">
        <v>221</v>
      </c>
      <c r="F26" s="25" t="s">
        <v>222</v>
      </c>
      <c r="G26" s="25" t="s">
        <v>223</v>
      </c>
      <c r="H26" s="25" t="s">
        <v>224</v>
      </c>
      <c r="I26" s="25" t="s">
        <v>225</v>
      </c>
      <c r="J26" s="25" t="s">
        <v>226</v>
      </c>
    </row>
    <row r="27" customFormat="false" ht="21.75" hidden="false" customHeight="true" outlineLevel="0" collapsed="false">
      <c r="B27" s="36" t="s">
        <v>227</v>
      </c>
      <c r="C27" s="36"/>
      <c r="D27" s="36"/>
      <c r="E27" s="36"/>
      <c r="F27" s="36"/>
      <c r="G27" s="36"/>
      <c r="H27" s="36"/>
      <c r="I27" s="36"/>
      <c r="J27" s="36"/>
      <c r="K27" s="36"/>
    </row>
    <row r="28" customFormat="false" ht="60" hidden="false" customHeight="true" outlineLevel="0" collapsed="false">
      <c r="B28" s="21" t="n">
        <v>18</v>
      </c>
      <c r="C28" s="37" t="s">
        <v>228</v>
      </c>
      <c r="D28" s="38" t="s">
        <v>229</v>
      </c>
      <c r="E28" s="24" t="s">
        <v>113</v>
      </c>
      <c r="F28" s="25" t="s">
        <v>230</v>
      </c>
      <c r="G28" s="25" t="s">
        <v>231</v>
      </c>
      <c r="H28" s="25" t="s">
        <v>232</v>
      </c>
      <c r="I28" s="25" t="s">
        <v>233</v>
      </c>
      <c r="J28" s="25" t="s">
        <v>234</v>
      </c>
    </row>
    <row r="29" customFormat="false" ht="60" hidden="false" customHeight="true" outlineLevel="0" collapsed="false">
      <c r="B29" s="21" t="n">
        <v>19</v>
      </c>
      <c r="C29" s="37" t="s">
        <v>235</v>
      </c>
      <c r="D29" s="38" t="s">
        <v>229</v>
      </c>
      <c r="E29" s="24" t="s">
        <v>113</v>
      </c>
      <c r="F29" s="25" t="s">
        <v>236</v>
      </c>
      <c r="G29" s="25" t="s">
        <v>237</v>
      </c>
      <c r="H29" s="25" t="s">
        <v>238</v>
      </c>
      <c r="I29" s="25" t="s">
        <v>239</v>
      </c>
      <c r="J29" s="25" t="s">
        <v>240</v>
      </c>
    </row>
    <row r="30" customFormat="false" ht="60" hidden="false" customHeight="true" outlineLevel="0" collapsed="false">
      <c r="B30" s="21" t="n">
        <v>20</v>
      </c>
      <c r="C30" s="37" t="s">
        <v>241</v>
      </c>
      <c r="D30" s="38" t="s">
        <v>229</v>
      </c>
      <c r="E30" s="24" t="s">
        <v>113</v>
      </c>
      <c r="F30" s="25" t="s">
        <v>242</v>
      </c>
      <c r="G30" s="25" t="s">
        <v>243</v>
      </c>
      <c r="H30" s="25" t="s">
        <v>244</v>
      </c>
      <c r="I30" s="25" t="s">
        <v>245</v>
      </c>
      <c r="J30" s="25" t="s">
        <v>246</v>
      </c>
    </row>
    <row r="31" customFormat="false" ht="60" hidden="false" customHeight="true" outlineLevel="0" collapsed="false">
      <c r="B31" s="21" t="n">
        <v>21</v>
      </c>
      <c r="C31" s="37" t="s">
        <v>247</v>
      </c>
      <c r="D31" s="38" t="s">
        <v>229</v>
      </c>
      <c r="E31" s="24" t="s">
        <v>113</v>
      </c>
      <c r="F31" s="25" t="s">
        <v>248</v>
      </c>
      <c r="G31" s="25" t="s">
        <v>249</v>
      </c>
      <c r="H31" s="25" t="s">
        <v>250</v>
      </c>
      <c r="I31" s="25" t="s">
        <v>251</v>
      </c>
      <c r="J31" s="25" t="s">
        <v>252</v>
      </c>
    </row>
  </sheetData>
  <mergeCells count="7">
    <mergeCell ref="B2:J2"/>
    <mergeCell ref="B3:J3"/>
    <mergeCell ref="B6:K6"/>
    <mergeCell ref="B9:K9"/>
    <mergeCell ref="B14:K14"/>
    <mergeCell ref="B19:K19"/>
    <mergeCell ref="B27:K2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K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8" topLeftCell="C28" activePane="bottomRight" state="frozen"/>
      <selection pane="topLeft" activeCell="A1" activeCellId="0" sqref="A1"/>
      <selection pane="topRight" activeCell="C1" activeCellId="0" sqref="C1"/>
      <selection pane="bottomLeft" activeCell="A28" activeCellId="0" sqref="A28"/>
      <selection pane="bottomRight" activeCell="A1" activeCellId="0" sqref="A1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"/>
    <col collapsed="false" customWidth="true" hidden="false" outlineLevel="0" max="3" min="3" style="0" width="30"/>
    <col collapsed="false" customWidth="true" hidden="false" outlineLevel="0" max="4" min="4" style="0" width="20"/>
    <col collapsed="false" customWidth="true" hidden="false" outlineLevel="0" max="5" min="5" style="0" width="16"/>
    <col collapsed="false" customWidth="true" hidden="false" outlineLevel="0" max="7" min="6" style="0" width="13"/>
    <col collapsed="false" customWidth="true" hidden="false" outlineLevel="0" max="8" min="8" style="0" width="8"/>
    <col collapsed="false" customWidth="true" hidden="false" outlineLevel="0" max="9" min="9" style="0" width="40"/>
    <col collapsed="false" customWidth="true" hidden="false" outlineLevel="0" max="10" min="10" style="0" width="18"/>
    <col collapsed="false" customWidth="true" hidden="false" outlineLevel="0" max="11" min="11" style="0" width="14"/>
  </cols>
  <sheetData>
    <row r="2" customFormat="false" ht="17.25" hidden="false" customHeight="true" outlineLevel="0" collapsed="false">
      <c r="C2" s="39" t="s">
        <v>253</v>
      </c>
      <c r="D2" s="39"/>
      <c r="E2" s="39"/>
      <c r="F2" s="39"/>
      <c r="G2" s="39"/>
      <c r="H2" s="39"/>
      <c r="I2" s="39"/>
      <c r="J2" s="39"/>
    </row>
    <row r="3" customFormat="false" ht="15" hidden="false" customHeight="true" outlineLevel="0" collapsed="false">
      <c r="C3" s="10" t="s">
        <v>254</v>
      </c>
      <c r="D3" s="10"/>
      <c r="E3" s="10"/>
      <c r="F3" s="10"/>
      <c r="G3" s="10"/>
      <c r="H3" s="10"/>
      <c r="I3" s="10"/>
      <c r="J3" s="10"/>
    </row>
    <row r="5" customFormat="false" ht="15" hidden="false" customHeight="true" outlineLevel="0" collapsed="false">
      <c r="C5" s="4" t="s">
        <v>255</v>
      </c>
      <c r="D5" s="40" t="s">
        <v>256</v>
      </c>
      <c r="E5" s="40"/>
      <c r="F5" s="40"/>
      <c r="G5" s="40"/>
      <c r="H5" s="40"/>
    </row>
    <row r="6" customFormat="false" ht="15" hidden="false" customHeight="true" outlineLevel="0" collapsed="false">
      <c r="C6" s="4" t="s">
        <v>257</v>
      </c>
      <c r="D6" s="40" t="s">
        <v>65</v>
      </c>
      <c r="E6" s="40"/>
      <c r="F6" s="40"/>
      <c r="G6" s="40"/>
      <c r="H6" s="40"/>
    </row>
    <row r="7" customFormat="false" ht="15" hidden="false" customHeight="true" outlineLevel="0" collapsed="false">
      <c r="C7" s="4" t="s">
        <v>258</v>
      </c>
      <c r="D7" s="40" t="s">
        <v>259</v>
      </c>
      <c r="E7" s="40"/>
      <c r="F7" s="40"/>
      <c r="G7" s="40"/>
      <c r="H7" s="40"/>
    </row>
    <row r="8" customFormat="false" ht="15" hidden="false" customHeight="true" outlineLevel="0" collapsed="false">
      <c r="C8" s="4" t="s">
        <v>260</v>
      </c>
      <c r="D8" s="40"/>
      <c r="E8" s="40"/>
      <c r="F8" s="40"/>
      <c r="G8" s="40"/>
      <c r="H8" s="40"/>
    </row>
    <row r="9" customFormat="false" ht="15" hidden="false" customHeight="true" outlineLevel="0" collapsed="false">
      <c r="C9" s="4" t="s">
        <v>261</v>
      </c>
      <c r="D9" s="40" t="s">
        <v>73</v>
      </c>
      <c r="E9" s="40"/>
      <c r="F9" s="40"/>
      <c r="G9" s="40"/>
      <c r="H9" s="40"/>
    </row>
    <row r="10" customFormat="false" ht="15" hidden="false" customHeight="true" outlineLevel="0" collapsed="false">
      <c r="C10" s="4" t="s">
        <v>262</v>
      </c>
      <c r="D10" s="40"/>
      <c r="E10" s="40"/>
      <c r="F10" s="40"/>
      <c r="G10" s="40"/>
      <c r="H10" s="40"/>
    </row>
    <row r="11" customFormat="false" ht="15" hidden="false" customHeight="true" outlineLevel="0" collapsed="false">
      <c r="C11" s="4" t="s">
        <v>263</v>
      </c>
      <c r="D11" s="41"/>
      <c r="E11" s="41"/>
      <c r="F11" s="41"/>
      <c r="G11" s="41"/>
      <c r="H11" s="41"/>
    </row>
    <row r="12" customFormat="false" ht="15" hidden="false" customHeight="true" outlineLevel="0" collapsed="false">
      <c r="C12" s="4" t="s">
        <v>264</v>
      </c>
      <c r="D12" s="40"/>
      <c r="E12" s="40"/>
      <c r="F12" s="40"/>
      <c r="G12" s="40"/>
      <c r="H12" s="40"/>
    </row>
    <row r="13" customFormat="false" ht="15" hidden="false" customHeight="true" outlineLevel="0" collapsed="false">
      <c r="C13" s="4" t="s">
        <v>265</v>
      </c>
      <c r="D13" s="40"/>
      <c r="E13" s="40"/>
      <c r="F13" s="40"/>
      <c r="G13" s="40"/>
      <c r="H13" s="40"/>
    </row>
    <row r="15" customFormat="false" ht="15.75" hidden="false" customHeight="true" outlineLevel="0" collapsed="false">
      <c r="C15" s="42" t="s">
        <v>266</v>
      </c>
      <c r="D15" s="43" t="str">
        <f aca="false">IF(D8="Mesa de Ayuda","N2 · Administrado",IF(D8="Mesa de Soporte","N3 · Definido","— Seleccionar tipo"))</f>
        <v>— Seleccionar tipo</v>
      </c>
      <c r="E15" s="43"/>
      <c r="F15" s="43"/>
      <c r="G15" s="43"/>
      <c r="I15" s="42" t="s">
        <v>267</v>
      </c>
      <c r="J15" s="44" t="str">
        <f aca="false">IFERROR(AVERAGEIF(F20:F39,"&lt;&gt;"),"")</f>
        <v/>
      </c>
    </row>
    <row r="16" customFormat="false" ht="15" hidden="false" customHeight="true" outlineLevel="0" collapsed="false">
      <c r="C16" s="45" t="s">
        <v>268</v>
      </c>
      <c r="D16" s="46" t="n">
        <f aca="false">IF(D8="Mesa de Ayuda",2,IF(D8="Mesa de Soporte",3,0))</f>
        <v>0</v>
      </c>
    </row>
    <row r="18" customFormat="false" ht="42" hidden="false" customHeight="true" outlineLevel="0" collapsed="false">
      <c r="B18" s="14" t="s">
        <v>101</v>
      </c>
      <c r="C18" s="14" t="s">
        <v>102</v>
      </c>
      <c r="D18" s="14" t="s">
        <v>103</v>
      </c>
      <c r="E18" s="47" t="s">
        <v>269</v>
      </c>
      <c r="F18" s="48" t="s">
        <v>270</v>
      </c>
      <c r="G18" s="49" t="s">
        <v>271</v>
      </c>
      <c r="H18" s="50" t="s">
        <v>272</v>
      </c>
      <c r="I18" s="14" t="s">
        <v>273</v>
      </c>
      <c r="J18" s="14" t="s">
        <v>274</v>
      </c>
      <c r="K18" s="51" t="s">
        <v>275</v>
      </c>
    </row>
    <row r="19" customFormat="false" ht="19.5" hidden="false" customHeight="true" outlineLevel="0" collapsed="false">
      <c r="B19" s="22" t="s">
        <v>16</v>
      </c>
      <c r="C19" s="22"/>
      <c r="D19" s="22"/>
      <c r="E19" s="22"/>
      <c r="F19" s="22"/>
      <c r="G19" s="22"/>
      <c r="H19" s="22"/>
      <c r="I19" s="22"/>
      <c r="J19" s="22"/>
    </row>
    <row r="20" customFormat="false" ht="30" hidden="false" customHeight="true" outlineLevel="0" collapsed="false">
      <c r="B20" s="21" t="n">
        <v>1</v>
      </c>
      <c r="C20" s="22" t="s">
        <v>111</v>
      </c>
      <c r="D20" s="23" t="s">
        <v>112</v>
      </c>
      <c r="E20" s="52" t="str">
        <f aca="false">IF($D$8="Mesa de Ayuda","N2 · Administrado",IF($D$8="Mesa de Soporte","N3 · Definido","—"))</f>
        <v>—</v>
      </c>
      <c r="F20" s="53"/>
      <c r="G20" s="54"/>
      <c r="H20" s="55" t="str">
        <f aca="false">IF(AND(F20&lt;&gt;"",G20&lt;&gt;""),G20-F20,"")</f>
        <v/>
      </c>
      <c r="I20" s="56"/>
      <c r="J20" s="56"/>
      <c r="K20" s="57" t="str">
        <f aca="false">IF(F20="","—",IF(F20&lt;$D$16,"⛔ Bajo mínimo",IF(F20=$D$16,"✅ En mínimo","✔ Sobre mínimo")))</f>
        <v>—</v>
      </c>
    </row>
    <row r="21" customFormat="false" ht="30" hidden="false" customHeight="true" outlineLevel="0" collapsed="false">
      <c r="B21" s="21" t="n">
        <v>2</v>
      </c>
      <c r="C21" s="22" t="s">
        <v>119</v>
      </c>
      <c r="D21" s="26" t="s">
        <v>120</v>
      </c>
      <c r="E21" s="52" t="str">
        <f aca="false">IF($D$8="Mesa de Ayuda","N2 · Administrado",IF($D$8="Mesa de Soporte","N3 · Definido","—"))</f>
        <v>—</v>
      </c>
      <c r="F21" s="53"/>
      <c r="G21" s="54"/>
      <c r="H21" s="55" t="str">
        <f aca="false">IF(AND(F21&lt;&gt;"",G21&lt;&gt;""),G21-F21,"")</f>
        <v/>
      </c>
      <c r="I21" s="56"/>
      <c r="J21" s="56"/>
      <c r="K21" s="57" t="str">
        <f aca="false">IF(F21="","—",IF(F21&lt;$D$16,"⛔ Bajo mínimo",IF(F21=$D$16,"✅ En mínimo","✔ Sobre mínimo")))</f>
        <v>—</v>
      </c>
    </row>
    <row r="22" customFormat="false" ht="19.5" hidden="false" customHeight="true" outlineLevel="0" collapsed="false">
      <c r="B22" s="28" t="s">
        <v>18</v>
      </c>
      <c r="C22" s="28"/>
      <c r="D22" s="28"/>
      <c r="E22" s="28"/>
      <c r="F22" s="28"/>
      <c r="G22" s="28"/>
      <c r="H22" s="28"/>
      <c r="I22" s="28"/>
      <c r="J22" s="28"/>
    </row>
    <row r="23" customFormat="false" ht="30" hidden="false" customHeight="true" outlineLevel="0" collapsed="false">
      <c r="B23" s="21" t="n">
        <v>3</v>
      </c>
      <c r="C23" s="28" t="s">
        <v>127</v>
      </c>
      <c r="D23" s="26" t="s">
        <v>120</v>
      </c>
      <c r="E23" s="52" t="str">
        <f aca="false">IF($D$8="Mesa de Ayuda","N2 · Administrado",IF($D$8="Mesa de Soporte","N3 · Definido","—"))</f>
        <v>—</v>
      </c>
      <c r="F23" s="53"/>
      <c r="G23" s="54"/>
      <c r="H23" s="55" t="str">
        <f aca="false">IF(AND(F23&lt;&gt;"",G23&lt;&gt;""),G23-F23,"")</f>
        <v/>
      </c>
      <c r="I23" s="56"/>
      <c r="J23" s="56"/>
      <c r="K23" s="57" t="str">
        <f aca="false">IF(F23="","—",IF(F23&lt;$D$16,"⛔ Bajo mínimo",IF(F23=$D$16,"✅ En mínimo","✔ Sobre mínimo")))</f>
        <v>—</v>
      </c>
    </row>
    <row r="24" customFormat="false" ht="30" hidden="false" customHeight="true" outlineLevel="0" collapsed="false">
      <c r="B24" s="21" t="n">
        <v>4</v>
      </c>
      <c r="C24" s="28" t="s">
        <v>133</v>
      </c>
      <c r="D24" s="29" t="s">
        <v>134</v>
      </c>
      <c r="E24" s="52" t="str">
        <f aca="false">IF($D$8="Mesa de Ayuda","N2 · Administrado",IF($D$8="Mesa de Soporte","N3 · Definido","—"))</f>
        <v>—</v>
      </c>
      <c r="F24" s="53"/>
      <c r="G24" s="54"/>
      <c r="H24" s="55" t="str">
        <f aca="false">IF(AND(F24&lt;&gt;"",G24&lt;&gt;""),G24-F24,"")</f>
        <v/>
      </c>
      <c r="I24" s="56"/>
      <c r="J24" s="56"/>
      <c r="K24" s="57" t="str">
        <f aca="false">IF(F24="","—",IF(F24&lt;$D$16,"⛔ Bajo mínimo",IF(F24=$D$16,"✅ En mínimo","✔ Sobre mínimo")))</f>
        <v>—</v>
      </c>
    </row>
    <row r="25" customFormat="false" ht="30" hidden="false" customHeight="true" outlineLevel="0" collapsed="false">
      <c r="B25" s="21" t="n">
        <v>5</v>
      </c>
      <c r="C25" s="28" t="s">
        <v>141</v>
      </c>
      <c r="D25" s="23" t="s">
        <v>112</v>
      </c>
      <c r="E25" s="52" t="str">
        <f aca="false">IF($D$8="Mesa de Ayuda","N2 · Administrado",IF($D$8="Mesa de Soporte","N3 · Definido","—"))</f>
        <v>—</v>
      </c>
      <c r="F25" s="53"/>
      <c r="G25" s="54"/>
      <c r="H25" s="55" t="str">
        <f aca="false">IF(AND(F25&lt;&gt;"",G25&lt;&gt;""),G25-F25,"")</f>
        <v/>
      </c>
      <c r="I25" s="56"/>
      <c r="J25" s="56"/>
      <c r="K25" s="57" t="str">
        <f aca="false">IF(F25="","—",IF(F25&lt;$D$16,"⛔ Bajo mínimo",IF(F25=$D$16,"✅ En mínimo","✔ Sobre mínimo")))</f>
        <v>—</v>
      </c>
    </row>
    <row r="26" customFormat="false" ht="30" hidden="false" customHeight="true" outlineLevel="0" collapsed="false">
      <c r="B26" s="21" t="n">
        <v>6</v>
      </c>
      <c r="C26" s="28" t="s">
        <v>147</v>
      </c>
      <c r="D26" s="29" t="s">
        <v>134</v>
      </c>
      <c r="E26" s="52" t="str">
        <f aca="false">IF($D$8="Mesa de Ayuda","N2 · Administrado",IF($D$8="Mesa de Soporte","N3 · Definido","—"))</f>
        <v>—</v>
      </c>
      <c r="F26" s="53"/>
      <c r="G26" s="54"/>
      <c r="H26" s="55" t="str">
        <f aca="false">IF(AND(F26&lt;&gt;"",G26&lt;&gt;""),G26-F26,"")</f>
        <v/>
      </c>
      <c r="I26" s="56"/>
      <c r="J26" s="56"/>
      <c r="K26" s="57" t="str">
        <f aca="false">IF(F26="","—",IF(F26&lt;$D$16,"⛔ Bajo mínimo",IF(F26=$D$16,"✅ En mínimo","✔ Sobre mínimo")))</f>
        <v>—</v>
      </c>
    </row>
    <row r="27" customFormat="false" ht="19.5" hidden="false" customHeight="true" outlineLevel="0" collapsed="false">
      <c r="B27" s="31" t="s">
        <v>20</v>
      </c>
      <c r="C27" s="31"/>
      <c r="D27" s="31"/>
      <c r="E27" s="31"/>
      <c r="F27" s="31"/>
      <c r="G27" s="31"/>
      <c r="H27" s="31"/>
      <c r="I27" s="31"/>
      <c r="J27" s="31"/>
    </row>
    <row r="28" customFormat="false" ht="30" hidden="false" customHeight="true" outlineLevel="0" collapsed="false">
      <c r="B28" s="21" t="n">
        <v>7</v>
      </c>
      <c r="C28" s="31" t="s">
        <v>154</v>
      </c>
      <c r="D28" s="29" t="s">
        <v>134</v>
      </c>
      <c r="E28" s="52" t="str">
        <f aca="false">IF($D$8="Mesa de Ayuda","N2 · Administrado",IF($D$8="Mesa de Soporte","N3 · Definido","—"))</f>
        <v>—</v>
      </c>
      <c r="F28" s="53"/>
      <c r="G28" s="54"/>
      <c r="H28" s="55" t="str">
        <f aca="false">IF(AND(F28&lt;&gt;"",G28&lt;&gt;""),G28-F28,"")</f>
        <v/>
      </c>
      <c r="I28" s="56"/>
      <c r="J28" s="56"/>
      <c r="K28" s="57" t="str">
        <f aca="false">IF(F28="","—",IF(F28&lt;$D$16,"⛔ Bajo mínimo",IF(F28=$D$16,"✅ En mínimo","✔ Sobre mínimo")))</f>
        <v>—</v>
      </c>
    </row>
    <row r="29" customFormat="false" ht="30" hidden="false" customHeight="true" outlineLevel="0" collapsed="false">
      <c r="B29" s="21" t="n">
        <v>8</v>
      </c>
      <c r="C29" s="31" t="s">
        <v>160</v>
      </c>
      <c r="D29" s="32" t="s">
        <v>161</v>
      </c>
      <c r="E29" s="52" t="str">
        <f aca="false">IF($D$8="Mesa de Ayuda","N2 · Administrado",IF($D$8="Mesa de Soporte","N3 · Definido","—"))</f>
        <v>—</v>
      </c>
      <c r="F29" s="53"/>
      <c r="G29" s="54"/>
      <c r="H29" s="55" t="str">
        <f aca="false">IF(AND(F29&lt;&gt;"",G29&lt;&gt;""),G29-F29,"")</f>
        <v/>
      </c>
      <c r="I29" s="56"/>
      <c r="J29" s="56"/>
      <c r="K29" s="57" t="str">
        <f aca="false">IF(F29="","—",IF(F29&lt;$D$16,"⛔ Bajo mínimo",IF(F29=$D$16,"✅ En mínimo","✔ Sobre mínimo")))</f>
        <v>—</v>
      </c>
    </row>
    <row r="30" customFormat="false" ht="30" hidden="false" customHeight="true" outlineLevel="0" collapsed="false">
      <c r="B30" s="21" t="n">
        <v>9</v>
      </c>
      <c r="C30" s="31" t="s">
        <v>167</v>
      </c>
      <c r="D30" s="32" t="s">
        <v>161</v>
      </c>
      <c r="E30" s="52" t="str">
        <f aca="false">IF($D$8="Mesa de Ayuda","N2 · Administrado",IF($D$8="Mesa de Soporte","N3 · Definido","—"))</f>
        <v>—</v>
      </c>
      <c r="F30" s="53"/>
      <c r="G30" s="54"/>
      <c r="H30" s="55" t="str">
        <f aca="false">IF(AND(F30&lt;&gt;"",G30&lt;&gt;""),G30-F30,"")</f>
        <v/>
      </c>
      <c r="I30" s="56"/>
      <c r="J30" s="56"/>
      <c r="K30" s="57" t="str">
        <f aca="false">IF(F30="","—",IF(F30&lt;$D$16,"⛔ Bajo mínimo",IF(F30=$D$16,"✅ En mínimo","✔ Sobre mínimo")))</f>
        <v>—</v>
      </c>
    </row>
    <row r="31" customFormat="false" ht="30" hidden="false" customHeight="true" outlineLevel="0" collapsed="false">
      <c r="B31" s="21" t="n">
        <v>10</v>
      </c>
      <c r="C31" s="31" t="s">
        <v>173</v>
      </c>
      <c r="D31" s="23" t="s">
        <v>112</v>
      </c>
      <c r="E31" s="52" t="str">
        <f aca="false">IF($D$8="Mesa de Ayuda","N2 · Administrado",IF($D$8="Mesa de Soporte","N3 · Definido","—"))</f>
        <v>—</v>
      </c>
      <c r="F31" s="53"/>
      <c r="G31" s="54"/>
      <c r="H31" s="55" t="str">
        <f aca="false">IF(AND(F31&lt;&gt;"",G31&lt;&gt;""),G31-F31,"")</f>
        <v/>
      </c>
      <c r="I31" s="56"/>
      <c r="J31" s="56"/>
      <c r="K31" s="57" t="str">
        <f aca="false">IF(F31="","—",IF(F31&lt;$D$16,"⛔ Bajo mínimo",IF(F31=$D$16,"✅ En mínimo","✔ Sobre mínimo")))</f>
        <v>—</v>
      </c>
    </row>
    <row r="32" customFormat="false" ht="19.5" hidden="false" customHeight="true" outlineLevel="0" collapsed="false">
      <c r="B32" s="34" t="s">
        <v>22</v>
      </c>
      <c r="C32" s="34"/>
      <c r="D32" s="34"/>
      <c r="E32" s="34"/>
      <c r="F32" s="34"/>
      <c r="G32" s="34"/>
      <c r="H32" s="34"/>
      <c r="I32" s="34"/>
      <c r="J32" s="34"/>
    </row>
    <row r="33" customFormat="false" ht="30" hidden="false" customHeight="true" outlineLevel="0" collapsed="false">
      <c r="B33" s="21" t="n">
        <v>11</v>
      </c>
      <c r="C33" s="34" t="s">
        <v>181</v>
      </c>
      <c r="D33" s="29" t="s">
        <v>134</v>
      </c>
      <c r="E33" s="52" t="str">
        <f aca="false">IF($D$8="Mesa de Ayuda","N2 · Administrado",IF($D$8="Mesa de Soporte","N3 · Definido","—"))</f>
        <v>—</v>
      </c>
      <c r="F33" s="53"/>
      <c r="G33" s="54"/>
      <c r="H33" s="55" t="str">
        <f aca="false">IF(AND(F33&lt;&gt;"",G33&lt;&gt;""),G33-F33,"")</f>
        <v/>
      </c>
      <c r="I33" s="56"/>
      <c r="J33" s="56"/>
      <c r="K33" s="57" t="str">
        <f aca="false">IF(F33="","—",IF(F33&lt;$D$16,"⛔ Bajo mínimo",IF(F33=$D$16,"✅ En mínimo","✔ Sobre mínimo")))</f>
        <v>—</v>
      </c>
    </row>
    <row r="34" customFormat="false" ht="30" hidden="false" customHeight="true" outlineLevel="0" collapsed="false">
      <c r="B34" s="21" t="n">
        <v>12</v>
      </c>
      <c r="C34" s="34" t="s">
        <v>187</v>
      </c>
      <c r="D34" s="29" t="s">
        <v>134</v>
      </c>
      <c r="E34" s="52" t="str">
        <f aca="false">IF($D$8="Mesa de Ayuda","N2 · Administrado",IF($D$8="Mesa de Soporte","N3 · Definido","—"))</f>
        <v>—</v>
      </c>
      <c r="F34" s="53"/>
      <c r="G34" s="54"/>
      <c r="H34" s="55" t="str">
        <f aca="false">IF(AND(F34&lt;&gt;"",G34&lt;&gt;""),G34-F34,"")</f>
        <v/>
      </c>
      <c r="I34" s="56"/>
      <c r="J34" s="56"/>
      <c r="K34" s="57" t="str">
        <f aca="false">IF(F34="","—",IF(F34&lt;$D$16,"⛔ Bajo mínimo",IF(F34=$D$16,"✅ En mínimo","✔ Sobre mínimo")))</f>
        <v>—</v>
      </c>
    </row>
    <row r="35" customFormat="false" ht="30" hidden="false" customHeight="true" outlineLevel="0" collapsed="false">
      <c r="B35" s="21" t="n">
        <v>13</v>
      </c>
      <c r="C35" s="34" t="s">
        <v>194</v>
      </c>
      <c r="D35" s="29" t="s">
        <v>134</v>
      </c>
      <c r="E35" s="52" t="str">
        <f aca="false">IF($D$8="Mesa de Ayuda","N2 · Administrado",IF($D$8="Mesa de Soporte","N3 · Definido","—"))</f>
        <v>—</v>
      </c>
      <c r="F35" s="53"/>
      <c r="G35" s="54"/>
      <c r="H35" s="55" t="str">
        <f aca="false">IF(AND(F35&lt;&gt;"",G35&lt;&gt;""),G35-F35,"")</f>
        <v/>
      </c>
      <c r="I35" s="56"/>
      <c r="J35" s="56"/>
      <c r="K35" s="57" t="str">
        <f aca="false">IF(F35="","—",IF(F35&lt;$D$16,"⛔ Bajo mínimo",IF(F35=$D$16,"✅ En mínimo","✔ Sobre mínimo")))</f>
        <v>—</v>
      </c>
    </row>
    <row r="36" customFormat="false" ht="30" hidden="false" customHeight="true" outlineLevel="0" collapsed="false">
      <c r="B36" s="21" t="n">
        <v>14</v>
      </c>
      <c r="C36" s="34" t="s">
        <v>200</v>
      </c>
      <c r="D36" s="32" t="s">
        <v>161</v>
      </c>
      <c r="E36" s="52" t="str">
        <f aca="false">IF($D$8="Mesa de Ayuda","N2 · Administrado",IF($D$8="Mesa de Soporte","N3 · Definido","—"))</f>
        <v>—</v>
      </c>
      <c r="F36" s="53"/>
      <c r="G36" s="54"/>
      <c r="H36" s="55" t="str">
        <f aca="false">IF(AND(F36&lt;&gt;"",G36&lt;&gt;""),G36-F36,"")</f>
        <v/>
      </c>
      <c r="I36" s="56"/>
      <c r="J36" s="56"/>
      <c r="K36" s="57" t="str">
        <f aca="false">IF(F36="","—",IF(F36&lt;$D$16,"⛔ Bajo mínimo",IF(F36=$D$16,"✅ En mínimo","✔ Sobre mínimo")))</f>
        <v>—</v>
      </c>
    </row>
    <row r="37" customFormat="false" ht="30" hidden="false" customHeight="true" outlineLevel="0" collapsed="false">
      <c r="B37" s="21" t="n">
        <v>15</v>
      </c>
      <c r="C37" s="34" t="s">
        <v>206</v>
      </c>
      <c r="D37" s="32" t="s">
        <v>161</v>
      </c>
      <c r="E37" s="52" t="str">
        <f aca="false">IF($D$8="Mesa de Ayuda","N2 · Administrado",IF($D$8="Mesa de Soporte","N3 · Definido","—"))</f>
        <v>—</v>
      </c>
      <c r="F37" s="53"/>
      <c r="G37" s="54"/>
      <c r="H37" s="55" t="str">
        <f aca="false">IF(AND(F37&lt;&gt;"",G37&lt;&gt;""),G37-F37,"")</f>
        <v/>
      </c>
      <c r="I37" s="56"/>
      <c r="J37" s="56"/>
      <c r="K37" s="57" t="str">
        <f aca="false">IF(F37="","—",IF(F37&lt;$D$16,"⛔ Bajo mínimo",IF(F37=$D$16,"✅ En mínimo","✔ Sobre mínimo")))</f>
        <v>—</v>
      </c>
    </row>
    <row r="38" customFormat="false" ht="30" hidden="false" customHeight="true" outlineLevel="0" collapsed="false">
      <c r="B38" s="21" t="n">
        <v>16</v>
      </c>
      <c r="C38" s="34" t="s">
        <v>212</v>
      </c>
      <c r="D38" s="29" t="s">
        <v>213</v>
      </c>
      <c r="E38" s="52" t="str">
        <f aca="false">IF($D$8="Mesa de Ayuda","N2 · Administrado",IF($D$8="Mesa de Soporte","N3 · Definido","—"))</f>
        <v>—</v>
      </c>
      <c r="F38" s="53"/>
      <c r="G38" s="54"/>
      <c r="H38" s="55" t="str">
        <f aca="false">IF(AND(F38&lt;&gt;"",G38&lt;&gt;""),G38-F38,"")</f>
        <v/>
      </c>
      <c r="I38" s="56"/>
      <c r="J38" s="56"/>
      <c r="K38" s="57" t="str">
        <f aca="false">IF(F38="","—",IF(F38&lt;$D$16,"⛔ Bajo mínimo",IF(F38=$D$16,"✅ En mínimo","✔ Sobre mínimo")))</f>
        <v>—</v>
      </c>
    </row>
    <row r="39" customFormat="false" ht="30" hidden="false" customHeight="true" outlineLevel="0" collapsed="false">
      <c r="B39" s="21" t="n">
        <v>17</v>
      </c>
      <c r="C39" s="34" t="s">
        <v>219</v>
      </c>
      <c r="D39" s="35" t="s">
        <v>220</v>
      </c>
      <c r="E39" s="52" t="str">
        <f aca="false">IF($D$8="Mesa de Ayuda","N2 · Administrado",IF($D$8="Mesa de Soporte","N3 · Definido","—"))</f>
        <v>—</v>
      </c>
      <c r="F39" s="53"/>
      <c r="G39" s="54"/>
      <c r="H39" s="55" t="str">
        <f aca="false">IF(AND(F39&lt;&gt;"",G39&lt;&gt;""),G39-F39,"")</f>
        <v/>
      </c>
      <c r="I39" s="56"/>
      <c r="J39" s="56"/>
      <c r="K39" s="57" t="str">
        <f aca="false">IF(F39="","—",IF(F39&lt;$D$16,"⛔ Bajo mínimo",IF(F39=$D$16,"✅ En mínimo","✔ Sobre mínimo")))</f>
        <v>—</v>
      </c>
    </row>
    <row r="40" customFormat="false" ht="19.5" hidden="false" customHeight="true" outlineLevel="0" collapsed="false">
      <c r="B40" s="37" t="s">
        <v>276</v>
      </c>
      <c r="C40" s="37"/>
      <c r="D40" s="37"/>
      <c r="E40" s="37"/>
      <c r="F40" s="37"/>
      <c r="G40" s="37"/>
      <c r="H40" s="37"/>
      <c r="I40" s="37"/>
      <c r="J40" s="37"/>
    </row>
    <row r="41" customFormat="false" ht="30" hidden="false" customHeight="true" outlineLevel="0" collapsed="false">
      <c r="B41" s="21" t="n">
        <v>18</v>
      </c>
      <c r="C41" s="37" t="s">
        <v>228</v>
      </c>
      <c r="D41" s="38" t="s">
        <v>229</v>
      </c>
      <c r="E41" s="58" t="str">
        <f aca="false">IF($D$8="Mesa de Ayuda","N2 · Administrado",IF($D$8="Mesa de Soporte","N2 · Administrado","—"))</f>
        <v>—</v>
      </c>
      <c r="F41" s="53"/>
      <c r="G41" s="54"/>
      <c r="H41" s="55" t="str">
        <f aca="false">IF(AND(F41&lt;&gt;"",G41&lt;&gt;""),G41-F41,"")</f>
        <v/>
      </c>
      <c r="I41" s="56"/>
      <c r="J41" s="56"/>
      <c r="K41" s="59" t="str">
        <f aca="false">IF(F41="","—",IF(F41&lt;2,"⛔ Bajo N2",IF(F41=2,"✅ En N2","✔ Sobre N2")))</f>
        <v>—</v>
      </c>
    </row>
    <row r="42" customFormat="false" ht="30" hidden="false" customHeight="true" outlineLevel="0" collapsed="false">
      <c r="B42" s="21" t="n">
        <v>19</v>
      </c>
      <c r="C42" s="37" t="s">
        <v>235</v>
      </c>
      <c r="D42" s="38" t="s">
        <v>229</v>
      </c>
      <c r="E42" s="58" t="str">
        <f aca="false">IF($D$8="Mesa de Ayuda","N2 · Administrado",IF($D$8="Mesa de Soporte","N2 · Administrado","—"))</f>
        <v>—</v>
      </c>
      <c r="F42" s="53"/>
      <c r="G42" s="54"/>
      <c r="H42" s="55" t="str">
        <f aca="false">IF(AND(F42&lt;&gt;"",G42&lt;&gt;""),G42-F42,"")</f>
        <v/>
      </c>
      <c r="I42" s="56"/>
      <c r="J42" s="56"/>
      <c r="K42" s="59" t="str">
        <f aca="false">IF(F42="","—",IF(F42&lt;2,"⛔ Bajo N2",IF(F42=2,"✅ En N2","✔ Sobre N2")))</f>
        <v>—</v>
      </c>
    </row>
    <row r="43" customFormat="false" ht="30" hidden="false" customHeight="true" outlineLevel="0" collapsed="false">
      <c r="B43" s="21" t="n">
        <v>20</v>
      </c>
      <c r="C43" s="37" t="s">
        <v>241</v>
      </c>
      <c r="D43" s="38" t="s">
        <v>229</v>
      </c>
      <c r="E43" s="58" t="str">
        <f aca="false">IF($D$8="Mesa de Ayuda","N2 · Administrado",IF($D$8="Mesa de Soporte","N2 · Administrado","—"))</f>
        <v>—</v>
      </c>
      <c r="F43" s="53"/>
      <c r="G43" s="54"/>
      <c r="H43" s="55" t="str">
        <f aca="false">IF(AND(F43&lt;&gt;"",G43&lt;&gt;""),G43-F43,"")</f>
        <v/>
      </c>
      <c r="I43" s="56"/>
      <c r="J43" s="56"/>
      <c r="K43" s="59" t="str">
        <f aca="false">IF(F43="","—",IF(F43&lt;2,"⛔ Bajo N2",IF(F43=2,"✅ En N2","✔ Sobre N2")))</f>
        <v>—</v>
      </c>
    </row>
    <row r="44" customFormat="false" ht="30" hidden="false" customHeight="true" outlineLevel="0" collapsed="false">
      <c r="B44" s="21" t="n">
        <v>21</v>
      </c>
      <c r="C44" s="37" t="s">
        <v>247</v>
      </c>
      <c r="D44" s="38" t="s">
        <v>229</v>
      </c>
      <c r="E44" s="58" t="str">
        <f aca="false">IF($D$8="Mesa de Ayuda","N2 · Administrado",IF($D$8="Mesa de Soporte","N2 · Administrado","—"))</f>
        <v>—</v>
      </c>
      <c r="F44" s="53"/>
      <c r="G44" s="54"/>
      <c r="H44" s="55" t="str">
        <f aca="false">IF(AND(F44&lt;&gt;"",G44&lt;&gt;""),G44-F44,"")</f>
        <v/>
      </c>
      <c r="I44" s="56"/>
      <c r="J44" s="56"/>
      <c r="K44" s="59" t="str">
        <f aca="false">IF(F44="","—",IF(F44&lt;2,"⛔ Bajo N2",IF(F44=2,"✅ En N2","✔ Sobre N2")))</f>
        <v>—</v>
      </c>
    </row>
  </sheetData>
  <mergeCells count="17">
    <mergeCell ref="C2:J2"/>
    <mergeCell ref="C3:J3"/>
    <mergeCell ref="D5:H5"/>
    <mergeCell ref="D6:H6"/>
    <mergeCell ref="D7:H7"/>
    <mergeCell ref="D8:H8"/>
    <mergeCell ref="D9:H9"/>
    <mergeCell ref="D10:H10"/>
    <mergeCell ref="D11:H11"/>
    <mergeCell ref="D12:H12"/>
    <mergeCell ref="D13:H13"/>
    <mergeCell ref="D15:G15"/>
    <mergeCell ref="B19:J19"/>
    <mergeCell ref="B22:J22"/>
    <mergeCell ref="B27:J27"/>
    <mergeCell ref="B32:J32"/>
    <mergeCell ref="B40:J40"/>
  </mergeCells>
  <conditionalFormatting sqref="F19:F44">
    <cfRule type="expression" priority="2" aboveAverage="0" equalAverage="0" bottom="0" percent="0" rank="0" text="" dxfId="0">
      <formula>AND(F19&lt;&gt;"",$D$16&gt;0,ISNUMBER(F19),F19&lt;$D$16)</formula>
    </cfRule>
    <cfRule type="colorScale" priority="3">
      <colorScale>
        <cfvo type="num" val="0"/>
        <cfvo type="num" val="3"/>
        <cfvo type="num" val="5"/>
        <color rgb="FFF0997B"/>
        <color rgb="FFFAC775"/>
        <color rgb="FF9FE1CB"/>
      </colorScale>
    </cfRule>
  </conditionalFormatting>
  <conditionalFormatting sqref="H19:H44">
    <cfRule type="cellIs" priority="4" operator="greaterThan" aboveAverage="0" equalAverage="0" bottom="0" percent="0" rank="0" text="" dxfId="1">
      <formula>1</formula>
    </cfRule>
    <cfRule type="cellIs" priority="5" operator="lessThan" aboveAverage="0" equalAverage="0" bottom="0" percent="0" rank="0" text="" dxfId="0">
      <formula>0</formula>
    </cfRule>
  </conditionalFormatting>
  <conditionalFormatting sqref="H20:H44">
    <cfRule type="cellIs" priority="6" operator="lessThan" aboveAverage="0" equalAverage="0" bottom="0" percent="0" rank="0" text="" dxfId="2">
      <formula>0</formula>
    </cfRule>
    <cfRule type="cellIs" priority="7" operator="equal" aboveAverage="0" equalAverage="0" bottom="0" percent="0" rank="0" text="" dxfId="3">
      <formula>0</formula>
    </cfRule>
    <cfRule type="cellIs" priority="8" operator="greaterThan" aboveAverage="0" equalAverage="0" bottom="0" percent="0" rank="0" text="" dxfId="4">
      <formula>0</formula>
    </cfRule>
  </conditionalFormatting>
  <dataValidations count="1">
    <dataValidation allowBlank="true" error="Ingresa 0 (N0) a 5 (N5)" errorStyle="stop" errorTitle="Nivel inválido" operator="between" showDropDown="false" showErrorMessage="true" showInputMessage="false" sqref="F20:F44" type="list">
      <formula1>"0,1,2,3,4,5"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K4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18" topLeftCell="C19" activePane="bottomRight" state="frozen"/>
      <selection pane="topLeft" activeCell="A1" activeCellId="0" sqref="A1"/>
      <selection pane="topRight" activeCell="C1" activeCellId="0" sqref="C1"/>
      <selection pane="bottomLeft" activeCell="A19" activeCellId="0" sqref="A19"/>
      <selection pane="bottomRight" activeCell="A1" activeCellId="0" sqref="A1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"/>
    <col collapsed="false" customWidth="true" hidden="false" outlineLevel="0" max="3" min="3" style="0" width="30"/>
    <col collapsed="false" customWidth="true" hidden="false" outlineLevel="0" max="4" min="4" style="0" width="20"/>
    <col collapsed="false" customWidth="true" hidden="false" outlineLevel="0" max="5" min="5" style="0" width="16"/>
    <col collapsed="false" customWidth="true" hidden="false" outlineLevel="0" max="7" min="6" style="0" width="13"/>
    <col collapsed="false" customWidth="true" hidden="false" outlineLevel="0" max="8" min="8" style="0" width="8"/>
    <col collapsed="false" customWidth="true" hidden="false" outlineLevel="0" max="9" min="9" style="0" width="40"/>
    <col collapsed="false" customWidth="true" hidden="false" outlineLevel="0" max="10" min="10" style="0" width="18"/>
    <col collapsed="false" customWidth="true" hidden="false" outlineLevel="0" max="11" min="11" style="0" width="14"/>
  </cols>
  <sheetData>
    <row r="2" customFormat="false" ht="17.25" hidden="false" customHeight="true" outlineLevel="0" collapsed="false">
      <c r="C2" s="39" t="s">
        <v>277</v>
      </c>
      <c r="D2" s="39"/>
      <c r="E2" s="39"/>
      <c r="F2" s="39"/>
      <c r="G2" s="39"/>
      <c r="H2" s="39"/>
      <c r="I2" s="39"/>
      <c r="J2" s="39"/>
    </row>
    <row r="3" customFormat="false" ht="15" hidden="false" customHeight="true" outlineLevel="0" collapsed="false">
      <c r="C3" s="10" t="s">
        <v>254</v>
      </c>
      <c r="D3" s="10"/>
      <c r="E3" s="10"/>
      <c r="F3" s="10"/>
      <c r="G3" s="10"/>
      <c r="H3" s="10"/>
      <c r="I3" s="10"/>
      <c r="J3" s="10"/>
    </row>
    <row r="5" customFormat="false" ht="15" hidden="false" customHeight="true" outlineLevel="0" collapsed="false">
      <c r="C5" s="4" t="s">
        <v>255</v>
      </c>
      <c r="D5" s="40" t="s">
        <v>278</v>
      </c>
      <c r="E5" s="40"/>
      <c r="F5" s="40"/>
      <c r="G5" s="40"/>
      <c r="H5" s="40"/>
    </row>
    <row r="6" customFormat="false" ht="15" hidden="false" customHeight="true" outlineLevel="0" collapsed="false">
      <c r="C6" s="4" t="s">
        <v>257</v>
      </c>
      <c r="D6" s="40" t="s">
        <v>65</v>
      </c>
      <c r="E6" s="40"/>
      <c r="F6" s="40"/>
      <c r="G6" s="40"/>
      <c r="H6" s="40"/>
    </row>
    <row r="7" customFormat="false" ht="15" hidden="false" customHeight="true" outlineLevel="0" collapsed="false">
      <c r="C7" s="4" t="s">
        <v>258</v>
      </c>
      <c r="D7" s="40" t="s">
        <v>259</v>
      </c>
      <c r="E7" s="40"/>
      <c r="F7" s="40"/>
      <c r="G7" s="40"/>
      <c r="H7" s="40"/>
    </row>
    <row r="8" customFormat="false" ht="15" hidden="false" customHeight="true" outlineLevel="0" collapsed="false">
      <c r="C8" s="4" t="s">
        <v>260</v>
      </c>
      <c r="D8" s="40"/>
      <c r="E8" s="40"/>
      <c r="F8" s="40"/>
      <c r="G8" s="40"/>
      <c r="H8" s="40"/>
    </row>
    <row r="9" customFormat="false" ht="15" hidden="false" customHeight="true" outlineLevel="0" collapsed="false">
      <c r="C9" s="4" t="s">
        <v>261</v>
      </c>
      <c r="D9" s="40" t="s">
        <v>73</v>
      </c>
      <c r="E9" s="40"/>
      <c r="F9" s="40"/>
      <c r="G9" s="40"/>
      <c r="H9" s="40"/>
    </row>
    <row r="10" customFormat="false" ht="15" hidden="false" customHeight="true" outlineLevel="0" collapsed="false">
      <c r="C10" s="4" t="s">
        <v>262</v>
      </c>
      <c r="D10" s="40"/>
      <c r="E10" s="40"/>
      <c r="F10" s="40"/>
      <c r="G10" s="40"/>
      <c r="H10" s="40"/>
    </row>
    <row r="11" customFormat="false" ht="15" hidden="false" customHeight="true" outlineLevel="0" collapsed="false">
      <c r="C11" s="4" t="s">
        <v>263</v>
      </c>
      <c r="D11" s="41"/>
      <c r="E11" s="41"/>
      <c r="F11" s="41"/>
      <c r="G11" s="41"/>
      <c r="H11" s="41"/>
    </row>
    <row r="12" customFormat="false" ht="15" hidden="false" customHeight="true" outlineLevel="0" collapsed="false">
      <c r="C12" s="4" t="s">
        <v>264</v>
      </c>
      <c r="D12" s="40"/>
      <c r="E12" s="40"/>
      <c r="F12" s="40"/>
      <c r="G12" s="40"/>
      <c r="H12" s="40"/>
    </row>
    <row r="13" customFormat="false" ht="15" hidden="false" customHeight="true" outlineLevel="0" collapsed="false">
      <c r="C13" s="4" t="s">
        <v>265</v>
      </c>
      <c r="D13" s="40"/>
      <c r="E13" s="40"/>
      <c r="F13" s="40"/>
      <c r="G13" s="40"/>
      <c r="H13" s="40"/>
    </row>
    <row r="15" customFormat="false" ht="15.75" hidden="false" customHeight="true" outlineLevel="0" collapsed="false">
      <c r="C15" s="42" t="s">
        <v>266</v>
      </c>
      <c r="D15" s="43" t="str">
        <f aca="false">IF(D8="Mesa de Ayuda","N2 · Administrado",IF(D8="Mesa de Soporte","N3 · Definido","— Seleccionar tipo"))</f>
        <v>— Seleccionar tipo</v>
      </c>
      <c r="E15" s="43"/>
      <c r="F15" s="43"/>
      <c r="G15" s="43"/>
      <c r="I15" s="42" t="s">
        <v>267</v>
      </c>
      <c r="J15" s="44" t="str">
        <f aca="false">IFERROR(AVERAGEIF(F20:F39,"&lt;&gt;"),"")</f>
        <v/>
      </c>
    </row>
    <row r="16" customFormat="false" ht="15" hidden="false" customHeight="true" outlineLevel="0" collapsed="false">
      <c r="C16" s="45" t="s">
        <v>268</v>
      </c>
      <c r="D16" s="46" t="n">
        <f aca="false">IF(D8="Mesa de Ayuda",2,IF(D8="Mesa de Soporte",3,0))</f>
        <v>0</v>
      </c>
    </row>
    <row r="18" customFormat="false" ht="42" hidden="false" customHeight="true" outlineLevel="0" collapsed="false">
      <c r="B18" s="14" t="s">
        <v>101</v>
      </c>
      <c r="C18" s="14" t="s">
        <v>102</v>
      </c>
      <c r="D18" s="14" t="s">
        <v>103</v>
      </c>
      <c r="E18" s="47" t="s">
        <v>269</v>
      </c>
      <c r="F18" s="48" t="s">
        <v>270</v>
      </c>
      <c r="G18" s="49" t="s">
        <v>271</v>
      </c>
      <c r="H18" s="50" t="s">
        <v>272</v>
      </c>
      <c r="I18" s="14" t="s">
        <v>273</v>
      </c>
      <c r="J18" s="14" t="s">
        <v>274</v>
      </c>
      <c r="K18" s="51" t="s">
        <v>275</v>
      </c>
    </row>
    <row r="19" customFormat="false" ht="19.5" hidden="false" customHeight="true" outlineLevel="0" collapsed="false">
      <c r="B19" s="22" t="s">
        <v>16</v>
      </c>
      <c r="C19" s="22"/>
      <c r="D19" s="22"/>
      <c r="E19" s="22"/>
      <c r="F19" s="22"/>
      <c r="G19" s="22"/>
      <c r="H19" s="22"/>
      <c r="I19" s="22"/>
      <c r="J19" s="22"/>
    </row>
    <row r="20" customFormat="false" ht="30" hidden="false" customHeight="true" outlineLevel="0" collapsed="false">
      <c r="B20" s="21" t="n">
        <v>1</v>
      </c>
      <c r="C20" s="22" t="s">
        <v>111</v>
      </c>
      <c r="D20" s="23" t="s">
        <v>112</v>
      </c>
      <c r="E20" s="52" t="str">
        <f aca="false">IF($D$8="Mesa de Ayuda","N2 · Administrado",IF($D$8="Mesa de Soporte","N3 · Definido","—"))</f>
        <v>—</v>
      </c>
      <c r="F20" s="53"/>
      <c r="G20" s="54"/>
      <c r="H20" s="55" t="str">
        <f aca="false">IF(AND(F20&lt;&gt;"",G20&lt;&gt;""),G20-F20,"")</f>
        <v/>
      </c>
      <c r="I20" s="56"/>
      <c r="J20" s="56"/>
      <c r="K20" s="57" t="str">
        <f aca="false">IF(F20="","—",IF(F20&lt;$D$16,"⛔ Bajo mínimo",IF(F20=$D$16,"✅ En mínimo","✔ Sobre mínimo")))</f>
        <v>—</v>
      </c>
    </row>
    <row r="21" customFormat="false" ht="30" hidden="false" customHeight="true" outlineLevel="0" collapsed="false">
      <c r="B21" s="21" t="n">
        <v>2</v>
      </c>
      <c r="C21" s="22" t="s">
        <v>119</v>
      </c>
      <c r="D21" s="26" t="s">
        <v>120</v>
      </c>
      <c r="E21" s="52" t="str">
        <f aca="false">IF($D$8="Mesa de Ayuda","N2 · Administrado",IF($D$8="Mesa de Soporte","N3 · Definido","—"))</f>
        <v>—</v>
      </c>
      <c r="F21" s="53"/>
      <c r="G21" s="54"/>
      <c r="H21" s="55" t="str">
        <f aca="false">IF(AND(F21&lt;&gt;"",G21&lt;&gt;""),G21-F21,"")</f>
        <v/>
      </c>
      <c r="I21" s="56"/>
      <c r="J21" s="56"/>
      <c r="K21" s="57" t="str">
        <f aca="false">IF(F21="","—",IF(F21&lt;$D$16,"⛔ Bajo mínimo",IF(F21=$D$16,"✅ En mínimo","✔ Sobre mínimo")))</f>
        <v>—</v>
      </c>
    </row>
    <row r="22" customFormat="false" ht="19.5" hidden="false" customHeight="true" outlineLevel="0" collapsed="false">
      <c r="B22" s="28" t="s">
        <v>18</v>
      </c>
      <c r="C22" s="28"/>
      <c r="D22" s="28"/>
      <c r="E22" s="28"/>
      <c r="F22" s="28"/>
      <c r="G22" s="28"/>
      <c r="H22" s="28"/>
      <c r="I22" s="28"/>
      <c r="J22" s="28"/>
    </row>
    <row r="23" customFormat="false" ht="30" hidden="false" customHeight="true" outlineLevel="0" collapsed="false">
      <c r="B23" s="21" t="n">
        <v>3</v>
      </c>
      <c r="C23" s="28" t="s">
        <v>127</v>
      </c>
      <c r="D23" s="26" t="s">
        <v>120</v>
      </c>
      <c r="E23" s="52" t="str">
        <f aca="false">IF($D$8="Mesa de Ayuda","N2 · Administrado",IF($D$8="Mesa de Soporte","N3 · Definido","—"))</f>
        <v>—</v>
      </c>
      <c r="F23" s="53"/>
      <c r="G23" s="54"/>
      <c r="H23" s="55" t="str">
        <f aca="false">IF(AND(F23&lt;&gt;"",G23&lt;&gt;""),G23-F23,"")</f>
        <v/>
      </c>
      <c r="I23" s="56"/>
      <c r="J23" s="56"/>
      <c r="K23" s="57" t="str">
        <f aca="false">IF(F23="","—",IF(F23&lt;$D$16,"⛔ Bajo mínimo",IF(F23=$D$16,"✅ En mínimo","✔ Sobre mínimo")))</f>
        <v>—</v>
      </c>
    </row>
    <row r="24" customFormat="false" ht="30" hidden="false" customHeight="true" outlineLevel="0" collapsed="false">
      <c r="B24" s="21" t="n">
        <v>4</v>
      </c>
      <c r="C24" s="28" t="s">
        <v>133</v>
      </c>
      <c r="D24" s="29" t="s">
        <v>134</v>
      </c>
      <c r="E24" s="52" t="str">
        <f aca="false">IF($D$8="Mesa de Ayuda","N2 · Administrado",IF($D$8="Mesa de Soporte","N3 · Definido","—"))</f>
        <v>—</v>
      </c>
      <c r="F24" s="53"/>
      <c r="G24" s="54"/>
      <c r="H24" s="55" t="str">
        <f aca="false">IF(AND(F24&lt;&gt;"",G24&lt;&gt;""),G24-F24,"")</f>
        <v/>
      </c>
      <c r="I24" s="56"/>
      <c r="J24" s="56"/>
      <c r="K24" s="57" t="str">
        <f aca="false">IF(F24="","—",IF(F24&lt;$D$16,"⛔ Bajo mínimo",IF(F24=$D$16,"✅ En mínimo","✔ Sobre mínimo")))</f>
        <v>—</v>
      </c>
    </row>
    <row r="25" customFormat="false" ht="30" hidden="false" customHeight="true" outlineLevel="0" collapsed="false">
      <c r="B25" s="21" t="n">
        <v>5</v>
      </c>
      <c r="C25" s="28" t="s">
        <v>141</v>
      </c>
      <c r="D25" s="23" t="s">
        <v>112</v>
      </c>
      <c r="E25" s="52" t="str">
        <f aca="false">IF($D$8="Mesa de Ayuda","N2 · Administrado",IF($D$8="Mesa de Soporte","N3 · Definido","—"))</f>
        <v>—</v>
      </c>
      <c r="F25" s="53"/>
      <c r="G25" s="54"/>
      <c r="H25" s="55" t="str">
        <f aca="false">IF(AND(F25&lt;&gt;"",G25&lt;&gt;""),G25-F25,"")</f>
        <v/>
      </c>
      <c r="I25" s="56"/>
      <c r="J25" s="56"/>
      <c r="K25" s="57" t="str">
        <f aca="false">IF(F25="","—",IF(F25&lt;$D$16,"⛔ Bajo mínimo",IF(F25=$D$16,"✅ En mínimo","✔ Sobre mínimo")))</f>
        <v>—</v>
      </c>
    </row>
    <row r="26" customFormat="false" ht="30" hidden="false" customHeight="true" outlineLevel="0" collapsed="false">
      <c r="B26" s="21" t="n">
        <v>6</v>
      </c>
      <c r="C26" s="28" t="s">
        <v>147</v>
      </c>
      <c r="D26" s="29" t="s">
        <v>134</v>
      </c>
      <c r="E26" s="52" t="str">
        <f aca="false">IF($D$8="Mesa de Ayuda","N2 · Administrado",IF($D$8="Mesa de Soporte","N3 · Definido","—"))</f>
        <v>—</v>
      </c>
      <c r="F26" s="53"/>
      <c r="G26" s="54"/>
      <c r="H26" s="55" t="str">
        <f aca="false">IF(AND(F26&lt;&gt;"",G26&lt;&gt;""),G26-F26,"")</f>
        <v/>
      </c>
      <c r="I26" s="56"/>
      <c r="J26" s="56"/>
      <c r="K26" s="57" t="str">
        <f aca="false">IF(F26="","—",IF(F26&lt;$D$16,"⛔ Bajo mínimo",IF(F26=$D$16,"✅ En mínimo","✔ Sobre mínimo")))</f>
        <v>—</v>
      </c>
    </row>
    <row r="27" customFormat="false" ht="19.5" hidden="false" customHeight="true" outlineLevel="0" collapsed="false">
      <c r="B27" s="31" t="s">
        <v>20</v>
      </c>
      <c r="C27" s="31"/>
      <c r="D27" s="31"/>
      <c r="E27" s="31"/>
      <c r="F27" s="31"/>
      <c r="G27" s="31"/>
      <c r="H27" s="31"/>
      <c r="I27" s="31"/>
      <c r="J27" s="31"/>
    </row>
    <row r="28" customFormat="false" ht="30" hidden="false" customHeight="true" outlineLevel="0" collapsed="false">
      <c r="B28" s="21" t="n">
        <v>7</v>
      </c>
      <c r="C28" s="31" t="s">
        <v>154</v>
      </c>
      <c r="D28" s="29" t="s">
        <v>134</v>
      </c>
      <c r="E28" s="52" t="str">
        <f aca="false">IF($D$8="Mesa de Ayuda","N2 · Administrado",IF($D$8="Mesa de Soporte","N3 · Definido","—"))</f>
        <v>—</v>
      </c>
      <c r="F28" s="53"/>
      <c r="G28" s="54"/>
      <c r="H28" s="55" t="str">
        <f aca="false">IF(AND(F28&lt;&gt;"",G28&lt;&gt;""),G28-F28,"")</f>
        <v/>
      </c>
      <c r="I28" s="56"/>
      <c r="J28" s="56"/>
      <c r="K28" s="57" t="str">
        <f aca="false">IF(F28="","—",IF(F28&lt;$D$16,"⛔ Bajo mínimo",IF(F28=$D$16,"✅ En mínimo","✔ Sobre mínimo")))</f>
        <v>—</v>
      </c>
    </row>
    <row r="29" customFormat="false" ht="30" hidden="false" customHeight="true" outlineLevel="0" collapsed="false">
      <c r="B29" s="21" t="n">
        <v>8</v>
      </c>
      <c r="C29" s="31" t="s">
        <v>160</v>
      </c>
      <c r="D29" s="32" t="s">
        <v>161</v>
      </c>
      <c r="E29" s="52" t="str">
        <f aca="false">IF($D$8="Mesa de Ayuda","N2 · Administrado",IF($D$8="Mesa de Soporte","N3 · Definido","—"))</f>
        <v>—</v>
      </c>
      <c r="F29" s="53"/>
      <c r="G29" s="54"/>
      <c r="H29" s="55" t="str">
        <f aca="false">IF(AND(F29&lt;&gt;"",G29&lt;&gt;""),G29-F29,"")</f>
        <v/>
      </c>
      <c r="I29" s="56"/>
      <c r="J29" s="56"/>
      <c r="K29" s="57" t="str">
        <f aca="false">IF(F29="","—",IF(F29&lt;$D$16,"⛔ Bajo mínimo",IF(F29=$D$16,"✅ En mínimo","✔ Sobre mínimo")))</f>
        <v>—</v>
      </c>
    </row>
    <row r="30" customFormat="false" ht="30" hidden="false" customHeight="true" outlineLevel="0" collapsed="false">
      <c r="B30" s="21" t="n">
        <v>9</v>
      </c>
      <c r="C30" s="31" t="s">
        <v>167</v>
      </c>
      <c r="D30" s="32" t="s">
        <v>161</v>
      </c>
      <c r="E30" s="52" t="str">
        <f aca="false">IF($D$8="Mesa de Ayuda","N2 · Administrado",IF($D$8="Mesa de Soporte","N3 · Definido","—"))</f>
        <v>—</v>
      </c>
      <c r="F30" s="53"/>
      <c r="G30" s="54"/>
      <c r="H30" s="55" t="str">
        <f aca="false">IF(AND(F30&lt;&gt;"",G30&lt;&gt;""),G30-F30,"")</f>
        <v/>
      </c>
      <c r="I30" s="56"/>
      <c r="J30" s="56"/>
      <c r="K30" s="57" t="str">
        <f aca="false">IF(F30="","—",IF(F30&lt;$D$16,"⛔ Bajo mínimo",IF(F30=$D$16,"✅ En mínimo","✔ Sobre mínimo")))</f>
        <v>—</v>
      </c>
    </row>
    <row r="31" customFormat="false" ht="30" hidden="false" customHeight="true" outlineLevel="0" collapsed="false">
      <c r="B31" s="21" t="n">
        <v>10</v>
      </c>
      <c r="C31" s="31" t="s">
        <v>173</v>
      </c>
      <c r="D31" s="23" t="s">
        <v>112</v>
      </c>
      <c r="E31" s="52" t="str">
        <f aca="false">IF($D$8="Mesa de Ayuda","N2 · Administrado",IF($D$8="Mesa de Soporte","N3 · Definido","—"))</f>
        <v>—</v>
      </c>
      <c r="F31" s="53"/>
      <c r="G31" s="54"/>
      <c r="H31" s="55" t="str">
        <f aca="false">IF(AND(F31&lt;&gt;"",G31&lt;&gt;""),G31-F31,"")</f>
        <v/>
      </c>
      <c r="I31" s="56"/>
      <c r="J31" s="56"/>
      <c r="K31" s="57" t="str">
        <f aca="false">IF(F31="","—",IF(F31&lt;$D$16,"⛔ Bajo mínimo",IF(F31=$D$16,"✅ En mínimo","✔ Sobre mínimo")))</f>
        <v>—</v>
      </c>
    </row>
    <row r="32" customFormat="false" ht="19.5" hidden="false" customHeight="true" outlineLevel="0" collapsed="false">
      <c r="B32" s="34" t="s">
        <v>22</v>
      </c>
      <c r="C32" s="34"/>
      <c r="D32" s="34"/>
      <c r="E32" s="34"/>
      <c r="F32" s="34"/>
      <c r="G32" s="34"/>
      <c r="H32" s="34"/>
      <c r="I32" s="34"/>
      <c r="J32" s="34"/>
    </row>
    <row r="33" customFormat="false" ht="30" hidden="false" customHeight="true" outlineLevel="0" collapsed="false">
      <c r="B33" s="21" t="n">
        <v>11</v>
      </c>
      <c r="C33" s="34" t="s">
        <v>181</v>
      </c>
      <c r="D33" s="29" t="s">
        <v>134</v>
      </c>
      <c r="E33" s="52" t="str">
        <f aca="false">IF($D$8="Mesa de Ayuda","N2 · Administrado",IF($D$8="Mesa de Soporte","N3 · Definido","—"))</f>
        <v>—</v>
      </c>
      <c r="F33" s="53"/>
      <c r="G33" s="54"/>
      <c r="H33" s="55" t="str">
        <f aca="false">IF(AND(F33&lt;&gt;"",G33&lt;&gt;""),G33-F33,"")</f>
        <v/>
      </c>
      <c r="I33" s="56"/>
      <c r="J33" s="56"/>
      <c r="K33" s="57" t="str">
        <f aca="false">IF(F33="","—",IF(F33&lt;$D$16,"⛔ Bajo mínimo",IF(F33=$D$16,"✅ En mínimo","✔ Sobre mínimo")))</f>
        <v>—</v>
      </c>
    </row>
    <row r="34" customFormat="false" ht="30" hidden="false" customHeight="true" outlineLevel="0" collapsed="false">
      <c r="B34" s="21" t="n">
        <v>12</v>
      </c>
      <c r="C34" s="34" t="s">
        <v>187</v>
      </c>
      <c r="D34" s="29" t="s">
        <v>134</v>
      </c>
      <c r="E34" s="52" t="str">
        <f aca="false">IF($D$8="Mesa de Ayuda","N2 · Administrado",IF($D$8="Mesa de Soporte","N3 · Definido","—"))</f>
        <v>—</v>
      </c>
      <c r="F34" s="53"/>
      <c r="G34" s="54"/>
      <c r="H34" s="55" t="str">
        <f aca="false">IF(AND(F34&lt;&gt;"",G34&lt;&gt;""),G34-F34,"")</f>
        <v/>
      </c>
      <c r="I34" s="56"/>
      <c r="J34" s="56"/>
      <c r="K34" s="57" t="str">
        <f aca="false">IF(F34="","—",IF(F34&lt;$D$16,"⛔ Bajo mínimo",IF(F34=$D$16,"✅ En mínimo","✔ Sobre mínimo")))</f>
        <v>—</v>
      </c>
    </row>
    <row r="35" customFormat="false" ht="30" hidden="false" customHeight="true" outlineLevel="0" collapsed="false">
      <c r="B35" s="21" t="n">
        <v>13</v>
      </c>
      <c r="C35" s="34" t="s">
        <v>194</v>
      </c>
      <c r="D35" s="29" t="s">
        <v>134</v>
      </c>
      <c r="E35" s="52" t="str">
        <f aca="false">IF($D$8="Mesa de Ayuda","N2 · Administrado",IF($D$8="Mesa de Soporte","N3 · Definido","—"))</f>
        <v>—</v>
      </c>
      <c r="F35" s="53"/>
      <c r="G35" s="54"/>
      <c r="H35" s="55" t="str">
        <f aca="false">IF(AND(F35&lt;&gt;"",G35&lt;&gt;""),G35-F35,"")</f>
        <v/>
      </c>
      <c r="I35" s="56"/>
      <c r="J35" s="56"/>
      <c r="K35" s="57" t="str">
        <f aca="false">IF(F35="","—",IF(F35&lt;$D$16,"⛔ Bajo mínimo",IF(F35=$D$16,"✅ En mínimo","✔ Sobre mínimo")))</f>
        <v>—</v>
      </c>
    </row>
    <row r="36" customFormat="false" ht="30" hidden="false" customHeight="true" outlineLevel="0" collapsed="false">
      <c r="B36" s="21" t="n">
        <v>14</v>
      </c>
      <c r="C36" s="34" t="s">
        <v>200</v>
      </c>
      <c r="D36" s="32" t="s">
        <v>161</v>
      </c>
      <c r="E36" s="52" t="str">
        <f aca="false">IF($D$8="Mesa de Ayuda","N2 · Administrado",IF($D$8="Mesa de Soporte","N3 · Definido","—"))</f>
        <v>—</v>
      </c>
      <c r="F36" s="53"/>
      <c r="G36" s="54"/>
      <c r="H36" s="55" t="str">
        <f aca="false">IF(AND(F36&lt;&gt;"",G36&lt;&gt;""),G36-F36,"")</f>
        <v/>
      </c>
      <c r="I36" s="56"/>
      <c r="J36" s="56"/>
      <c r="K36" s="57" t="str">
        <f aca="false">IF(F36="","—",IF(F36&lt;$D$16,"⛔ Bajo mínimo",IF(F36=$D$16,"✅ En mínimo","✔ Sobre mínimo")))</f>
        <v>—</v>
      </c>
    </row>
    <row r="37" customFormat="false" ht="30" hidden="false" customHeight="true" outlineLevel="0" collapsed="false">
      <c r="B37" s="21" t="n">
        <v>15</v>
      </c>
      <c r="C37" s="34" t="s">
        <v>206</v>
      </c>
      <c r="D37" s="32" t="s">
        <v>161</v>
      </c>
      <c r="E37" s="52" t="str">
        <f aca="false">IF($D$8="Mesa de Ayuda","N2 · Administrado",IF($D$8="Mesa de Soporte","N3 · Definido","—"))</f>
        <v>—</v>
      </c>
      <c r="F37" s="53"/>
      <c r="G37" s="54"/>
      <c r="H37" s="55" t="str">
        <f aca="false">IF(AND(F37&lt;&gt;"",G37&lt;&gt;""),G37-F37,"")</f>
        <v/>
      </c>
      <c r="I37" s="56"/>
      <c r="J37" s="56"/>
      <c r="K37" s="57" t="str">
        <f aca="false">IF(F37="","—",IF(F37&lt;$D$16,"⛔ Bajo mínimo",IF(F37=$D$16,"✅ En mínimo","✔ Sobre mínimo")))</f>
        <v>—</v>
      </c>
    </row>
    <row r="38" customFormat="false" ht="30" hidden="false" customHeight="true" outlineLevel="0" collapsed="false">
      <c r="B38" s="21" t="n">
        <v>16</v>
      </c>
      <c r="C38" s="34" t="s">
        <v>212</v>
      </c>
      <c r="D38" s="29" t="s">
        <v>213</v>
      </c>
      <c r="E38" s="52" t="str">
        <f aca="false">IF($D$8="Mesa de Ayuda","N2 · Administrado",IF($D$8="Mesa de Soporte","N3 · Definido","—"))</f>
        <v>—</v>
      </c>
      <c r="F38" s="53"/>
      <c r="G38" s="54"/>
      <c r="H38" s="55" t="str">
        <f aca="false">IF(AND(F38&lt;&gt;"",G38&lt;&gt;""),G38-F38,"")</f>
        <v/>
      </c>
      <c r="I38" s="56"/>
      <c r="J38" s="56"/>
      <c r="K38" s="57" t="str">
        <f aca="false">IF(F38="","—",IF(F38&lt;$D$16,"⛔ Bajo mínimo",IF(F38=$D$16,"✅ En mínimo","✔ Sobre mínimo")))</f>
        <v>—</v>
      </c>
    </row>
    <row r="39" customFormat="false" ht="30" hidden="false" customHeight="true" outlineLevel="0" collapsed="false">
      <c r="B39" s="21" t="n">
        <v>17</v>
      </c>
      <c r="C39" s="34" t="s">
        <v>219</v>
      </c>
      <c r="D39" s="35" t="s">
        <v>220</v>
      </c>
      <c r="E39" s="52" t="str">
        <f aca="false">IF($D$8="Mesa de Ayuda","N2 · Administrado",IF($D$8="Mesa de Soporte","N3 · Definido","—"))</f>
        <v>—</v>
      </c>
      <c r="F39" s="53"/>
      <c r="G39" s="54"/>
      <c r="H39" s="55" t="str">
        <f aca="false">IF(AND(F39&lt;&gt;"",G39&lt;&gt;""),G39-F39,"")</f>
        <v/>
      </c>
      <c r="I39" s="56"/>
      <c r="J39" s="56"/>
      <c r="K39" s="57" t="str">
        <f aca="false">IF(F39="","—",IF(F39&lt;$D$16,"⛔ Bajo mínimo",IF(F39=$D$16,"✅ En mínimo","✔ Sobre mínimo")))</f>
        <v>—</v>
      </c>
    </row>
    <row r="40" customFormat="false" ht="19.5" hidden="false" customHeight="true" outlineLevel="0" collapsed="false">
      <c r="B40" s="37" t="s">
        <v>276</v>
      </c>
      <c r="C40" s="37"/>
      <c r="D40" s="37"/>
      <c r="E40" s="37"/>
      <c r="F40" s="37"/>
      <c r="G40" s="37"/>
      <c r="H40" s="37"/>
      <c r="I40" s="37"/>
      <c r="J40" s="37"/>
    </row>
    <row r="41" customFormat="false" ht="30" hidden="false" customHeight="true" outlineLevel="0" collapsed="false">
      <c r="B41" s="21" t="n">
        <v>18</v>
      </c>
      <c r="C41" s="37" t="s">
        <v>228</v>
      </c>
      <c r="D41" s="38" t="s">
        <v>229</v>
      </c>
      <c r="E41" s="58" t="str">
        <f aca="false">IF($D$8="Mesa de Ayuda","N2 · Administrado",IF($D$8="Mesa de Soporte","N2 · Administrado","—"))</f>
        <v>—</v>
      </c>
      <c r="F41" s="53"/>
      <c r="G41" s="54"/>
      <c r="H41" s="55" t="str">
        <f aca="false">IF(AND(F41&lt;&gt;"",G41&lt;&gt;""),G41-F41,"")</f>
        <v/>
      </c>
      <c r="I41" s="56"/>
      <c r="J41" s="56"/>
      <c r="K41" s="59" t="str">
        <f aca="false">IF(F41="","—",IF(F41&lt;2,"⛔ Bajo N2",IF(F41=2,"✅ En N2","✔ Sobre N2")))</f>
        <v>—</v>
      </c>
    </row>
    <row r="42" customFormat="false" ht="30" hidden="false" customHeight="true" outlineLevel="0" collapsed="false">
      <c r="B42" s="21" t="n">
        <v>19</v>
      </c>
      <c r="C42" s="37" t="s">
        <v>235</v>
      </c>
      <c r="D42" s="38" t="s">
        <v>229</v>
      </c>
      <c r="E42" s="58" t="str">
        <f aca="false">IF($D$8="Mesa de Ayuda","N2 · Administrado",IF($D$8="Mesa de Soporte","N2 · Administrado","—"))</f>
        <v>—</v>
      </c>
      <c r="F42" s="53"/>
      <c r="G42" s="54"/>
      <c r="H42" s="55" t="str">
        <f aca="false">IF(AND(F42&lt;&gt;"",G42&lt;&gt;""),G42-F42,"")</f>
        <v/>
      </c>
      <c r="I42" s="56"/>
      <c r="J42" s="56"/>
      <c r="K42" s="59" t="str">
        <f aca="false">IF(F42="","—",IF(F42&lt;2,"⛔ Bajo N2",IF(F42=2,"✅ En N2","✔ Sobre N2")))</f>
        <v>—</v>
      </c>
    </row>
    <row r="43" customFormat="false" ht="30" hidden="false" customHeight="true" outlineLevel="0" collapsed="false">
      <c r="B43" s="21" t="n">
        <v>20</v>
      </c>
      <c r="C43" s="37" t="s">
        <v>241</v>
      </c>
      <c r="D43" s="38" t="s">
        <v>229</v>
      </c>
      <c r="E43" s="58" t="str">
        <f aca="false">IF($D$8="Mesa de Ayuda","N2 · Administrado",IF($D$8="Mesa de Soporte","N2 · Administrado","—"))</f>
        <v>—</v>
      </c>
      <c r="F43" s="53"/>
      <c r="G43" s="54"/>
      <c r="H43" s="55" t="str">
        <f aca="false">IF(AND(F43&lt;&gt;"",G43&lt;&gt;""),G43-F43,"")</f>
        <v/>
      </c>
      <c r="I43" s="56"/>
      <c r="J43" s="56"/>
      <c r="K43" s="59" t="str">
        <f aca="false">IF(F43="","—",IF(F43&lt;2,"⛔ Bajo N2",IF(F43=2,"✅ En N2","✔ Sobre N2")))</f>
        <v>—</v>
      </c>
    </row>
    <row r="44" customFormat="false" ht="30" hidden="false" customHeight="true" outlineLevel="0" collapsed="false">
      <c r="B44" s="21" t="n">
        <v>21</v>
      </c>
      <c r="C44" s="37" t="s">
        <v>247</v>
      </c>
      <c r="D44" s="38" t="s">
        <v>229</v>
      </c>
      <c r="E44" s="58" t="str">
        <f aca="false">IF($D$8="Mesa de Ayuda","N2 · Administrado",IF($D$8="Mesa de Soporte","N2 · Administrado","—"))</f>
        <v>—</v>
      </c>
      <c r="F44" s="53"/>
      <c r="G44" s="54"/>
      <c r="H44" s="55" t="str">
        <f aca="false">IF(AND(F44&lt;&gt;"",G44&lt;&gt;""),G44-F44,"")</f>
        <v/>
      </c>
      <c r="I44" s="56"/>
      <c r="J44" s="56"/>
      <c r="K44" s="59" t="str">
        <f aca="false">IF(F44="","—",IF(F44&lt;2,"⛔ Bajo N2",IF(F44=2,"✅ En N2","✔ Sobre N2")))</f>
        <v>—</v>
      </c>
    </row>
  </sheetData>
  <mergeCells count="17">
    <mergeCell ref="C2:J2"/>
    <mergeCell ref="C3:J3"/>
    <mergeCell ref="D5:H5"/>
    <mergeCell ref="D6:H6"/>
    <mergeCell ref="D7:H7"/>
    <mergeCell ref="D8:H8"/>
    <mergeCell ref="D9:H9"/>
    <mergeCell ref="D10:H10"/>
    <mergeCell ref="D11:H11"/>
    <mergeCell ref="D12:H12"/>
    <mergeCell ref="D13:H13"/>
    <mergeCell ref="D15:G15"/>
    <mergeCell ref="B19:J19"/>
    <mergeCell ref="B22:J22"/>
    <mergeCell ref="B27:J27"/>
    <mergeCell ref="B32:J32"/>
    <mergeCell ref="B40:J40"/>
  </mergeCells>
  <conditionalFormatting sqref="F19:F44">
    <cfRule type="expression" priority="2" aboveAverage="0" equalAverage="0" bottom="0" percent="0" rank="0" text="" dxfId="0">
      <formula>AND(F19&lt;&gt;"",$D$16&gt;0,ISNUMBER(F19),F19&lt;$D$16)</formula>
    </cfRule>
    <cfRule type="colorScale" priority="3">
      <colorScale>
        <cfvo type="num" val="0"/>
        <cfvo type="num" val="3"/>
        <cfvo type="num" val="5"/>
        <color rgb="FFF0997B"/>
        <color rgb="FFFAC775"/>
        <color rgb="FF9FE1CB"/>
      </colorScale>
    </cfRule>
  </conditionalFormatting>
  <conditionalFormatting sqref="H19:H44">
    <cfRule type="cellIs" priority="4" operator="greaterThan" aboveAverage="0" equalAverage="0" bottom="0" percent="0" rank="0" text="" dxfId="1">
      <formula>1</formula>
    </cfRule>
    <cfRule type="cellIs" priority="5" operator="lessThan" aboveAverage="0" equalAverage="0" bottom="0" percent="0" rank="0" text="" dxfId="0">
      <formula>0</formula>
    </cfRule>
  </conditionalFormatting>
  <conditionalFormatting sqref="H20:H44">
    <cfRule type="cellIs" priority="6" operator="lessThan" aboveAverage="0" equalAverage="0" bottom="0" percent="0" rank="0" text="" dxfId="2">
      <formula>0</formula>
    </cfRule>
    <cfRule type="cellIs" priority="7" operator="equal" aboveAverage="0" equalAverage="0" bottom="0" percent="0" rank="0" text="" dxfId="3">
      <formula>0</formula>
    </cfRule>
    <cfRule type="cellIs" priority="8" operator="greaterThan" aboveAverage="0" equalAverage="0" bottom="0" percent="0" rank="0" text="" dxfId="4">
      <formula>0</formula>
    </cfRule>
  </conditionalFormatting>
  <dataValidations count="1">
    <dataValidation allowBlank="true" error="Ingresa 0 (N0) a 5 (N5)" errorStyle="stop" errorTitle="Nivel inválido" operator="between" showDropDown="false" showErrorMessage="true" showInputMessage="false" sqref="F20:F44" type="list">
      <formula1>"0,1,2,3,4,5"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K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8" topLeftCell="C19" activePane="bottomRight" state="frozen"/>
      <selection pane="topLeft" activeCell="A1" activeCellId="0" sqref="A1"/>
      <selection pane="topRight" activeCell="C1" activeCellId="0" sqref="C1"/>
      <selection pane="bottomLeft" activeCell="A19" activeCellId="0" sqref="A19"/>
      <selection pane="bottomRight" activeCell="A1" activeCellId="0" sqref="A1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"/>
    <col collapsed="false" customWidth="true" hidden="false" outlineLevel="0" max="3" min="3" style="0" width="30"/>
    <col collapsed="false" customWidth="true" hidden="false" outlineLevel="0" max="4" min="4" style="0" width="20"/>
    <col collapsed="false" customWidth="true" hidden="false" outlineLevel="0" max="5" min="5" style="0" width="16"/>
    <col collapsed="false" customWidth="true" hidden="false" outlineLevel="0" max="7" min="6" style="0" width="13"/>
    <col collapsed="false" customWidth="true" hidden="false" outlineLevel="0" max="8" min="8" style="0" width="8"/>
    <col collapsed="false" customWidth="true" hidden="false" outlineLevel="0" max="9" min="9" style="0" width="40"/>
    <col collapsed="false" customWidth="true" hidden="false" outlineLevel="0" max="10" min="10" style="0" width="18"/>
    <col collapsed="false" customWidth="true" hidden="false" outlineLevel="0" max="11" min="11" style="0" width="14"/>
  </cols>
  <sheetData>
    <row r="2" customFormat="false" ht="17.25" hidden="false" customHeight="true" outlineLevel="0" collapsed="false">
      <c r="C2" s="39" t="s">
        <v>279</v>
      </c>
      <c r="D2" s="39"/>
      <c r="E2" s="39"/>
      <c r="F2" s="39"/>
      <c r="G2" s="39"/>
      <c r="H2" s="39"/>
      <c r="I2" s="39"/>
      <c r="J2" s="39"/>
    </row>
    <row r="3" customFormat="false" ht="15" hidden="false" customHeight="true" outlineLevel="0" collapsed="false">
      <c r="C3" s="10" t="s">
        <v>254</v>
      </c>
      <c r="D3" s="10"/>
      <c r="E3" s="10"/>
      <c r="F3" s="10"/>
      <c r="G3" s="10"/>
      <c r="H3" s="10"/>
      <c r="I3" s="10"/>
      <c r="J3" s="10"/>
    </row>
    <row r="5" customFormat="false" ht="15" hidden="false" customHeight="true" outlineLevel="0" collapsed="false">
      <c r="C5" s="4" t="s">
        <v>255</v>
      </c>
      <c r="D5" s="40" t="s">
        <v>280</v>
      </c>
      <c r="E5" s="40"/>
      <c r="F5" s="40"/>
      <c r="G5" s="40"/>
      <c r="H5" s="40"/>
    </row>
    <row r="6" customFormat="false" ht="15" hidden="false" customHeight="true" outlineLevel="0" collapsed="false">
      <c r="C6" s="4" t="s">
        <v>257</v>
      </c>
      <c r="D6" s="40" t="s">
        <v>65</v>
      </c>
      <c r="E6" s="40"/>
      <c r="F6" s="40"/>
      <c r="G6" s="40"/>
      <c r="H6" s="40"/>
    </row>
    <row r="7" customFormat="false" ht="15" hidden="false" customHeight="true" outlineLevel="0" collapsed="false">
      <c r="C7" s="4" t="s">
        <v>258</v>
      </c>
      <c r="D7" s="40" t="s">
        <v>259</v>
      </c>
      <c r="E7" s="40"/>
      <c r="F7" s="40"/>
      <c r="G7" s="40"/>
      <c r="H7" s="40"/>
    </row>
    <row r="8" customFormat="false" ht="15" hidden="false" customHeight="true" outlineLevel="0" collapsed="false">
      <c r="C8" s="4" t="s">
        <v>260</v>
      </c>
      <c r="D8" s="40"/>
      <c r="E8" s="40"/>
      <c r="F8" s="40"/>
      <c r="G8" s="40"/>
      <c r="H8" s="40"/>
    </row>
    <row r="9" customFormat="false" ht="15" hidden="false" customHeight="true" outlineLevel="0" collapsed="false">
      <c r="C9" s="4" t="s">
        <v>261</v>
      </c>
      <c r="D9" s="40" t="s">
        <v>73</v>
      </c>
      <c r="E9" s="40"/>
      <c r="F9" s="40"/>
      <c r="G9" s="40"/>
      <c r="H9" s="40"/>
    </row>
    <row r="10" customFormat="false" ht="15" hidden="false" customHeight="true" outlineLevel="0" collapsed="false">
      <c r="C10" s="4" t="s">
        <v>262</v>
      </c>
      <c r="D10" s="40"/>
      <c r="E10" s="40"/>
      <c r="F10" s="40"/>
      <c r="G10" s="40"/>
      <c r="H10" s="40"/>
    </row>
    <row r="11" customFormat="false" ht="15" hidden="false" customHeight="true" outlineLevel="0" collapsed="false">
      <c r="C11" s="4" t="s">
        <v>263</v>
      </c>
      <c r="D11" s="41"/>
      <c r="E11" s="41"/>
      <c r="F11" s="41"/>
      <c r="G11" s="41"/>
      <c r="H11" s="41"/>
    </row>
    <row r="12" customFormat="false" ht="15" hidden="false" customHeight="true" outlineLevel="0" collapsed="false">
      <c r="C12" s="4" t="s">
        <v>264</v>
      </c>
      <c r="D12" s="40"/>
      <c r="E12" s="40"/>
      <c r="F12" s="40"/>
      <c r="G12" s="40"/>
      <c r="H12" s="40"/>
    </row>
    <row r="13" customFormat="false" ht="15" hidden="false" customHeight="true" outlineLevel="0" collapsed="false">
      <c r="C13" s="4" t="s">
        <v>265</v>
      </c>
      <c r="D13" s="40"/>
      <c r="E13" s="40"/>
      <c r="F13" s="40"/>
      <c r="G13" s="40"/>
      <c r="H13" s="40"/>
    </row>
    <row r="15" customFormat="false" ht="15.75" hidden="false" customHeight="true" outlineLevel="0" collapsed="false">
      <c r="C15" s="42" t="s">
        <v>266</v>
      </c>
      <c r="D15" s="43" t="str">
        <f aca="false">IF(D8="Mesa de Ayuda","N2 · Administrado",IF(D8="Mesa de Soporte","N3 · Definido","— Seleccionar tipo"))</f>
        <v>— Seleccionar tipo</v>
      </c>
      <c r="E15" s="43"/>
      <c r="F15" s="43"/>
      <c r="G15" s="43"/>
      <c r="I15" s="42" t="s">
        <v>267</v>
      </c>
      <c r="J15" s="44" t="str">
        <f aca="false">IFERROR(AVERAGEIF(F20:F39,"&lt;&gt;"),"")</f>
        <v/>
      </c>
    </row>
    <row r="16" customFormat="false" ht="15" hidden="false" customHeight="true" outlineLevel="0" collapsed="false">
      <c r="C16" s="45" t="s">
        <v>268</v>
      </c>
      <c r="D16" s="46" t="n">
        <f aca="false">IF(D8="Mesa de Ayuda",2,IF(D8="Mesa de Soporte",3,0))</f>
        <v>0</v>
      </c>
    </row>
    <row r="18" customFormat="false" ht="42" hidden="false" customHeight="true" outlineLevel="0" collapsed="false">
      <c r="B18" s="14" t="s">
        <v>101</v>
      </c>
      <c r="C18" s="14" t="s">
        <v>102</v>
      </c>
      <c r="D18" s="14" t="s">
        <v>103</v>
      </c>
      <c r="E18" s="47" t="s">
        <v>269</v>
      </c>
      <c r="F18" s="48" t="s">
        <v>270</v>
      </c>
      <c r="G18" s="49" t="s">
        <v>271</v>
      </c>
      <c r="H18" s="50" t="s">
        <v>272</v>
      </c>
      <c r="I18" s="14" t="s">
        <v>273</v>
      </c>
      <c r="J18" s="14" t="s">
        <v>274</v>
      </c>
      <c r="K18" s="51" t="s">
        <v>275</v>
      </c>
    </row>
    <row r="19" customFormat="false" ht="19.5" hidden="false" customHeight="true" outlineLevel="0" collapsed="false">
      <c r="B19" s="22" t="s">
        <v>16</v>
      </c>
      <c r="C19" s="22"/>
      <c r="D19" s="22"/>
      <c r="E19" s="22"/>
      <c r="F19" s="22"/>
      <c r="G19" s="22"/>
      <c r="H19" s="22"/>
      <c r="I19" s="22"/>
      <c r="J19" s="22"/>
    </row>
    <row r="20" customFormat="false" ht="30" hidden="false" customHeight="true" outlineLevel="0" collapsed="false">
      <c r="B20" s="21" t="n">
        <v>1</v>
      </c>
      <c r="C20" s="22" t="s">
        <v>111</v>
      </c>
      <c r="D20" s="23" t="s">
        <v>112</v>
      </c>
      <c r="E20" s="52" t="str">
        <f aca="false">IF($D$8="Mesa de Ayuda","N2 · Administrado",IF($D$8="Mesa de Soporte","N3 · Definido","—"))</f>
        <v>—</v>
      </c>
      <c r="F20" s="53"/>
      <c r="G20" s="54"/>
      <c r="H20" s="55" t="str">
        <f aca="false">IF(AND(F20&lt;&gt;"",G20&lt;&gt;""),G20-F20,"")</f>
        <v/>
      </c>
      <c r="I20" s="56"/>
      <c r="J20" s="56"/>
      <c r="K20" s="57" t="str">
        <f aca="false">IF(F20="","—",IF(F20&lt;$D$16,"⛔ Bajo mínimo",IF(F20=$D$16,"✅ En mínimo","✔ Sobre mínimo")))</f>
        <v>—</v>
      </c>
    </row>
    <row r="21" customFormat="false" ht="30" hidden="false" customHeight="true" outlineLevel="0" collapsed="false">
      <c r="B21" s="21" t="n">
        <v>2</v>
      </c>
      <c r="C21" s="22" t="s">
        <v>119</v>
      </c>
      <c r="D21" s="26" t="s">
        <v>120</v>
      </c>
      <c r="E21" s="52" t="str">
        <f aca="false">IF($D$8="Mesa de Ayuda","N2 · Administrado",IF($D$8="Mesa de Soporte","N3 · Definido","—"))</f>
        <v>—</v>
      </c>
      <c r="F21" s="53"/>
      <c r="G21" s="54"/>
      <c r="H21" s="55" t="str">
        <f aca="false">IF(AND(F21&lt;&gt;"",G21&lt;&gt;""),G21-F21,"")</f>
        <v/>
      </c>
      <c r="I21" s="56"/>
      <c r="J21" s="56"/>
      <c r="K21" s="57" t="str">
        <f aca="false">IF(F21="","—",IF(F21&lt;$D$16,"⛔ Bajo mínimo",IF(F21=$D$16,"✅ En mínimo","✔ Sobre mínimo")))</f>
        <v>—</v>
      </c>
    </row>
    <row r="22" customFormat="false" ht="19.5" hidden="false" customHeight="true" outlineLevel="0" collapsed="false">
      <c r="B22" s="28" t="s">
        <v>18</v>
      </c>
      <c r="C22" s="28"/>
      <c r="D22" s="28"/>
      <c r="E22" s="28"/>
      <c r="F22" s="28"/>
      <c r="G22" s="28"/>
      <c r="H22" s="28"/>
      <c r="I22" s="28"/>
      <c r="J22" s="28"/>
    </row>
    <row r="23" customFormat="false" ht="30" hidden="false" customHeight="true" outlineLevel="0" collapsed="false">
      <c r="B23" s="21" t="n">
        <v>3</v>
      </c>
      <c r="C23" s="28" t="s">
        <v>127</v>
      </c>
      <c r="D23" s="26" t="s">
        <v>120</v>
      </c>
      <c r="E23" s="52" t="str">
        <f aca="false">IF($D$8="Mesa de Ayuda","N2 · Administrado",IF($D$8="Mesa de Soporte","N3 · Definido","—"))</f>
        <v>—</v>
      </c>
      <c r="F23" s="53"/>
      <c r="G23" s="54"/>
      <c r="H23" s="55" t="str">
        <f aca="false">IF(AND(F23&lt;&gt;"",G23&lt;&gt;""),G23-F23,"")</f>
        <v/>
      </c>
      <c r="I23" s="56"/>
      <c r="J23" s="56"/>
      <c r="K23" s="57" t="str">
        <f aca="false">IF(F23="","—",IF(F23&lt;$D$16,"⛔ Bajo mínimo",IF(F23=$D$16,"✅ En mínimo","✔ Sobre mínimo")))</f>
        <v>—</v>
      </c>
    </row>
    <row r="24" customFormat="false" ht="30" hidden="false" customHeight="true" outlineLevel="0" collapsed="false">
      <c r="B24" s="21" t="n">
        <v>4</v>
      </c>
      <c r="C24" s="28" t="s">
        <v>133</v>
      </c>
      <c r="D24" s="29" t="s">
        <v>134</v>
      </c>
      <c r="E24" s="52" t="str">
        <f aca="false">IF($D$8="Mesa de Ayuda","N2 · Administrado",IF($D$8="Mesa de Soporte","N3 · Definido","—"))</f>
        <v>—</v>
      </c>
      <c r="F24" s="53"/>
      <c r="G24" s="54"/>
      <c r="H24" s="55" t="str">
        <f aca="false">IF(AND(F24&lt;&gt;"",G24&lt;&gt;""),G24-F24,"")</f>
        <v/>
      </c>
      <c r="I24" s="56"/>
      <c r="J24" s="56"/>
      <c r="K24" s="57" t="str">
        <f aca="false">IF(F24="","—",IF(F24&lt;$D$16,"⛔ Bajo mínimo",IF(F24=$D$16,"✅ En mínimo","✔ Sobre mínimo")))</f>
        <v>—</v>
      </c>
    </row>
    <row r="25" customFormat="false" ht="30" hidden="false" customHeight="true" outlineLevel="0" collapsed="false">
      <c r="B25" s="21" t="n">
        <v>5</v>
      </c>
      <c r="C25" s="28" t="s">
        <v>141</v>
      </c>
      <c r="D25" s="23" t="s">
        <v>112</v>
      </c>
      <c r="E25" s="52" t="str">
        <f aca="false">IF($D$8="Mesa de Ayuda","N2 · Administrado",IF($D$8="Mesa de Soporte","N3 · Definido","—"))</f>
        <v>—</v>
      </c>
      <c r="F25" s="53"/>
      <c r="G25" s="54"/>
      <c r="H25" s="55" t="str">
        <f aca="false">IF(AND(F25&lt;&gt;"",G25&lt;&gt;""),G25-F25,"")</f>
        <v/>
      </c>
      <c r="I25" s="56"/>
      <c r="J25" s="56"/>
      <c r="K25" s="57" t="str">
        <f aca="false">IF(F25="","—",IF(F25&lt;$D$16,"⛔ Bajo mínimo",IF(F25=$D$16,"✅ En mínimo","✔ Sobre mínimo")))</f>
        <v>—</v>
      </c>
    </row>
    <row r="26" customFormat="false" ht="30" hidden="false" customHeight="true" outlineLevel="0" collapsed="false">
      <c r="B26" s="21" t="n">
        <v>6</v>
      </c>
      <c r="C26" s="28" t="s">
        <v>147</v>
      </c>
      <c r="D26" s="29" t="s">
        <v>134</v>
      </c>
      <c r="E26" s="52" t="str">
        <f aca="false">IF($D$8="Mesa de Ayuda","N2 · Administrado",IF($D$8="Mesa de Soporte","N3 · Definido","—"))</f>
        <v>—</v>
      </c>
      <c r="F26" s="53"/>
      <c r="G26" s="54"/>
      <c r="H26" s="55" t="str">
        <f aca="false">IF(AND(F26&lt;&gt;"",G26&lt;&gt;""),G26-F26,"")</f>
        <v/>
      </c>
      <c r="I26" s="56"/>
      <c r="J26" s="56"/>
      <c r="K26" s="57" t="str">
        <f aca="false">IF(F26="","—",IF(F26&lt;$D$16,"⛔ Bajo mínimo",IF(F26=$D$16,"✅ En mínimo","✔ Sobre mínimo")))</f>
        <v>—</v>
      </c>
    </row>
    <row r="27" customFormat="false" ht="19.5" hidden="false" customHeight="true" outlineLevel="0" collapsed="false">
      <c r="B27" s="31" t="s">
        <v>20</v>
      </c>
      <c r="C27" s="31"/>
      <c r="D27" s="31"/>
      <c r="E27" s="31"/>
      <c r="F27" s="31"/>
      <c r="G27" s="31"/>
      <c r="H27" s="31"/>
      <c r="I27" s="31"/>
      <c r="J27" s="31"/>
    </row>
    <row r="28" customFormat="false" ht="30" hidden="false" customHeight="true" outlineLevel="0" collapsed="false">
      <c r="B28" s="21" t="n">
        <v>7</v>
      </c>
      <c r="C28" s="31" t="s">
        <v>154</v>
      </c>
      <c r="D28" s="29" t="s">
        <v>134</v>
      </c>
      <c r="E28" s="52" t="str">
        <f aca="false">IF($D$8="Mesa de Ayuda","N2 · Administrado",IF($D$8="Mesa de Soporte","N3 · Definido","—"))</f>
        <v>—</v>
      </c>
      <c r="F28" s="53"/>
      <c r="G28" s="54"/>
      <c r="H28" s="55" t="str">
        <f aca="false">IF(AND(F28&lt;&gt;"",G28&lt;&gt;""),G28-F28,"")</f>
        <v/>
      </c>
      <c r="I28" s="56"/>
      <c r="J28" s="56"/>
      <c r="K28" s="57" t="str">
        <f aca="false">IF(F28="","—",IF(F28&lt;$D$16,"⛔ Bajo mínimo",IF(F28=$D$16,"✅ En mínimo","✔ Sobre mínimo")))</f>
        <v>—</v>
      </c>
    </row>
    <row r="29" customFormat="false" ht="30" hidden="false" customHeight="true" outlineLevel="0" collapsed="false">
      <c r="B29" s="21" t="n">
        <v>8</v>
      </c>
      <c r="C29" s="31" t="s">
        <v>160</v>
      </c>
      <c r="D29" s="32" t="s">
        <v>161</v>
      </c>
      <c r="E29" s="52" t="str">
        <f aca="false">IF($D$8="Mesa de Ayuda","N2 · Administrado",IF($D$8="Mesa de Soporte","N3 · Definido","—"))</f>
        <v>—</v>
      </c>
      <c r="F29" s="53"/>
      <c r="G29" s="54"/>
      <c r="H29" s="55" t="str">
        <f aca="false">IF(AND(F29&lt;&gt;"",G29&lt;&gt;""),G29-F29,"")</f>
        <v/>
      </c>
      <c r="I29" s="56"/>
      <c r="J29" s="56"/>
      <c r="K29" s="57" t="str">
        <f aca="false">IF(F29="","—",IF(F29&lt;$D$16,"⛔ Bajo mínimo",IF(F29=$D$16,"✅ En mínimo","✔ Sobre mínimo")))</f>
        <v>—</v>
      </c>
    </row>
    <row r="30" customFormat="false" ht="30" hidden="false" customHeight="true" outlineLevel="0" collapsed="false">
      <c r="B30" s="21" t="n">
        <v>9</v>
      </c>
      <c r="C30" s="31" t="s">
        <v>167</v>
      </c>
      <c r="D30" s="32" t="s">
        <v>161</v>
      </c>
      <c r="E30" s="52" t="str">
        <f aca="false">IF($D$8="Mesa de Ayuda","N2 · Administrado",IF($D$8="Mesa de Soporte","N3 · Definido","—"))</f>
        <v>—</v>
      </c>
      <c r="F30" s="53"/>
      <c r="G30" s="54"/>
      <c r="H30" s="55" t="str">
        <f aca="false">IF(AND(F30&lt;&gt;"",G30&lt;&gt;""),G30-F30,"")</f>
        <v/>
      </c>
      <c r="I30" s="56"/>
      <c r="J30" s="56"/>
      <c r="K30" s="57" t="str">
        <f aca="false">IF(F30="","—",IF(F30&lt;$D$16,"⛔ Bajo mínimo",IF(F30=$D$16,"✅ En mínimo","✔ Sobre mínimo")))</f>
        <v>—</v>
      </c>
    </row>
    <row r="31" customFormat="false" ht="30" hidden="false" customHeight="true" outlineLevel="0" collapsed="false">
      <c r="B31" s="21" t="n">
        <v>10</v>
      </c>
      <c r="C31" s="31" t="s">
        <v>173</v>
      </c>
      <c r="D31" s="23" t="s">
        <v>112</v>
      </c>
      <c r="E31" s="52" t="str">
        <f aca="false">IF($D$8="Mesa de Ayuda","N2 · Administrado",IF($D$8="Mesa de Soporte","N3 · Definido","—"))</f>
        <v>—</v>
      </c>
      <c r="F31" s="53"/>
      <c r="G31" s="54"/>
      <c r="H31" s="55" t="str">
        <f aca="false">IF(AND(F31&lt;&gt;"",G31&lt;&gt;""),G31-F31,"")</f>
        <v/>
      </c>
      <c r="I31" s="56"/>
      <c r="J31" s="56"/>
      <c r="K31" s="57" t="str">
        <f aca="false">IF(F31="","—",IF(F31&lt;$D$16,"⛔ Bajo mínimo",IF(F31=$D$16,"✅ En mínimo","✔ Sobre mínimo")))</f>
        <v>—</v>
      </c>
    </row>
    <row r="32" customFormat="false" ht="19.5" hidden="false" customHeight="true" outlineLevel="0" collapsed="false">
      <c r="B32" s="34" t="s">
        <v>22</v>
      </c>
      <c r="C32" s="34"/>
      <c r="D32" s="34"/>
      <c r="E32" s="34"/>
      <c r="F32" s="34"/>
      <c r="G32" s="34"/>
      <c r="H32" s="34"/>
      <c r="I32" s="34"/>
      <c r="J32" s="34"/>
    </row>
    <row r="33" customFormat="false" ht="30" hidden="false" customHeight="true" outlineLevel="0" collapsed="false">
      <c r="B33" s="21" t="n">
        <v>11</v>
      </c>
      <c r="C33" s="34" t="s">
        <v>181</v>
      </c>
      <c r="D33" s="29" t="s">
        <v>134</v>
      </c>
      <c r="E33" s="52" t="str">
        <f aca="false">IF($D$8="Mesa de Ayuda","N2 · Administrado",IF($D$8="Mesa de Soporte","N3 · Definido","—"))</f>
        <v>—</v>
      </c>
      <c r="F33" s="53"/>
      <c r="G33" s="54"/>
      <c r="H33" s="55" t="str">
        <f aca="false">IF(AND(F33&lt;&gt;"",G33&lt;&gt;""),G33-F33,"")</f>
        <v/>
      </c>
      <c r="I33" s="56"/>
      <c r="J33" s="56"/>
      <c r="K33" s="57" t="str">
        <f aca="false">IF(F33="","—",IF(F33&lt;$D$16,"⛔ Bajo mínimo",IF(F33=$D$16,"✅ En mínimo","✔ Sobre mínimo")))</f>
        <v>—</v>
      </c>
    </row>
    <row r="34" customFormat="false" ht="30" hidden="false" customHeight="true" outlineLevel="0" collapsed="false">
      <c r="B34" s="21" t="n">
        <v>12</v>
      </c>
      <c r="C34" s="34" t="s">
        <v>187</v>
      </c>
      <c r="D34" s="29" t="s">
        <v>134</v>
      </c>
      <c r="E34" s="52" t="str">
        <f aca="false">IF($D$8="Mesa de Ayuda","N2 · Administrado",IF($D$8="Mesa de Soporte","N3 · Definido","—"))</f>
        <v>—</v>
      </c>
      <c r="F34" s="53"/>
      <c r="G34" s="54"/>
      <c r="H34" s="55" t="str">
        <f aca="false">IF(AND(F34&lt;&gt;"",G34&lt;&gt;""),G34-F34,"")</f>
        <v/>
      </c>
      <c r="I34" s="56"/>
      <c r="J34" s="56"/>
      <c r="K34" s="57" t="str">
        <f aca="false">IF(F34="","—",IF(F34&lt;$D$16,"⛔ Bajo mínimo",IF(F34=$D$16,"✅ En mínimo","✔ Sobre mínimo")))</f>
        <v>—</v>
      </c>
    </row>
    <row r="35" customFormat="false" ht="30" hidden="false" customHeight="true" outlineLevel="0" collapsed="false">
      <c r="B35" s="21" t="n">
        <v>13</v>
      </c>
      <c r="C35" s="34" t="s">
        <v>194</v>
      </c>
      <c r="D35" s="29" t="s">
        <v>134</v>
      </c>
      <c r="E35" s="52" t="str">
        <f aca="false">IF($D$8="Mesa de Ayuda","N2 · Administrado",IF($D$8="Mesa de Soporte","N3 · Definido","—"))</f>
        <v>—</v>
      </c>
      <c r="F35" s="53"/>
      <c r="G35" s="54"/>
      <c r="H35" s="55" t="str">
        <f aca="false">IF(AND(F35&lt;&gt;"",G35&lt;&gt;""),G35-F35,"")</f>
        <v/>
      </c>
      <c r="I35" s="56"/>
      <c r="J35" s="56"/>
      <c r="K35" s="57" t="str">
        <f aca="false">IF(F35="","—",IF(F35&lt;$D$16,"⛔ Bajo mínimo",IF(F35=$D$16,"✅ En mínimo","✔ Sobre mínimo")))</f>
        <v>—</v>
      </c>
    </row>
    <row r="36" customFormat="false" ht="30" hidden="false" customHeight="true" outlineLevel="0" collapsed="false">
      <c r="B36" s="21" t="n">
        <v>14</v>
      </c>
      <c r="C36" s="34" t="s">
        <v>200</v>
      </c>
      <c r="D36" s="32" t="s">
        <v>161</v>
      </c>
      <c r="E36" s="52" t="str">
        <f aca="false">IF($D$8="Mesa de Ayuda","N2 · Administrado",IF($D$8="Mesa de Soporte","N3 · Definido","—"))</f>
        <v>—</v>
      </c>
      <c r="F36" s="53"/>
      <c r="G36" s="54"/>
      <c r="H36" s="55" t="str">
        <f aca="false">IF(AND(F36&lt;&gt;"",G36&lt;&gt;""),G36-F36,"")</f>
        <v/>
      </c>
      <c r="I36" s="56"/>
      <c r="J36" s="56"/>
      <c r="K36" s="57" t="str">
        <f aca="false">IF(F36="","—",IF(F36&lt;$D$16,"⛔ Bajo mínimo",IF(F36=$D$16,"✅ En mínimo","✔ Sobre mínimo")))</f>
        <v>—</v>
      </c>
    </row>
    <row r="37" customFormat="false" ht="30" hidden="false" customHeight="true" outlineLevel="0" collapsed="false">
      <c r="B37" s="21" t="n">
        <v>15</v>
      </c>
      <c r="C37" s="34" t="s">
        <v>206</v>
      </c>
      <c r="D37" s="32" t="s">
        <v>161</v>
      </c>
      <c r="E37" s="52" t="str">
        <f aca="false">IF($D$8="Mesa de Ayuda","N2 · Administrado",IF($D$8="Mesa de Soporte","N3 · Definido","—"))</f>
        <v>—</v>
      </c>
      <c r="F37" s="53"/>
      <c r="G37" s="54"/>
      <c r="H37" s="55" t="str">
        <f aca="false">IF(AND(F37&lt;&gt;"",G37&lt;&gt;""),G37-F37,"")</f>
        <v/>
      </c>
      <c r="I37" s="56"/>
      <c r="J37" s="56"/>
      <c r="K37" s="57" t="str">
        <f aca="false">IF(F37="","—",IF(F37&lt;$D$16,"⛔ Bajo mínimo",IF(F37=$D$16,"✅ En mínimo","✔ Sobre mínimo")))</f>
        <v>—</v>
      </c>
    </row>
    <row r="38" customFormat="false" ht="30" hidden="false" customHeight="true" outlineLevel="0" collapsed="false">
      <c r="B38" s="21" t="n">
        <v>16</v>
      </c>
      <c r="C38" s="34" t="s">
        <v>212</v>
      </c>
      <c r="D38" s="29" t="s">
        <v>213</v>
      </c>
      <c r="E38" s="52" t="str">
        <f aca="false">IF($D$8="Mesa de Ayuda","N2 · Administrado",IF($D$8="Mesa de Soporte","N3 · Definido","—"))</f>
        <v>—</v>
      </c>
      <c r="F38" s="53"/>
      <c r="G38" s="54"/>
      <c r="H38" s="55" t="str">
        <f aca="false">IF(AND(F38&lt;&gt;"",G38&lt;&gt;""),G38-F38,"")</f>
        <v/>
      </c>
      <c r="I38" s="56"/>
      <c r="J38" s="56"/>
      <c r="K38" s="57" t="str">
        <f aca="false">IF(F38="","—",IF(F38&lt;$D$16,"⛔ Bajo mínimo",IF(F38=$D$16,"✅ En mínimo","✔ Sobre mínimo")))</f>
        <v>—</v>
      </c>
    </row>
    <row r="39" customFormat="false" ht="30" hidden="false" customHeight="true" outlineLevel="0" collapsed="false">
      <c r="B39" s="21" t="n">
        <v>17</v>
      </c>
      <c r="C39" s="34" t="s">
        <v>219</v>
      </c>
      <c r="D39" s="35" t="s">
        <v>220</v>
      </c>
      <c r="E39" s="52" t="str">
        <f aca="false">IF($D$8="Mesa de Ayuda","N2 · Administrado",IF($D$8="Mesa de Soporte","N3 · Definido","—"))</f>
        <v>—</v>
      </c>
      <c r="F39" s="53"/>
      <c r="G39" s="54"/>
      <c r="H39" s="55" t="str">
        <f aca="false">IF(AND(F39&lt;&gt;"",G39&lt;&gt;""),G39-F39,"")</f>
        <v/>
      </c>
      <c r="I39" s="56"/>
      <c r="J39" s="56"/>
      <c r="K39" s="57" t="str">
        <f aca="false">IF(F39="","—",IF(F39&lt;$D$16,"⛔ Bajo mínimo",IF(F39=$D$16,"✅ En mínimo","✔ Sobre mínimo")))</f>
        <v>—</v>
      </c>
    </row>
    <row r="40" customFormat="false" ht="19.5" hidden="false" customHeight="true" outlineLevel="0" collapsed="false">
      <c r="B40" s="37" t="s">
        <v>276</v>
      </c>
      <c r="C40" s="37"/>
      <c r="D40" s="37"/>
      <c r="E40" s="37"/>
      <c r="F40" s="37"/>
      <c r="G40" s="37"/>
      <c r="H40" s="37"/>
      <c r="I40" s="37"/>
      <c r="J40" s="37"/>
    </row>
    <row r="41" customFormat="false" ht="30" hidden="false" customHeight="true" outlineLevel="0" collapsed="false">
      <c r="B41" s="21" t="n">
        <v>18</v>
      </c>
      <c r="C41" s="37" t="s">
        <v>228</v>
      </c>
      <c r="D41" s="38" t="s">
        <v>229</v>
      </c>
      <c r="E41" s="58" t="str">
        <f aca="false">IF($D$8="Mesa de Ayuda","N2 · Administrado",IF($D$8="Mesa de Soporte","N2 · Administrado","—"))</f>
        <v>—</v>
      </c>
      <c r="F41" s="53"/>
      <c r="G41" s="54"/>
      <c r="H41" s="55" t="str">
        <f aca="false">IF(AND(F41&lt;&gt;"",G41&lt;&gt;""),G41-F41,"")</f>
        <v/>
      </c>
      <c r="I41" s="56"/>
      <c r="J41" s="56"/>
      <c r="K41" s="59" t="str">
        <f aca="false">IF(F41="","—",IF(F41&lt;2,"⛔ Bajo N2",IF(F41=2,"✅ En N2","✔ Sobre N2")))</f>
        <v>—</v>
      </c>
    </row>
    <row r="42" customFormat="false" ht="30" hidden="false" customHeight="true" outlineLevel="0" collapsed="false">
      <c r="B42" s="21" t="n">
        <v>19</v>
      </c>
      <c r="C42" s="37" t="s">
        <v>235</v>
      </c>
      <c r="D42" s="38" t="s">
        <v>229</v>
      </c>
      <c r="E42" s="58" t="str">
        <f aca="false">IF($D$8="Mesa de Ayuda","N2 · Administrado",IF($D$8="Mesa de Soporte","N2 · Administrado","—"))</f>
        <v>—</v>
      </c>
      <c r="F42" s="53"/>
      <c r="G42" s="54"/>
      <c r="H42" s="55" t="str">
        <f aca="false">IF(AND(F42&lt;&gt;"",G42&lt;&gt;""),G42-F42,"")</f>
        <v/>
      </c>
      <c r="I42" s="56"/>
      <c r="J42" s="56"/>
      <c r="K42" s="59" t="str">
        <f aca="false">IF(F42="","—",IF(F42&lt;2,"⛔ Bajo N2",IF(F42=2,"✅ En N2","✔ Sobre N2")))</f>
        <v>—</v>
      </c>
    </row>
    <row r="43" customFormat="false" ht="30" hidden="false" customHeight="true" outlineLevel="0" collapsed="false">
      <c r="B43" s="21" t="n">
        <v>20</v>
      </c>
      <c r="C43" s="37" t="s">
        <v>241</v>
      </c>
      <c r="D43" s="38" t="s">
        <v>229</v>
      </c>
      <c r="E43" s="58" t="str">
        <f aca="false">IF($D$8="Mesa de Ayuda","N2 · Administrado",IF($D$8="Mesa de Soporte","N2 · Administrado","—"))</f>
        <v>—</v>
      </c>
      <c r="F43" s="53"/>
      <c r="G43" s="54"/>
      <c r="H43" s="55" t="str">
        <f aca="false">IF(AND(F43&lt;&gt;"",G43&lt;&gt;""),G43-F43,"")</f>
        <v/>
      </c>
      <c r="I43" s="56"/>
      <c r="J43" s="56"/>
      <c r="K43" s="59" t="str">
        <f aca="false">IF(F43="","—",IF(F43&lt;2,"⛔ Bajo N2",IF(F43=2,"✅ En N2","✔ Sobre N2")))</f>
        <v>—</v>
      </c>
    </row>
    <row r="44" customFormat="false" ht="30" hidden="false" customHeight="true" outlineLevel="0" collapsed="false">
      <c r="B44" s="21" t="n">
        <v>21</v>
      </c>
      <c r="C44" s="37" t="s">
        <v>247</v>
      </c>
      <c r="D44" s="38" t="s">
        <v>229</v>
      </c>
      <c r="E44" s="58" t="str">
        <f aca="false">IF($D$8="Mesa de Ayuda","N2 · Administrado",IF($D$8="Mesa de Soporte","N2 · Administrado","—"))</f>
        <v>—</v>
      </c>
      <c r="F44" s="53"/>
      <c r="G44" s="54"/>
      <c r="H44" s="55" t="str">
        <f aca="false">IF(AND(F44&lt;&gt;"",G44&lt;&gt;""),G44-F44,"")</f>
        <v/>
      </c>
      <c r="I44" s="56"/>
      <c r="J44" s="56"/>
      <c r="K44" s="59" t="str">
        <f aca="false">IF(F44="","—",IF(F44&lt;2,"⛔ Bajo N2",IF(F44=2,"✅ En N2","✔ Sobre N2")))</f>
        <v>—</v>
      </c>
    </row>
  </sheetData>
  <mergeCells count="17">
    <mergeCell ref="C2:J2"/>
    <mergeCell ref="C3:J3"/>
    <mergeCell ref="D5:H5"/>
    <mergeCell ref="D6:H6"/>
    <mergeCell ref="D7:H7"/>
    <mergeCell ref="D8:H8"/>
    <mergeCell ref="D9:H9"/>
    <mergeCell ref="D10:H10"/>
    <mergeCell ref="D11:H11"/>
    <mergeCell ref="D12:H12"/>
    <mergeCell ref="D13:H13"/>
    <mergeCell ref="D15:G15"/>
    <mergeCell ref="B19:J19"/>
    <mergeCell ref="B22:J22"/>
    <mergeCell ref="B27:J27"/>
    <mergeCell ref="B32:J32"/>
    <mergeCell ref="B40:J40"/>
  </mergeCells>
  <conditionalFormatting sqref="F19:F44">
    <cfRule type="expression" priority="2" aboveAverage="0" equalAverage="0" bottom="0" percent="0" rank="0" text="" dxfId="0">
      <formula>AND(F19&lt;&gt;"",$D$16&gt;0,ISNUMBER(F19),F19&lt;$D$16)</formula>
    </cfRule>
    <cfRule type="colorScale" priority="3">
      <colorScale>
        <cfvo type="num" val="0"/>
        <cfvo type="num" val="3"/>
        <cfvo type="num" val="5"/>
        <color rgb="FFF0997B"/>
        <color rgb="FFFAC775"/>
        <color rgb="FF9FE1CB"/>
      </colorScale>
    </cfRule>
  </conditionalFormatting>
  <conditionalFormatting sqref="H19:H44">
    <cfRule type="cellIs" priority="4" operator="greaterThan" aboveAverage="0" equalAverage="0" bottom="0" percent="0" rank="0" text="" dxfId="1">
      <formula>1</formula>
    </cfRule>
    <cfRule type="cellIs" priority="5" operator="lessThan" aboveAverage="0" equalAverage="0" bottom="0" percent="0" rank="0" text="" dxfId="0">
      <formula>0</formula>
    </cfRule>
  </conditionalFormatting>
  <conditionalFormatting sqref="H20:H44">
    <cfRule type="cellIs" priority="6" operator="lessThan" aboveAverage="0" equalAverage="0" bottom="0" percent="0" rank="0" text="" dxfId="2">
      <formula>0</formula>
    </cfRule>
    <cfRule type="cellIs" priority="7" operator="equal" aboveAverage="0" equalAverage="0" bottom="0" percent="0" rank="0" text="" dxfId="3">
      <formula>0</formula>
    </cfRule>
    <cfRule type="cellIs" priority="8" operator="greaterThan" aboveAverage="0" equalAverage="0" bottom="0" percent="0" rank="0" text="" dxfId="4">
      <formula>0</formula>
    </cfRule>
  </conditionalFormatting>
  <dataValidations count="1">
    <dataValidation allowBlank="true" error="Ingresa 0 (N0) a 5 (N5)" errorStyle="stop" errorTitle="Nivel inválido" operator="between" showDropDown="false" showErrorMessage="true" showInputMessage="false" sqref="F20:F44" type="list">
      <formula1>"0,1,2,3,4,5"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K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8" topLeftCell="C19" activePane="bottomRight" state="frozen"/>
      <selection pane="topLeft" activeCell="A1" activeCellId="0" sqref="A1"/>
      <selection pane="topRight" activeCell="C1" activeCellId="0" sqref="C1"/>
      <selection pane="bottomLeft" activeCell="A19" activeCellId="0" sqref="A19"/>
      <selection pane="bottomRight" activeCell="A1" activeCellId="0" sqref="A1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"/>
    <col collapsed="false" customWidth="true" hidden="false" outlineLevel="0" max="3" min="3" style="0" width="30"/>
    <col collapsed="false" customWidth="true" hidden="false" outlineLevel="0" max="4" min="4" style="0" width="20"/>
    <col collapsed="false" customWidth="true" hidden="false" outlineLevel="0" max="5" min="5" style="0" width="16"/>
    <col collapsed="false" customWidth="true" hidden="false" outlineLevel="0" max="7" min="6" style="0" width="13"/>
    <col collapsed="false" customWidth="true" hidden="false" outlineLevel="0" max="8" min="8" style="0" width="8"/>
    <col collapsed="false" customWidth="true" hidden="false" outlineLevel="0" max="9" min="9" style="0" width="40"/>
    <col collapsed="false" customWidth="true" hidden="false" outlineLevel="0" max="10" min="10" style="0" width="18"/>
    <col collapsed="false" customWidth="true" hidden="false" outlineLevel="0" max="11" min="11" style="0" width="14"/>
  </cols>
  <sheetData>
    <row r="2" customFormat="false" ht="17.25" hidden="false" customHeight="true" outlineLevel="0" collapsed="false">
      <c r="C2" s="39" t="s">
        <v>281</v>
      </c>
      <c r="D2" s="39"/>
      <c r="E2" s="39"/>
      <c r="F2" s="39"/>
      <c r="G2" s="39"/>
      <c r="H2" s="39"/>
      <c r="I2" s="39"/>
      <c r="J2" s="39"/>
    </row>
    <row r="3" customFormat="false" ht="15" hidden="false" customHeight="true" outlineLevel="0" collapsed="false">
      <c r="C3" s="10" t="s">
        <v>254</v>
      </c>
      <c r="D3" s="10"/>
      <c r="E3" s="10"/>
      <c r="F3" s="10"/>
      <c r="G3" s="10"/>
      <c r="H3" s="10"/>
      <c r="I3" s="10"/>
      <c r="J3" s="10"/>
    </row>
    <row r="5" customFormat="false" ht="15" hidden="false" customHeight="true" outlineLevel="0" collapsed="false">
      <c r="C5" s="4" t="s">
        <v>255</v>
      </c>
      <c r="D5" s="40" t="s">
        <v>282</v>
      </c>
      <c r="E5" s="40"/>
      <c r="F5" s="40"/>
      <c r="G5" s="40"/>
      <c r="H5" s="40"/>
    </row>
    <row r="6" customFormat="false" ht="15" hidden="false" customHeight="true" outlineLevel="0" collapsed="false">
      <c r="C6" s="4" t="s">
        <v>257</v>
      </c>
      <c r="D6" s="40" t="s">
        <v>65</v>
      </c>
      <c r="E6" s="40"/>
      <c r="F6" s="40"/>
      <c r="G6" s="40"/>
      <c r="H6" s="40"/>
    </row>
    <row r="7" customFormat="false" ht="15" hidden="false" customHeight="true" outlineLevel="0" collapsed="false">
      <c r="C7" s="4" t="s">
        <v>258</v>
      </c>
      <c r="D7" s="40" t="s">
        <v>259</v>
      </c>
      <c r="E7" s="40"/>
      <c r="F7" s="40"/>
      <c r="G7" s="40"/>
      <c r="H7" s="40"/>
    </row>
    <row r="8" customFormat="false" ht="15" hidden="false" customHeight="true" outlineLevel="0" collapsed="false">
      <c r="C8" s="4" t="s">
        <v>260</v>
      </c>
      <c r="D8" s="40"/>
      <c r="E8" s="40"/>
      <c r="F8" s="40"/>
      <c r="G8" s="40"/>
      <c r="H8" s="40"/>
    </row>
    <row r="9" customFormat="false" ht="15" hidden="false" customHeight="true" outlineLevel="0" collapsed="false">
      <c r="C9" s="4" t="s">
        <v>261</v>
      </c>
      <c r="D9" s="40" t="s">
        <v>73</v>
      </c>
      <c r="E9" s="40"/>
      <c r="F9" s="40"/>
      <c r="G9" s="40"/>
      <c r="H9" s="40"/>
    </row>
    <row r="10" customFormat="false" ht="15" hidden="false" customHeight="true" outlineLevel="0" collapsed="false">
      <c r="C10" s="4" t="s">
        <v>262</v>
      </c>
      <c r="D10" s="40"/>
      <c r="E10" s="40"/>
      <c r="F10" s="40"/>
      <c r="G10" s="40"/>
      <c r="H10" s="40"/>
    </row>
    <row r="11" customFormat="false" ht="15" hidden="false" customHeight="true" outlineLevel="0" collapsed="false">
      <c r="C11" s="4" t="s">
        <v>263</v>
      </c>
      <c r="D11" s="41"/>
      <c r="E11" s="41"/>
      <c r="F11" s="41"/>
      <c r="G11" s="41"/>
      <c r="H11" s="41"/>
    </row>
    <row r="12" customFormat="false" ht="15" hidden="false" customHeight="true" outlineLevel="0" collapsed="false">
      <c r="C12" s="4" t="s">
        <v>264</v>
      </c>
      <c r="D12" s="40"/>
      <c r="E12" s="40"/>
      <c r="F12" s="40"/>
      <c r="G12" s="40"/>
      <c r="H12" s="40"/>
    </row>
    <row r="13" customFormat="false" ht="15" hidden="false" customHeight="true" outlineLevel="0" collapsed="false">
      <c r="C13" s="4" t="s">
        <v>265</v>
      </c>
      <c r="D13" s="40"/>
      <c r="E13" s="40"/>
      <c r="F13" s="40"/>
      <c r="G13" s="40"/>
      <c r="H13" s="40"/>
    </row>
    <row r="15" customFormat="false" ht="15.75" hidden="false" customHeight="true" outlineLevel="0" collapsed="false">
      <c r="C15" s="42" t="s">
        <v>266</v>
      </c>
      <c r="D15" s="43" t="str">
        <f aca="false">IF(D8="Mesa de Ayuda","N2 · Administrado",IF(D8="Mesa de Soporte","N3 · Definido","— Seleccionar tipo"))</f>
        <v>— Seleccionar tipo</v>
      </c>
      <c r="E15" s="43"/>
      <c r="F15" s="43"/>
      <c r="G15" s="43"/>
      <c r="I15" s="42" t="s">
        <v>267</v>
      </c>
      <c r="J15" s="44" t="str">
        <f aca="false">IFERROR(AVERAGEIF(F20:F39,"&lt;&gt;"),"")</f>
        <v/>
      </c>
    </row>
    <row r="16" customFormat="false" ht="15" hidden="false" customHeight="true" outlineLevel="0" collapsed="false">
      <c r="C16" s="45" t="s">
        <v>268</v>
      </c>
      <c r="D16" s="46" t="n">
        <f aca="false">IF(D8="Mesa de Ayuda",2,IF(D8="Mesa de Soporte",3,0))</f>
        <v>0</v>
      </c>
    </row>
    <row r="18" customFormat="false" ht="42" hidden="false" customHeight="true" outlineLevel="0" collapsed="false">
      <c r="B18" s="14" t="s">
        <v>101</v>
      </c>
      <c r="C18" s="14" t="s">
        <v>102</v>
      </c>
      <c r="D18" s="14" t="s">
        <v>103</v>
      </c>
      <c r="E18" s="47" t="s">
        <v>269</v>
      </c>
      <c r="F18" s="48" t="s">
        <v>270</v>
      </c>
      <c r="G18" s="49" t="s">
        <v>271</v>
      </c>
      <c r="H18" s="50" t="s">
        <v>272</v>
      </c>
      <c r="I18" s="14" t="s">
        <v>273</v>
      </c>
      <c r="J18" s="14" t="s">
        <v>274</v>
      </c>
      <c r="K18" s="51" t="s">
        <v>275</v>
      </c>
    </row>
    <row r="19" customFormat="false" ht="19.5" hidden="false" customHeight="true" outlineLevel="0" collapsed="false">
      <c r="B19" s="22" t="s">
        <v>16</v>
      </c>
      <c r="C19" s="22"/>
      <c r="D19" s="22"/>
      <c r="E19" s="22"/>
      <c r="F19" s="22"/>
      <c r="G19" s="22"/>
      <c r="H19" s="22"/>
      <c r="I19" s="22"/>
      <c r="J19" s="22"/>
    </row>
    <row r="20" customFormat="false" ht="30" hidden="false" customHeight="true" outlineLevel="0" collapsed="false">
      <c r="B20" s="21" t="n">
        <v>1</v>
      </c>
      <c r="C20" s="22" t="s">
        <v>111</v>
      </c>
      <c r="D20" s="23" t="s">
        <v>112</v>
      </c>
      <c r="E20" s="52" t="str">
        <f aca="false">IF($D$8="Mesa de Ayuda","N2 · Administrado",IF($D$8="Mesa de Soporte","N3 · Definido","—"))</f>
        <v>—</v>
      </c>
      <c r="F20" s="53"/>
      <c r="G20" s="54"/>
      <c r="H20" s="55" t="str">
        <f aca="false">IF(AND(F20&lt;&gt;"",G20&lt;&gt;""),G20-F20,"")</f>
        <v/>
      </c>
      <c r="I20" s="56"/>
      <c r="J20" s="56"/>
      <c r="K20" s="57" t="str">
        <f aca="false">IF(F20="","—",IF(F20&lt;$D$16,"⛔ Bajo mínimo",IF(F20=$D$16,"✅ En mínimo","✔ Sobre mínimo")))</f>
        <v>—</v>
      </c>
    </row>
    <row r="21" customFormat="false" ht="30" hidden="false" customHeight="true" outlineLevel="0" collapsed="false">
      <c r="B21" s="21" t="n">
        <v>2</v>
      </c>
      <c r="C21" s="22" t="s">
        <v>119</v>
      </c>
      <c r="D21" s="26" t="s">
        <v>120</v>
      </c>
      <c r="E21" s="52" t="str">
        <f aca="false">IF($D$8="Mesa de Ayuda","N2 · Administrado",IF($D$8="Mesa de Soporte","N3 · Definido","—"))</f>
        <v>—</v>
      </c>
      <c r="F21" s="53"/>
      <c r="G21" s="54"/>
      <c r="H21" s="55" t="str">
        <f aca="false">IF(AND(F21&lt;&gt;"",G21&lt;&gt;""),G21-F21,"")</f>
        <v/>
      </c>
      <c r="I21" s="56"/>
      <c r="J21" s="56"/>
      <c r="K21" s="57" t="str">
        <f aca="false">IF(F21="","—",IF(F21&lt;$D$16,"⛔ Bajo mínimo",IF(F21=$D$16,"✅ En mínimo","✔ Sobre mínimo")))</f>
        <v>—</v>
      </c>
    </row>
    <row r="22" customFormat="false" ht="19.5" hidden="false" customHeight="true" outlineLevel="0" collapsed="false">
      <c r="B22" s="28" t="s">
        <v>18</v>
      </c>
      <c r="C22" s="28"/>
      <c r="D22" s="28"/>
      <c r="E22" s="28"/>
      <c r="F22" s="28"/>
      <c r="G22" s="28"/>
      <c r="H22" s="28"/>
      <c r="I22" s="28"/>
      <c r="J22" s="28"/>
    </row>
    <row r="23" customFormat="false" ht="30" hidden="false" customHeight="true" outlineLevel="0" collapsed="false">
      <c r="B23" s="21" t="n">
        <v>3</v>
      </c>
      <c r="C23" s="28" t="s">
        <v>127</v>
      </c>
      <c r="D23" s="26" t="s">
        <v>120</v>
      </c>
      <c r="E23" s="52" t="str">
        <f aca="false">IF($D$8="Mesa de Ayuda","N2 · Administrado",IF($D$8="Mesa de Soporte","N3 · Definido","—"))</f>
        <v>—</v>
      </c>
      <c r="F23" s="53"/>
      <c r="G23" s="54"/>
      <c r="H23" s="55" t="str">
        <f aca="false">IF(AND(F23&lt;&gt;"",G23&lt;&gt;""),G23-F23,"")</f>
        <v/>
      </c>
      <c r="I23" s="56"/>
      <c r="J23" s="56"/>
      <c r="K23" s="57" t="str">
        <f aca="false">IF(F23="","—",IF(F23&lt;$D$16,"⛔ Bajo mínimo",IF(F23=$D$16,"✅ En mínimo","✔ Sobre mínimo")))</f>
        <v>—</v>
      </c>
    </row>
    <row r="24" customFormat="false" ht="30" hidden="false" customHeight="true" outlineLevel="0" collapsed="false">
      <c r="B24" s="21" t="n">
        <v>4</v>
      </c>
      <c r="C24" s="28" t="s">
        <v>133</v>
      </c>
      <c r="D24" s="29" t="s">
        <v>134</v>
      </c>
      <c r="E24" s="52" t="str">
        <f aca="false">IF($D$8="Mesa de Ayuda","N2 · Administrado",IF($D$8="Mesa de Soporte","N3 · Definido","—"))</f>
        <v>—</v>
      </c>
      <c r="F24" s="53"/>
      <c r="G24" s="54"/>
      <c r="H24" s="55" t="str">
        <f aca="false">IF(AND(F24&lt;&gt;"",G24&lt;&gt;""),G24-F24,"")</f>
        <v/>
      </c>
      <c r="I24" s="56"/>
      <c r="J24" s="56"/>
      <c r="K24" s="57" t="str">
        <f aca="false">IF(F24="","—",IF(F24&lt;$D$16,"⛔ Bajo mínimo",IF(F24=$D$16,"✅ En mínimo","✔ Sobre mínimo")))</f>
        <v>—</v>
      </c>
    </row>
    <row r="25" customFormat="false" ht="30" hidden="false" customHeight="true" outlineLevel="0" collapsed="false">
      <c r="B25" s="21" t="n">
        <v>5</v>
      </c>
      <c r="C25" s="28" t="s">
        <v>141</v>
      </c>
      <c r="D25" s="23" t="s">
        <v>112</v>
      </c>
      <c r="E25" s="52" t="str">
        <f aca="false">IF($D$8="Mesa de Ayuda","N2 · Administrado",IF($D$8="Mesa de Soporte","N3 · Definido","—"))</f>
        <v>—</v>
      </c>
      <c r="F25" s="53"/>
      <c r="G25" s="54"/>
      <c r="H25" s="55" t="str">
        <f aca="false">IF(AND(F25&lt;&gt;"",G25&lt;&gt;""),G25-F25,"")</f>
        <v/>
      </c>
      <c r="I25" s="56"/>
      <c r="J25" s="56"/>
      <c r="K25" s="57" t="str">
        <f aca="false">IF(F25="","—",IF(F25&lt;$D$16,"⛔ Bajo mínimo",IF(F25=$D$16,"✅ En mínimo","✔ Sobre mínimo")))</f>
        <v>—</v>
      </c>
    </row>
    <row r="26" customFormat="false" ht="30" hidden="false" customHeight="true" outlineLevel="0" collapsed="false">
      <c r="B26" s="21" t="n">
        <v>6</v>
      </c>
      <c r="C26" s="28" t="s">
        <v>147</v>
      </c>
      <c r="D26" s="29" t="s">
        <v>134</v>
      </c>
      <c r="E26" s="52" t="str">
        <f aca="false">IF($D$8="Mesa de Ayuda","N2 · Administrado",IF($D$8="Mesa de Soporte","N3 · Definido","—"))</f>
        <v>—</v>
      </c>
      <c r="F26" s="53"/>
      <c r="G26" s="54"/>
      <c r="H26" s="55" t="str">
        <f aca="false">IF(AND(F26&lt;&gt;"",G26&lt;&gt;""),G26-F26,"")</f>
        <v/>
      </c>
      <c r="I26" s="56"/>
      <c r="J26" s="56"/>
      <c r="K26" s="57" t="str">
        <f aca="false">IF(F26="","—",IF(F26&lt;$D$16,"⛔ Bajo mínimo",IF(F26=$D$16,"✅ En mínimo","✔ Sobre mínimo")))</f>
        <v>—</v>
      </c>
    </row>
    <row r="27" customFormat="false" ht="19.5" hidden="false" customHeight="true" outlineLevel="0" collapsed="false">
      <c r="B27" s="31" t="s">
        <v>20</v>
      </c>
      <c r="C27" s="31"/>
      <c r="D27" s="31"/>
      <c r="E27" s="31"/>
      <c r="F27" s="31"/>
      <c r="G27" s="31"/>
      <c r="H27" s="31"/>
      <c r="I27" s="31"/>
      <c r="J27" s="31"/>
    </row>
    <row r="28" customFormat="false" ht="30" hidden="false" customHeight="true" outlineLevel="0" collapsed="false">
      <c r="B28" s="21" t="n">
        <v>7</v>
      </c>
      <c r="C28" s="31" t="s">
        <v>154</v>
      </c>
      <c r="D28" s="29" t="s">
        <v>134</v>
      </c>
      <c r="E28" s="52" t="str">
        <f aca="false">IF($D$8="Mesa de Ayuda","N2 · Administrado",IF($D$8="Mesa de Soporte","N3 · Definido","—"))</f>
        <v>—</v>
      </c>
      <c r="F28" s="53"/>
      <c r="G28" s="54"/>
      <c r="H28" s="55" t="str">
        <f aca="false">IF(AND(F28&lt;&gt;"",G28&lt;&gt;""),G28-F28,"")</f>
        <v/>
      </c>
      <c r="I28" s="56"/>
      <c r="J28" s="56"/>
      <c r="K28" s="57" t="str">
        <f aca="false">IF(F28="","—",IF(F28&lt;$D$16,"⛔ Bajo mínimo",IF(F28=$D$16,"✅ En mínimo","✔ Sobre mínimo")))</f>
        <v>—</v>
      </c>
    </row>
    <row r="29" customFormat="false" ht="30" hidden="false" customHeight="true" outlineLevel="0" collapsed="false">
      <c r="B29" s="21" t="n">
        <v>8</v>
      </c>
      <c r="C29" s="31" t="s">
        <v>160</v>
      </c>
      <c r="D29" s="32" t="s">
        <v>161</v>
      </c>
      <c r="E29" s="52" t="str">
        <f aca="false">IF($D$8="Mesa de Ayuda","N2 · Administrado",IF($D$8="Mesa de Soporte","N3 · Definido","—"))</f>
        <v>—</v>
      </c>
      <c r="F29" s="53"/>
      <c r="G29" s="54"/>
      <c r="H29" s="55" t="str">
        <f aca="false">IF(AND(F29&lt;&gt;"",G29&lt;&gt;""),G29-F29,"")</f>
        <v/>
      </c>
      <c r="I29" s="56"/>
      <c r="J29" s="56"/>
      <c r="K29" s="57" t="str">
        <f aca="false">IF(F29="","—",IF(F29&lt;$D$16,"⛔ Bajo mínimo",IF(F29=$D$16,"✅ En mínimo","✔ Sobre mínimo")))</f>
        <v>—</v>
      </c>
    </row>
    <row r="30" customFormat="false" ht="30" hidden="false" customHeight="true" outlineLevel="0" collapsed="false">
      <c r="B30" s="21" t="n">
        <v>9</v>
      </c>
      <c r="C30" s="31" t="s">
        <v>167</v>
      </c>
      <c r="D30" s="32" t="s">
        <v>161</v>
      </c>
      <c r="E30" s="52" t="str">
        <f aca="false">IF($D$8="Mesa de Ayuda","N2 · Administrado",IF($D$8="Mesa de Soporte","N3 · Definido","—"))</f>
        <v>—</v>
      </c>
      <c r="F30" s="53"/>
      <c r="G30" s="54"/>
      <c r="H30" s="55" t="str">
        <f aca="false">IF(AND(F30&lt;&gt;"",G30&lt;&gt;""),G30-F30,"")</f>
        <v/>
      </c>
      <c r="I30" s="56"/>
      <c r="J30" s="56"/>
      <c r="K30" s="57" t="str">
        <f aca="false">IF(F30="","—",IF(F30&lt;$D$16,"⛔ Bajo mínimo",IF(F30=$D$16,"✅ En mínimo","✔ Sobre mínimo")))</f>
        <v>—</v>
      </c>
    </row>
    <row r="31" customFormat="false" ht="30" hidden="false" customHeight="true" outlineLevel="0" collapsed="false">
      <c r="B31" s="21" t="n">
        <v>10</v>
      </c>
      <c r="C31" s="31" t="s">
        <v>173</v>
      </c>
      <c r="D31" s="23" t="s">
        <v>112</v>
      </c>
      <c r="E31" s="52" t="str">
        <f aca="false">IF($D$8="Mesa de Ayuda","N2 · Administrado",IF($D$8="Mesa de Soporte","N3 · Definido","—"))</f>
        <v>—</v>
      </c>
      <c r="F31" s="53"/>
      <c r="G31" s="54"/>
      <c r="H31" s="55" t="str">
        <f aca="false">IF(AND(F31&lt;&gt;"",G31&lt;&gt;""),G31-F31,"")</f>
        <v/>
      </c>
      <c r="I31" s="56"/>
      <c r="J31" s="56"/>
      <c r="K31" s="57" t="str">
        <f aca="false">IF(F31="","—",IF(F31&lt;$D$16,"⛔ Bajo mínimo",IF(F31=$D$16,"✅ En mínimo","✔ Sobre mínimo")))</f>
        <v>—</v>
      </c>
    </row>
    <row r="32" customFormat="false" ht="19.5" hidden="false" customHeight="true" outlineLevel="0" collapsed="false">
      <c r="B32" s="34" t="s">
        <v>22</v>
      </c>
      <c r="C32" s="34"/>
      <c r="D32" s="34"/>
      <c r="E32" s="34"/>
      <c r="F32" s="34"/>
      <c r="G32" s="34"/>
      <c r="H32" s="34"/>
      <c r="I32" s="34"/>
      <c r="J32" s="34"/>
    </row>
    <row r="33" customFormat="false" ht="30" hidden="false" customHeight="true" outlineLevel="0" collapsed="false">
      <c r="B33" s="21" t="n">
        <v>11</v>
      </c>
      <c r="C33" s="34" t="s">
        <v>181</v>
      </c>
      <c r="D33" s="29" t="s">
        <v>134</v>
      </c>
      <c r="E33" s="52" t="str">
        <f aca="false">IF($D$8="Mesa de Ayuda","N2 · Administrado",IF($D$8="Mesa de Soporte","N3 · Definido","—"))</f>
        <v>—</v>
      </c>
      <c r="F33" s="53"/>
      <c r="G33" s="54"/>
      <c r="H33" s="55" t="str">
        <f aca="false">IF(AND(F33&lt;&gt;"",G33&lt;&gt;""),G33-F33,"")</f>
        <v/>
      </c>
      <c r="I33" s="56"/>
      <c r="J33" s="56"/>
      <c r="K33" s="57" t="str">
        <f aca="false">IF(F33="","—",IF(F33&lt;$D$16,"⛔ Bajo mínimo",IF(F33=$D$16,"✅ En mínimo","✔ Sobre mínimo")))</f>
        <v>—</v>
      </c>
    </row>
    <row r="34" customFormat="false" ht="30" hidden="false" customHeight="true" outlineLevel="0" collapsed="false">
      <c r="B34" s="21" t="n">
        <v>12</v>
      </c>
      <c r="C34" s="34" t="s">
        <v>187</v>
      </c>
      <c r="D34" s="29" t="s">
        <v>134</v>
      </c>
      <c r="E34" s="52" t="str">
        <f aca="false">IF($D$8="Mesa de Ayuda","N2 · Administrado",IF($D$8="Mesa de Soporte","N3 · Definido","—"))</f>
        <v>—</v>
      </c>
      <c r="F34" s="53"/>
      <c r="G34" s="54"/>
      <c r="H34" s="55" t="str">
        <f aca="false">IF(AND(F34&lt;&gt;"",G34&lt;&gt;""),G34-F34,"")</f>
        <v/>
      </c>
      <c r="I34" s="56"/>
      <c r="J34" s="56"/>
      <c r="K34" s="57" t="str">
        <f aca="false">IF(F34="","—",IF(F34&lt;$D$16,"⛔ Bajo mínimo",IF(F34=$D$16,"✅ En mínimo","✔ Sobre mínimo")))</f>
        <v>—</v>
      </c>
    </row>
    <row r="35" customFormat="false" ht="30" hidden="false" customHeight="true" outlineLevel="0" collapsed="false">
      <c r="B35" s="21" t="n">
        <v>13</v>
      </c>
      <c r="C35" s="34" t="s">
        <v>194</v>
      </c>
      <c r="D35" s="29" t="s">
        <v>134</v>
      </c>
      <c r="E35" s="52" t="str">
        <f aca="false">IF($D$8="Mesa de Ayuda","N2 · Administrado",IF($D$8="Mesa de Soporte","N3 · Definido","—"))</f>
        <v>—</v>
      </c>
      <c r="F35" s="53"/>
      <c r="G35" s="54"/>
      <c r="H35" s="55" t="str">
        <f aca="false">IF(AND(F35&lt;&gt;"",G35&lt;&gt;""),G35-F35,"")</f>
        <v/>
      </c>
      <c r="I35" s="56"/>
      <c r="J35" s="56"/>
      <c r="K35" s="57" t="str">
        <f aca="false">IF(F35="","—",IF(F35&lt;$D$16,"⛔ Bajo mínimo",IF(F35=$D$16,"✅ En mínimo","✔ Sobre mínimo")))</f>
        <v>—</v>
      </c>
    </row>
    <row r="36" customFormat="false" ht="30" hidden="false" customHeight="true" outlineLevel="0" collapsed="false">
      <c r="B36" s="21" t="n">
        <v>14</v>
      </c>
      <c r="C36" s="34" t="s">
        <v>200</v>
      </c>
      <c r="D36" s="32" t="s">
        <v>161</v>
      </c>
      <c r="E36" s="52" t="str">
        <f aca="false">IF($D$8="Mesa de Ayuda","N2 · Administrado",IF($D$8="Mesa de Soporte","N3 · Definido","—"))</f>
        <v>—</v>
      </c>
      <c r="F36" s="53"/>
      <c r="G36" s="54"/>
      <c r="H36" s="55" t="str">
        <f aca="false">IF(AND(F36&lt;&gt;"",G36&lt;&gt;""),G36-F36,"")</f>
        <v/>
      </c>
      <c r="I36" s="56"/>
      <c r="J36" s="56"/>
      <c r="K36" s="57" t="str">
        <f aca="false">IF(F36="","—",IF(F36&lt;$D$16,"⛔ Bajo mínimo",IF(F36=$D$16,"✅ En mínimo","✔ Sobre mínimo")))</f>
        <v>—</v>
      </c>
    </row>
    <row r="37" customFormat="false" ht="30" hidden="false" customHeight="true" outlineLevel="0" collapsed="false">
      <c r="B37" s="21" t="n">
        <v>15</v>
      </c>
      <c r="C37" s="34" t="s">
        <v>206</v>
      </c>
      <c r="D37" s="32" t="s">
        <v>161</v>
      </c>
      <c r="E37" s="52" t="str">
        <f aca="false">IF($D$8="Mesa de Ayuda","N2 · Administrado",IF($D$8="Mesa de Soporte","N3 · Definido","—"))</f>
        <v>—</v>
      </c>
      <c r="F37" s="53"/>
      <c r="G37" s="54"/>
      <c r="H37" s="55" t="str">
        <f aca="false">IF(AND(F37&lt;&gt;"",G37&lt;&gt;""),G37-F37,"")</f>
        <v/>
      </c>
      <c r="I37" s="56"/>
      <c r="J37" s="56"/>
      <c r="K37" s="57" t="str">
        <f aca="false">IF(F37="","—",IF(F37&lt;$D$16,"⛔ Bajo mínimo",IF(F37=$D$16,"✅ En mínimo","✔ Sobre mínimo")))</f>
        <v>—</v>
      </c>
    </row>
    <row r="38" customFormat="false" ht="30" hidden="false" customHeight="true" outlineLevel="0" collapsed="false">
      <c r="B38" s="21" t="n">
        <v>16</v>
      </c>
      <c r="C38" s="34" t="s">
        <v>212</v>
      </c>
      <c r="D38" s="29" t="s">
        <v>213</v>
      </c>
      <c r="E38" s="52" t="str">
        <f aca="false">IF($D$8="Mesa de Ayuda","N2 · Administrado",IF($D$8="Mesa de Soporte","N3 · Definido","—"))</f>
        <v>—</v>
      </c>
      <c r="F38" s="53"/>
      <c r="G38" s="54"/>
      <c r="H38" s="55" t="str">
        <f aca="false">IF(AND(F38&lt;&gt;"",G38&lt;&gt;""),G38-F38,"")</f>
        <v/>
      </c>
      <c r="I38" s="56"/>
      <c r="J38" s="56"/>
      <c r="K38" s="57" t="str">
        <f aca="false">IF(F38="","—",IF(F38&lt;$D$16,"⛔ Bajo mínimo",IF(F38=$D$16,"✅ En mínimo","✔ Sobre mínimo")))</f>
        <v>—</v>
      </c>
    </row>
    <row r="39" customFormat="false" ht="30" hidden="false" customHeight="true" outlineLevel="0" collapsed="false">
      <c r="B39" s="21" t="n">
        <v>17</v>
      </c>
      <c r="C39" s="34" t="s">
        <v>219</v>
      </c>
      <c r="D39" s="35" t="s">
        <v>220</v>
      </c>
      <c r="E39" s="52" t="str">
        <f aca="false">IF($D$8="Mesa de Ayuda","N2 · Administrado",IF($D$8="Mesa de Soporte","N3 · Definido","—"))</f>
        <v>—</v>
      </c>
      <c r="F39" s="53"/>
      <c r="G39" s="54"/>
      <c r="H39" s="55" t="str">
        <f aca="false">IF(AND(F39&lt;&gt;"",G39&lt;&gt;""),G39-F39,"")</f>
        <v/>
      </c>
      <c r="I39" s="56"/>
      <c r="J39" s="56"/>
      <c r="K39" s="57" t="str">
        <f aca="false">IF(F39="","—",IF(F39&lt;$D$16,"⛔ Bajo mínimo",IF(F39=$D$16,"✅ En mínimo","✔ Sobre mínimo")))</f>
        <v>—</v>
      </c>
    </row>
    <row r="40" customFormat="false" ht="19.5" hidden="false" customHeight="true" outlineLevel="0" collapsed="false">
      <c r="B40" s="37" t="s">
        <v>276</v>
      </c>
      <c r="C40" s="37"/>
      <c r="D40" s="37"/>
      <c r="E40" s="37"/>
      <c r="F40" s="37"/>
      <c r="G40" s="37"/>
      <c r="H40" s="37"/>
      <c r="I40" s="37"/>
      <c r="J40" s="37"/>
    </row>
    <row r="41" customFormat="false" ht="30" hidden="false" customHeight="true" outlineLevel="0" collapsed="false">
      <c r="B41" s="21" t="n">
        <v>18</v>
      </c>
      <c r="C41" s="37" t="s">
        <v>228</v>
      </c>
      <c r="D41" s="38" t="s">
        <v>229</v>
      </c>
      <c r="E41" s="58" t="str">
        <f aca="false">IF($D$8="Mesa de Ayuda","N2 · Administrado",IF($D$8="Mesa de Soporte","N2 · Administrado","—"))</f>
        <v>—</v>
      </c>
      <c r="F41" s="53"/>
      <c r="G41" s="54"/>
      <c r="H41" s="55" t="str">
        <f aca="false">IF(AND(F41&lt;&gt;"",G41&lt;&gt;""),G41-F41,"")</f>
        <v/>
      </c>
      <c r="I41" s="56"/>
      <c r="J41" s="56"/>
      <c r="K41" s="59" t="str">
        <f aca="false">IF(F41="","—",IF(F41&lt;2,"⛔ Bajo N2",IF(F41=2,"✅ En N2","✔ Sobre N2")))</f>
        <v>—</v>
      </c>
    </row>
    <row r="42" customFormat="false" ht="30" hidden="false" customHeight="true" outlineLevel="0" collapsed="false">
      <c r="B42" s="21" t="n">
        <v>19</v>
      </c>
      <c r="C42" s="37" t="s">
        <v>235</v>
      </c>
      <c r="D42" s="38" t="s">
        <v>229</v>
      </c>
      <c r="E42" s="58" t="str">
        <f aca="false">IF($D$8="Mesa de Ayuda","N2 · Administrado",IF($D$8="Mesa de Soporte","N2 · Administrado","—"))</f>
        <v>—</v>
      </c>
      <c r="F42" s="53"/>
      <c r="G42" s="54"/>
      <c r="H42" s="55" t="str">
        <f aca="false">IF(AND(F42&lt;&gt;"",G42&lt;&gt;""),G42-F42,"")</f>
        <v/>
      </c>
      <c r="I42" s="56"/>
      <c r="J42" s="56"/>
      <c r="K42" s="59" t="str">
        <f aca="false">IF(F42="","—",IF(F42&lt;2,"⛔ Bajo N2",IF(F42=2,"✅ En N2","✔ Sobre N2")))</f>
        <v>—</v>
      </c>
    </row>
    <row r="43" customFormat="false" ht="30" hidden="false" customHeight="true" outlineLevel="0" collapsed="false">
      <c r="B43" s="21" t="n">
        <v>20</v>
      </c>
      <c r="C43" s="37" t="s">
        <v>241</v>
      </c>
      <c r="D43" s="38" t="s">
        <v>229</v>
      </c>
      <c r="E43" s="58" t="str">
        <f aca="false">IF($D$8="Mesa de Ayuda","N2 · Administrado",IF($D$8="Mesa de Soporte","N2 · Administrado","—"))</f>
        <v>—</v>
      </c>
      <c r="F43" s="53"/>
      <c r="G43" s="54"/>
      <c r="H43" s="55" t="str">
        <f aca="false">IF(AND(F43&lt;&gt;"",G43&lt;&gt;""),G43-F43,"")</f>
        <v/>
      </c>
      <c r="I43" s="56"/>
      <c r="J43" s="56"/>
      <c r="K43" s="59" t="str">
        <f aca="false">IF(F43="","—",IF(F43&lt;2,"⛔ Bajo N2",IF(F43=2,"✅ En N2","✔ Sobre N2")))</f>
        <v>—</v>
      </c>
    </row>
    <row r="44" customFormat="false" ht="30" hidden="false" customHeight="true" outlineLevel="0" collapsed="false">
      <c r="B44" s="21" t="n">
        <v>21</v>
      </c>
      <c r="C44" s="37" t="s">
        <v>247</v>
      </c>
      <c r="D44" s="38" t="s">
        <v>229</v>
      </c>
      <c r="E44" s="58" t="str">
        <f aca="false">IF($D$8="Mesa de Ayuda","N2 · Administrado",IF($D$8="Mesa de Soporte","N2 · Administrado","—"))</f>
        <v>—</v>
      </c>
      <c r="F44" s="53"/>
      <c r="G44" s="54"/>
      <c r="H44" s="55" t="str">
        <f aca="false">IF(AND(F44&lt;&gt;"",G44&lt;&gt;""),G44-F44,"")</f>
        <v/>
      </c>
      <c r="I44" s="56"/>
      <c r="J44" s="56"/>
      <c r="K44" s="59" t="str">
        <f aca="false">IF(F44="","—",IF(F44&lt;2,"⛔ Bajo N2",IF(F44=2,"✅ En N2","✔ Sobre N2")))</f>
        <v>—</v>
      </c>
    </row>
  </sheetData>
  <mergeCells count="17">
    <mergeCell ref="C2:J2"/>
    <mergeCell ref="C3:J3"/>
    <mergeCell ref="D5:H5"/>
    <mergeCell ref="D6:H6"/>
    <mergeCell ref="D7:H7"/>
    <mergeCell ref="D8:H8"/>
    <mergeCell ref="D9:H9"/>
    <mergeCell ref="D10:H10"/>
    <mergeCell ref="D11:H11"/>
    <mergeCell ref="D12:H12"/>
    <mergeCell ref="D13:H13"/>
    <mergeCell ref="D15:G15"/>
    <mergeCell ref="B19:J19"/>
    <mergeCell ref="B22:J22"/>
    <mergeCell ref="B27:J27"/>
    <mergeCell ref="B32:J32"/>
    <mergeCell ref="B40:J40"/>
  </mergeCells>
  <conditionalFormatting sqref="F19:F44">
    <cfRule type="expression" priority="2" aboveAverage="0" equalAverage="0" bottom="0" percent="0" rank="0" text="" dxfId="0">
      <formula>AND(F19&lt;&gt;"",$D$16&gt;0,ISNUMBER(F19),F19&lt;$D$16)</formula>
    </cfRule>
    <cfRule type="colorScale" priority="3">
      <colorScale>
        <cfvo type="num" val="0"/>
        <cfvo type="num" val="3"/>
        <cfvo type="num" val="5"/>
        <color rgb="FFF0997B"/>
        <color rgb="FFFAC775"/>
        <color rgb="FF9FE1CB"/>
      </colorScale>
    </cfRule>
  </conditionalFormatting>
  <conditionalFormatting sqref="H19:H44">
    <cfRule type="cellIs" priority="4" operator="greaterThan" aboveAverage="0" equalAverage="0" bottom="0" percent="0" rank="0" text="" dxfId="1">
      <formula>1</formula>
    </cfRule>
    <cfRule type="cellIs" priority="5" operator="lessThan" aboveAverage="0" equalAverage="0" bottom="0" percent="0" rank="0" text="" dxfId="0">
      <formula>0</formula>
    </cfRule>
  </conditionalFormatting>
  <conditionalFormatting sqref="H20:H44">
    <cfRule type="cellIs" priority="6" operator="lessThan" aboveAverage="0" equalAverage="0" bottom="0" percent="0" rank="0" text="" dxfId="2">
      <formula>0</formula>
    </cfRule>
    <cfRule type="cellIs" priority="7" operator="equal" aboveAverage="0" equalAverage="0" bottom="0" percent="0" rank="0" text="" dxfId="3">
      <formula>0</formula>
    </cfRule>
    <cfRule type="cellIs" priority="8" operator="greaterThan" aboveAverage="0" equalAverage="0" bottom="0" percent="0" rank="0" text="" dxfId="4">
      <formula>0</formula>
    </cfRule>
  </conditionalFormatting>
  <dataValidations count="1">
    <dataValidation allowBlank="true" error="Ingresa 0 (N0) a 5 (N5)" errorStyle="stop" errorTitle="Nivel inválido" operator="between" showDropDown="false" showErrorMessage="true" showInputMessage="false" sqref="F20:F44" type="list">
      <formula1>"0,1,2,3,4,5"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K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8" topLeftCell="C19" activePane="bottomRight" state="frozen"/>
      <selection pane="topLeft" activeCell="A1" activeCellId="0" sqref="A1"/>
      <selection pane="topRight" activeCell="C1" activeCellId="0" sqref="C1"/>
      <selection pane="bottomLeft" activeCell="A19" activeCellId="0" sqref="A19"/>
      <selection pane="bottomRight" activeCell="A1" activeCellId="0" sqref="A1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"/>
    <col collapsed="false" customWidth="true" hidden="false" outlineLevel="0" max="3" min="3" style="0" width="30"/>
    <col collapsed="false" customWidth="true" hidden="false" outlineLevel="0" max="4" min="4" style="0" width="20"/>
    <col collapsed="false" customWidth="true" hidden="false" outlineLevel="0" max="5" min="5" style="0" width="16"/>
    <col collapsed="false" customWidth="true" hidden="false" outlineLevel="0" max="7" min="6" style="0" width="13"/>
    <col collapsed="false" customWidth="true" hidden="false" outlineLevel="0" max="8" min="8" style="0" width="8"/>
    <col collapsed="false" customWidth="true" hidden="false" outlineLevel="0" max="9" min="9" style="0" width="40"/>
    <col collapsed="false" customWidth="true" hidden="false" outlineLevel="0" max="10" min="10" style="0" width="18"/>
    <col collapsed="false" customWidth="true" hidden="false" outlineLevel="0" max="11" min="11" style="0" width="14"/>
  </cols>
  <sheetData>
    <row r="2" customFormat="false" ht="17.25" hidden="false" customHeight="true" outlineLevel="0" collapsed="false">
      <c r="C2" s="60" t="s">
        <v>283</v>
      </c>
      <c r="D2" s="60"/>
      <c r="E2" s="60"/>
      <c r="F2" s="60"/>
      <c r="G2" s="60"/>
      <c r="H2" s="60"/>
      <c r="I2" s="60"/>
      <c r="J2" s="60"/>
    </row>
    <row r="3" customFormat="false" ht="15" hidden="false" customHeight="true" outlineLevel="0" collapsed="false">
      <c r="C3" s="10" t="s">
        <v>284</v>
      </c>
      <c r="D3" s="10"/>
      <c r="E3" s="10"/>
      <c r="F3" s="10"/>
      <c r="G3" s="10"/>
      <c r="H3" s="10"/>
      <c r="I3" s="10"/>
      <c r="J3" s="10"/>
    </row>
    <row r="5" customFormat="false" ht="15" hidden="false" customHeight="true" outlineLevel="0" collapsed="false">
      <c r="C5" s="4" t="s">
        <v>255</v>
      </c>
      <c r="D5" s="40" t="s">
        <v>285</v>
      </c>
      <c r="E5" s="40"/>
      <c r="F5" s="40"/>
      <c r="G5" s="40"/>
      <c r="H5" s="40"/>
    </row>
    <row r="6" customFormat="false" ht="15" hidden="false" customHeight="true" outlineLevel="0" collapsed="false">
      <c r="C6" s="4" t="s">
        <v>257</v>
      </c>
      <c r="D6" s="40" t="s">
        <v>72</v>
      </c>
      <c r="E6" s="40"/>
      <c r="F6" s="40"/>
      <c r="G6" s="40"/>
      <c r="H6" s="40"/>
    </row>
    <row r="7" customFormat="false" ht="15" hidden="false" customHeight="true" outlineLevel="0" collapsed="false">
      <c r="C7" s="4" t="s">
        <v>258</v>
      </c>
      <c r="D7" s="40" t="s">
        <v>64</v>
      </c>
      <c r="E7" s="40"/>
      <c r="F7" s="40"/>
      <c r="G7" s="40"/>
      <c r="H7" s="40"/>
    </row>
    <row r="8" customFormat="false" ht="15" hidden="false" customHeight="true" outlineLevel="0" collapsed="false">
      <c r="C8" s="4" t="s">
        <v>260</v>
      </c>
      <c r="D8" s="40"/>
      <c r="E8" s="40"/>
      <c r="F8" s="40"/>
      <c r="G8" s="40"/>
      <c r="H8" s="40"/>
    </row>
    <row r="9" customFormat="false" ht="15" hidden="false" customHeight="true" outlineLevel="0" collapsed="false">
      <c r="C9" s="4" t="s">
        <v>261</v>
      </c>
      <c r="D9" s="40" t="s">
        <v>73</v>
      </c>
      <c r="E9" s="40"/>
      <c r="F9" s="40"/>
      <c r="G9" s="40"/>
      <c r="H9" s="40"/>
    </row>
    <row r="10" customFormat="false" ht="15" hidden="false" customHeight="true" outlineLevel="0" collapsed="false">
      <c r="C10" s="4" t="s">
        <v>262</v>
      </c>
      <c r="D10" s="40"/>
      <c r="E10" s="40"/>
      <c r="F10" s="40"/>
      <c r="G10" s="40"/>
      <c r="H10" s="40"/>
    </row>
    <row r="11" customFormat="false" ht="15" hidden="false" customHeight="true" outlineLevel="0" collapsed="false">
      <c r="C11" s="4" t="s">
        <v>263</v>
      </c>
      <c r="D11" s="41"/>
      <c r="E11" s="41"/>
      <c r="F11" s="41"/>
      <c r="G11" s="41"/>
      <c r="H11" s="41"/>
    </row>
    <row r="12" customFormat="false" ht="15" hidden="false" customHeight="true" outlineLevel="0" collapsed="false">
      <c r="C12" s="4" t="s">
        <v>264</v>
      </c>
      <c r="D12" s="40"/>
      <c r="E12" s="40"/>
      <c r="F12" s="40"/>
      <c r="G12" s="40"/>
      <c r="H12" s="40"/>
    </row>
    <row r="13" customFormat="false" ht="15" hidden="false" customHeight="true" outlineLevel="0" collapsed="false">
      <c r="C13" s="4" t="s">
        <v>265</v>
      </c>
      <c r="D13" s="40"/>
      <c r="E13" s="40"/>
      <c r="F13" s="40"/>
      <c r="G13" s="40"/>
      <c r="H13" s="40"/>
    </row>
    <row r="15" customFormat="false" ht="15.75" hidden="false" customHeight="true" outlineLevel="0" collapsed="false">
      <c r="C15" s="42" t="s">
        <v>266</v>
      </c>
      <c r="D15" s="43" t="str">
        <f aca="false">IF(D8="Mesa de Ayuda","N2 · Administrado",IF(D8="Mesa de Soporte","N3 · Definido","— Seleccionar tipo"))</f>
        <v>— Seleccionar tipo</v>
      </c>
      <c r="E15" s="43"/>
      <c r="F15" s="43"/>
      <c r="G15" s="43"/>
      <c r="I15" s="42" t="s">
        <v>267</v>
      </c>
      <c r="J15" s="44" t="str">
        <f aca="false">IFERROR(AVERAGEIF(F20:F39,"&lt;&gt;"),"")</f>
        <v/>
      </c>
    </row>
    <row r="16" customFormat="false" ht="15" hidden="false" customHeight="true" outlineLevel="0" collapsed="false">
      <c r="C16" s="45" t="s">
        <v>268</v>
      </c>
      <c r="D16" s="46" t="n">
        <f aca="false">IF(D8="Mesa de Ayuda",2,IF(D8="Mesa de Soporte",3,0))</f>
        <v>0</v>
      </c>
    </row>
    <row r="18" customFormat="false" ht="42" hidden="false" customHeight="true" outlineLevel="0" collapsed="false">
      <c r="B18" s="14" t="s">
        <v>101</v>
      </c>
      <c r="C18" s="14" t="s">
        <v>102</v>
      </c>
      <c r="D18" s="14" t="s">
        <v>103</v>
      </c>
      <c r="E18" s="47" t="s">
        <v>269</v>
      </c>
      <c r="F18" s="48" t="s">
        <v>270</v>
      </c>
      <c r="G18" s="49" t="s">
        <v>271</v>
      </c>
      <c r="H18" s="50" t="s">
        <v>272</v>
      </c>
      <c r="I18" s="14" t="s">
        <v>273</v>
      </c>
      <c r="J18" s="14" t="s">
        <v>274</v>
      </c>
      <c r="K18" s="51" t="s">
        <v>275</v>
      </c>
    </row>
    <row r="19" customFormat="false" ht="19.5" hidden="false" customHeight="true" outlineLevel="0" collapsed="false">
      <c r="B19" s="22" t="s">
        <v>16</v>
      </c>
      <c r="C19" s="22"/>
      <c r="D19" s="22"/>
      <c r="E19" s="22"/>
      <c r="F19" s="22"/>
      <c r="G19" s="22"/>
      <c r="H19" s="22"/>
      <c r="I19" s="22"/>
      <c r="J19" s="22"/>
    </row>
    <row r="20" customFormat="false" ht="30" hidden="false" customHeight="true" outlineLevel="0" collapsed="false">
      <c r="B20" s="21" t="n">
        <v>1</v>
      </c>
      <c r="C20" s="22" t="s">
        <v>111</v>
      </c>
      <c r="D20" s="23" t="s">
        <v>112</v>
      </c>
      <c r="E20" s="52" t="str">
        <f aca="false">IF($D$8="Mesa de Ayuda","N2 · Administrado",IF($D$8="Mesa de Soporte","N3 · Definido","—"))</f>
        <v>—</v>
      </c>
      <c r="F20" s="53"/>
      <c r="G20" s="54"/>
      <c r="H20" s="55" t="str">
        <f aca="false">IF(AND(F20&lt;&gt;"",G20&lt;&gt;""),G20-F20,"")</f>
        <v/>
      </c>
      <c r="I20" s="56"/>
      <c r="J20" s="56"/>
      <c r="K20" s="57" t="str">
        <f aca="false">IF(F20="","—",IF(F20&lt;$D$16,"⛔ Bajo mínimo",IF(F20=$D$16,"✅ En mínimo","✔ Sobre mínimo")))</f>
        <v>—</v>
      </c>
    </row>
    <row r="21" customFormat="false" ht="30" hidden="false" customHeight="true" outlineLevel="0" collapsed="false">
      <c r="B21" s="21" t="n">
        <v>2</v>
      </c>
      <c r="C21" s="22" t="s">
        <v>119</v>
      </c>
      <c r="D21" s="26" t="s">
        <v>120</v>
      </c>
      <c r="E21" s="52" t="str">
        <f aca="false">IF($D$8="Mesa de Ayuda","N2 · Administrado",IF($D$8="Mesa de Soporte","N3 · Definido","—"))</f>
        <v>—</v>
      </c>
      <c r="F21" s="53"/>
      <c r="G21" s="54"/>
      <c r="H21" s="55" t="str">
        <f aca="false">IF(AND(F21&lt;&gt;"",G21&lt;&gt;""),G21-F21,"")</f>
        <v/>
      </c>
      <c r="I21" s="56"/>
      <c r="J21" s="56"/>
      <c r="K21" s="57" t="str">
        <f aca="false">IF(F21="","—",IF(F21&lt;$D$16,"⛔ Bajo mínimo",IF(F21=$D$16,"✅ En mínimo","✔ Sobre mínimo")))</f>
        <v>—</v>
      </c>
    </row>
    <row r="22" customFormat="false" ht="19.5" hidden="false" customHeight="true" outlineLevel="0" collapsed="false">
      <c r="B22" s="28" t="s">
        <v>18</v>
      </c>
      <c r="C22" s="28"/>
      <c r="D22" s="28"/>
      <c r="E22" s="28"/>
      <c r="F22" s="28"/>
      <c r="G22" s="28"/>
      <c r="H22" s="28"/>
      <c r="I22" s="28"/>
      <c r="J22" s="28"/>
    </row>
    <row r="23" customFormat="false" ht="30" hidden="false" customHeight="true" outlineLevel="0" collapsed="false">
      <c r="B23" s="21" t="n">
        <v>3</v>
      </c>
      <c r="C23" s="28" t="s">
        <v>127</v>
      </c>
      <c r="D23" s="26" t="s">
        <v>120</v>
      </c>
      <c r="E23" s="52" t="str">
        <f aca="false">IF($D$8="Mesa de Ayuda","N2 · Administrado",IF($D$8="Mesa de Soporte","N3 · Definido","—"))</f>
        <v>—</v>
      </c>
      <c r="F23" s="53"/>
      <c r="G23" s="54"/>
      <c r="H23" s="55" t="str">
        <f aca="false">IF(AND(F23&lt;&gt;"",G23&lt;&gt;""),G23-F23,"")</f>
        <v/>
      </c>
      <c r="I23" s="56"/>
      <c r="J23" s="56"/>
      <c r="K23" s="57" t="str">
        <f aca="false">IF(F23="","—",IF(F23&lt;$D$16,"⛔ Bajo mínimo",IF(F23=$D$16,"✅ En mínimo","✔ Sobre mínimo")))</f>
        <v>—</v>
      </c>
    </row>
    <row r="24" customFormat="false" ht="30" hidden="false" customHeight="true" outlineLevel="0" collapsed="false">
      <c r="B24" s="21" t="n">
        <v>4</v>
      </c>
      <c r="C24" s="28" t="s">
        <v>133</v>
      </c>
      <c r="D24" s="29" t="s">
        <v>134</v>
      </c>
      <c r="E24" s="52" t="str">
        <f aca="false">IF($D$8="Mesa de Ayuda","N2 · Administrado",IF($D$8="Mesa de Soporte","N3 · Definido","—"))</f>
        <v>—</v>
      </c>
      <c r="F24" s="53"/>
      <c r="G24" s="54"/>
      <c r="H24" s="55" t="str">
        <f aca="false">IF(AND(F24&lt;&gt;"",G24&lt;&gt;""),G24-F24,"")</f>
        <v/>
      </c>
      <c r="I24" s="56"/>
      <c r="J24" s="56"/>
      <c r="K24" s="57" t="str">
        <f aca="false">IF(F24="","—",IF(F24&lt;$D$16,"⛔ Bajo mínimo",IF(F24=$D$16,"✅ En mínimo","✔ Sobre mínimo")))</f>
        <v>—</v>
      </c>
    </row>
    <row r="25" customFormat="false" ht="30" hidden="false" customHeight="true" outlineLevel="0" collapsed="false">
      <c r="B25" s="21" t="n">
        <v>5</v>
      </c>
      <c r="C25" s="28" t="s">
        <v>141</v>
      </c>
      <c r="D25" s="23" t="s">
        <v>112</v>
      </c>
      <c r="E25" s="52" t="str">
        <f aca="false">IF($D$8="Mesa de Ayuda","N2 · Administrado",IF($D$8="Mesa de Soporte","N3 · Definido","—"))</f>
        <v>—</v>
      </c>
      <c r="F25" s="53"/>
      <c r="G25" s="54"/>
      <c r="H25" s="55" t="str">
        <f aca="false">IF(AND(F25&lt;&gt;"",G25&lt;&gt;""),G25-F25,"")</f>
        <v/>
      </c>
      <c r="I25" s="56"/>
      <c r="J25" s="56"/>
      <c r="K25" s="57" t="str">
        <f aca="false">IF(F25="","—",IF(F25&lt;$D$16,"⛔ Bajo mínimo",IF(F25=$D$16,"✅ En mínimo","✔ Sobre mínimo")))</f>
        <v>—</v>
      </c>
    </row>
    <row r="26" customFormat="false" ht="30" hidden="false" customHeight="true" outlineLevel="0" collapsed="false">
      <c r="B26" s="21" t="n">
        <v>6</v>
      </c>
      <c r="C26" s="28" t="s">
        <v>147</v>
      </c>
      <c r="D26" s="29" t="s">
        <v>134</v>
      </c>
      <c r="E26" s="52" t="str">
        <f aca="false">IF($D$8="Mesa de Ayuda","N2 · Administrado",IF($D$8="Mesa de Soporte","N3 · Definido","—"))</f>
        <v>—</v>
      </c>
      <c r="F26" s="53"/>
      <c r="G26" s="54"/>
      <c r="H26" s="55" t="str">
        <f aca="false">IF(AND(F26&lt;&gt;"",G26&lt;&gt;""),G26-F26,"")</f>
        <v/>
      </c>
      <c r="I26" s="56"/>
      <c r="J26" s="56"/>
      <c r="K26" s="57" t="str">
        <f aca="false">IF(F26="","—",IF(F26&lt;$D$16,"⛔ Bajo mínimo",IF(F26=$D$16,"✅ En mínimo","✔ Sobre mínimo")))</f>
        <v>—</v>
      </c>
    </row>
    <row r="27" customFormat="false" ht="19.5" hidden="false" customHeight="true" outlineLevel="0" collapsed="false">
      <c r="B27" s="31" t="s">
        <v>20</v>
      </c>
      <c r="C27" s="31"/>
      <c r="D27" s="31"/>
      <c r="E27" s="31"/>
      <c r="F27" s="31"/>
      <c r="G27" s="31"/>
      <c r="H27" s="31"/>
      <c r="I27" s="31"/>
      <c r="J27" s="31"/>
    </row>
    <row r="28" customFormat="false" ht="30" hidden="false" customHeight="true" outlineLevel="0" collapsed="false">
      <c r="B28" s="21" t="n">
        <v>7</v>
      </c>
      <c r="C28" s="31" t="s">
        <v>154</v>
      </c>
      <c r="D28" s="29" t="s">
        <v>134</v>
      </c>
      <c r="E28" s="52" t="str">
        <f aca="false">IF($D$8="Mesa de Ayuda","N2 · Administrado",IF($D$8="Mesa de Soporte","N3 · Definido","—"))</f>
        <v>—</v>
      </c>
      <c r="F28" s="53"/>
      <c r="G28" s="54"/>
      <c r="H28" s="55" t="str">
        <f aca="false">IF(AND(F28&lt;&gt;"",G28&lt;&gt;""),G28-F28,"")</f>
        <v/>
      </c>
      <c r="I28" s="56"/>
      <c r="J28" s="56"/>
      <c r="K28" s="57" t="str">
        <f aca="false">IF(F28="","—",IF(F28&lt;$D$16,"⛔ Bajo mínimo",IF(F28=$D$16,"✅ En mínimo","✔ Sobre mínimo")))</f>
        <v>—</v>
      </c>
    </row>
    <row r="29" customFormat="false" ht="30" hidden="false" customHeight="true" outlineLevel="0" collapsed="false">
      <c r="B29" s="21" t="n">
        <v>8</v>
      </c>
      <c r="C29" s="31" t="s">
        <v>160</v>
      </c>
      <c r="D29" s="32" t="s">
        <v>161</v>
      </c>
      <c r="E29" s="52" t="str">
        <f aca="false">IF($D$8="Mesa de Ayuda","N2 · Administrado",IF($D$8="Mesa de Soporte","N3 · Definido","—"))</f>
        <v>—</v>
      </c>
      <c r="F29" s="53"/>
      <c r="G29" s="54"/>
      <c r="H29" s="55" t="str">
        <f aca="false">IF(AND(F29&lt;&gt;"",G29&lt;&gt;""),G29-F29,"")</f>
        <v/>
      </c>
      <c r="I29" s="56"/>
      <c r="J29" s="56"/>
      <c r="K29" s="57" t="str">
        <f aca="false">IF(F29="","—",IF(F29&lt;$D$16,"⛔ Bajo mínimo",IF(F29=$D$16,"✅ En mínimo","✔ Sobre mínimo")))</f>
        <v>—</v>
      </c>
    </row>
    <row r="30" customFormat="false" ht="30" hidden="false" customHeight="true" outlineLevel="0" collapsed="false">
      <c r="B30" s="21" t="n">
        <v>9</v>
      </c>
      <c r="C30" s="31" t="s">
        <v>167</v>
      </c>
      <c r="D30" s="32" t="s">
        <v>161</v>
      </c>
      <c r="E30" s="52" t="str">
        <f aca="false">IF($D$8="Mesa de Ayuda","N2 · Administrado",IF($D$8="Mesa de Soporte","N3 · Definido","—"))</f>
        <v>—</v>
      </c>
      <c r="F30" s="53"/>
      <c r="G30" s="54"/>
      <c r="H30" s="55" t="str">
        <f aca="false">IF(AND(F30&lt;&gt;"",G30&lt;&gt;""),G30-F30,"")</f>
        <v/>
      </c>
      <c r="I30" s="56"/>
      <c r="J30" s="56"/>
      <c r="K30" s="57" t="str">
        <f aca="false">IF(F30="","—",IF(F30&lt;$D$16,"⛔ Bajo mínimo",IF(F30=$D$16,"✅ En mínimo","✔ Sobre mínimo")))</f>
        <v>—</v>
      </c>
    </row>
    <row r="31" customFormat="false" ht="30" hidden="false" customHeight="true" outlineLevel="0" collapsed="false">
      <c r="B31" s="21" t="n">
        <v>10</v>
      </c>
      <c r="C31" s="31" t="s">
        <v>173</v>
      </c>
      <c r="D31" s="23" t="s">
        <v>112</v>
      </c>
      <c r="E31" s="52" t="str">
        <f aca="false">IF($D$8="Mesa de Ayuda","N2 · Administrado",IF($D$8="Mesa de Soporte","N3 · Definido","—"))</f>
        <v>—</v>
      </c>
      <c r="F31" s="53"/>
      <c r="G31" s="54"/>
      <c r="H31" s="55" t="str">
        <f aca="false">IF(AND(F31&lt;&gt;"",G31&lt;&gt;""),G31-F31,"")</f>
        <v/>
      </c>
      <c r="I31" s="56"/>
      <c r="J31" s="56"/>
      <c r="K31" s="57" t="str">
        <f aca="false">IF(F31="","—",IF(F31&lt;$D$16,"⛔ Bajo mínimo",IF(F31=$D$16,"✅ En mínimo","✔ Sobre mínimo")))</f>
        <v>—</v>
      </c>
    </row>
    <row r="32" customFormat="false" ht="19.5" hidden="false" customHeight="true" outlineLevel="0" collapsed="false">
      <c r="B32" s="34" t="s">
        <v>22</v>
      </c>
      <c r="C32" s="34"/>
      <c r="D32" s="34"/>
      <c r="E32" s="34"/>
      <c r="F32" s="34"/>
      <c r="G32" s="34"/>
      <c r="H32" s="34"/>
      <c r="I32" s="34"/>
      <c r="J32" s="34"/>
    </row>
    <row r="33" customFormat="false" ht="30" hidden="false" customHeight="true" outlineLevel="0" collapsed="false">
      <c r="B33" s="21" t="n">
        <v>11</v>
      </c>
      <c r="C33" s="34" t="s">
        <v>181</v>
      </c>
      <c r="D33" s="29" t="s">
        <v>134</v>
      </c>
      <c r="E33" s="52" t="str">
        <f aca="false">IF($D$8="Mesa de Ayuda","N2 · Administrado",IF($D$8="Mesa de Soporte","N3 · Definido","—"))</f>
        <v>—</v>
      </c>
      <c r="F33" s="53"/>
      <c r="G33" s="54"/>
      <c r="H33" s="55" t="str">
        <f aca="false">IF(AND(F33&lt;&gt;"",G33&lt;&gt;""),G33-F33,"")</f>
        <v/>
      </c>
      <c r="I33" s="56"/>
      <c r="J33" s="56"/>
      <c r="K33" s="57" t="str">
        <f aca="false">IF(F33="","—",IF(F33&lt;$D$16,"⛔ Bajo mínimo",IF(F33=$D$16,"✅ En mínimo","✔ Sobre mínimo")))</f>
        <v>—</v>
      </c>
    </row>
    <row r="34" customFormat="false" ht="30" hidden="false" customHeight="true" outlineLevel="0" collapsed="false">
      <c r="B34" s="21" t="n">
        <v>12</v>
      </c>
      <c r="C34" s="34" t="s">
        <v>187</v>
      </c>
      <c r="D34" s="29" t="s">
        <v>134</v>
      </c>
      <c r="E34" s="52" t="str">
        <f aca="false">IF($D$8="Mesa de Ayuda","N2 · Administrado",IF($D$8="Mesa de Soporte","N3 · Definido","—"))</f>
        <v>—</v>
      </c>
      <c r="F34" s="53"/>
      <c r="G34" s="54"/>
      <c r="H34" s="55" t="str">
        <f aca="false">IF(AND(F34&lt;&gt;"",G34&lt;&gt;""),G34-F34,"")</f>
        <v/>
      </c>
      <c r="I34" s="56"/>
      <c r="J34" s="56"/>
      <c r="K34" s="57" t="str">
        <f aca="false">IF(F34="","—",IF(F34&lt;$D$16,"⛔ Bajo mínimo",IF(F34=$D$16,"✅ En mínimo","✔ Sobre mínimo")))</f>
        <v>—</v>
      </c>
    </row>
    <row r="35" customFormat="false" ht="30" hidden="false" customHeight="true" outlineLevel="0" collapsed="false">
      <c r="B35" s="21" t="n">
        <v>13</v>
      </c>
      <c r="C35" s="34" t="s">
        <v>194</v>
      </c>
      <c r="D35" s="29" t="s">
        <v>134</v>
      </c>
      <c r="E35" s="52" t="str">
        <f aca="false">IF($D$8="Mesa de Ayuda","N2 · Administrado",IF($D$8="Mesa de Soporte","N3 · Definido","—"))</f>
        <v>—</v>
      </c>
      <c r="F35" s="53"/>
      <c r="G35" s="54"/>
      <c r="H35" s="55" t="str">
        <f aca="false">IF(AND(F35&lt;&gt;"",G35&lt;&gt;""),G35-F35,"")</f>
        <v/>
      </c>
      <c r="I35" s="56"/>
      <c r="J35" s="56"/>
      <c r="K35" s="57" t="str">
        <f aca="false">IF(F35="","—",IF(F35&lt;$D$16,"⛔ Bajo mínimo",IF(F35=$D$16,"✅ En mínimo","✔ Sobre mínimo")))</f>
        <v>—</v>
      </c>
    </row>
    <row r="36" customFormat="false" ht="30" hidden="false" customHeight="true" outlineLevel="0" collapsed="false">
      <c r="B36" s="21" t="n">
        <v>14</v>
      </c>
      <c r="C36" s="34" t="s">
        <v>200</v>
      </c>
      <c r="D36" s="32" t="s">
        <v>161</v>
      </c>
      <c r="E36" s="52" t="str">
        <f aca="false">IF($D$8="Mesa de Ayuda","N2 · Administrado",IF($D$8="Mesa de Soporte","N3 · Definido","—"))</f>
        <v>—</v>
      </c>
      <c r="F36" s="53"/>
      <c r="G36" s="54"/>
      <c r="H36" s="55" t="str">
        <f aca="false">IF(AND(F36&lt;&gt;"",G36&lt;&gt;""),G36-F36,"")</f>
        <v/>
      </c>
      <c r="I36" s="56"/>
      <c r="J36" s="56"/>
      <c r="K36" s="57" t="str">
        <f aca="false">IF(F36="","—",IF(F36&lt;$D$16,"⛔ Bajo mínimo",IF(F36=$D$16,"✅ En mínimo","✔ Sobre mínimo")))</f>
        <v>—</v>
      </c>
    </row>
    <row r="37" customFormat="false" ht="30" hidden="false" customHeight="true" outlineLevel="0" collapsed="false">
      <c r="B37" s="21" t="n">
        <v>15</v>
      </c>
      <c r="C37" s="34" t="s">
        <v>206</v>
      </c>
      <c r="D37" s="32" t="s">
        <v>161</v>
      </c>
      <c r="E37" s="52" t="str">
        <f aca="false">IF($D$8="Mesa de Ayuda","N2 · Administrado",IF($D$8="Mesa de Soporte","N3 · Definido","—"))</f>
        <v>—</v>
      </c>
      <c r="F37" s="53"/>
      <c r="G37" s="54"/>
      <c r="H37" s="55" t="str">
        <f aca="false">IF(AND(F37&lt;&gt;"",G37&lt;&gt;""),G37-F37,"")</f>
        <v/>
      </c>
      <c r="I37" s="56"/>
      <c r="J37" s="56"/>
      <c r="K37" s="57" t="str">
        <f aca="false">IF(F37="","—",IF(F37&lt;$D$16,"⛔ Bajo mínimo",IF(F37=$D$16,"✅ En mínimo","✔ Sobre mínimo")))</f>
        <v>—</v>
      </c>
    </row>
    <row r="38" customFormat="false" ht="30" hidden="false" customHeight="true" outlineLevel="0" collapsed="false">
      <c r="B38" s="21" t="n">
        <v>16</v>
      </c>
      <c r="C38" s="34" t="s">
        <v>212</v>
      </c>
      <c r="D38" s="29" t="s">
        <v>213</v>
      </c>
      <c r="E38" s="52" t="str">
        <f aca="false">IF($D$8="Mesa de Ayuda","N2 · Administrado",IF($D$8="Mesa de Soporte","N3 · Definido","—"))</f>
        <v>—</v>
      </c>
      <c r="F38" s="53"/>
      <c r="G38" s="54"/>
      <c r="H38" s="55" t="str">
        <f aca="false">IF(AND(F38&lt;&gt;"",G38&lt;&gt;""),G38-F38,"")</f>
        <v/>
      </c>
      <c r="I38" s="56"/>
      <c r="J38" s="56"/>
      <c r="K38" s="57" t="str">
        <f aca="false">IF(F38="","—",IF(F38&lt;$D$16,"⛔ Bajo mínimo",IF(F38=$D$16,"✅ En mínimo","✔ Sobre mínimo")))</f>
        <v>—</v>
      </c>
    </row>
    <row r="39" customFormat="false" ht="30" hidden="false" customHeight="true" outlineLevel="0" collapsed="false">
      <c r="B39" s="21" t="n">
        <v>17</v>
      </c>
      <c r="C39" s="34" t="s">
        <v>219</v>
      </c>
      <c r="D39" s="35" t="s">
        <v>220</v>
      </c>
      <c r="E39" s="52" t="str">
        <f aca="false">IF($D$8="Mesa de Ayuda","N2 · Administrado",IF($D$8="Mesa de Soporte","N3 · Definido","—"))</f>
        <v>—</v>
      </c>
      <c r="F39" s="53"/>
      <c r="G39" s="54"/>
      <c r="H39" s="55" t="str">
        <f aca="false">IF(AND(F39&lt;&gt;"",G39&lt;&gt;""),G39-F39,"")</f>
        <v/>
      </c>
      <c r="I39" s="56"/>
      <c r="J39" s="56"/>
      <c r="K39" s="57" t="str">
        <f aca="false">IF(F39="","—",IF(F39&lt;$D$16,"⛔ Bajo mínimo",IF(F39=$D$16,"✅ En mínimo","✔ Sobre mínimo")))</f>
        <v>—</v>
      </c>
    </row>
    <row r="40" customFormat="false" ht="19.5" hidden="false" customHeight="true" outlineLevel="0" collapsed="false">
      <c r="B40" s="37" t="s">
        <v>276</v>
      </c>
      <c r="C40" s="37"/>
      <c r="D40" s="37"/>
      <c r="E40" s="37"/>
      <c r="F40" s="37"/>
      <c r="G40" s="37"/>
      <c r="H40" s="37"/>
      <c r="I40" s="37"/>
      <c r="J40" s="37"/>
    </row>
    <row r="41" customFormat="false" ht="30" hidden="false" customHeight="true" outlineLevel="0" collapsed="false">
      <c r="B41" s="21" t="n">
        <v>18</v>
      </c>
      <c r="C41" s="37" t="s">
        <v>228</v>
      </c>
      <c r="D41" s="38" t="s">
        <v>229</v>
      </c>
      <c r="E41" s="58" t="str">
        <f aca="false">IF($D$8="Mesa de Ayuda","N2 · Administrado",IF($D$8="Mesa de Soporte","N2 · Administrado","—"))</f>
        <v>—</v>
      </c>
      <c r="F41" s="53"/>
      <c r="G41" s="54"/>
      <c r="H41" s="55" t="str">
        <f aca="false">IF(AND(F41&lt;&gt;"",G41&lt;&gt;""),G41-F41,"")</f>
        <v/>
      </c>
      <c r="I41" s="56"/>
      <c r="J41" s="56"/>
      <c r="K41" s="59" t="str">
        <f aca="false">IF(F41="","—",IF(F41&lt;2,"⛔ Bajo N2",IF(F41=2,"✅ En N2","✔ Sobre N2")))</f>
        <v>—</v>
      </c>
    </row>
    <row r="42" customFormat="false" ht="30" hidden="false" customHeight="true" outlineLevel="0" collapsed="false">
      <c r="B42" s="21" t="n">
        <v>19</v>
      </c>
      <c r="C42" s="37" t="s">
        <v>235</v>
      </c>
      <c r="D42" s="38" t="s">
        <v>229</v>
      </c>
      <c r="E42" s="58" t="str">
        <f aca="false">IF($D$8="Mesa de Ayuda","N2 · Administrado",IF($D$8="Mesa de Soporte","N2 · Administrado","—"))</f>
        <v>—</v>
      </c>
      <c r="F42" s="53"/>
      <c r="G42" s="54"/>
      <c r="H42" s="55" t="str">
        <f aca="false">IF(AND(F42&lt;&gt;"",G42&lt;&gt;""),G42-F42,"")</f>
        <v/>
      </c>
      <c r="I42" s="56"/>
      <c r="J42" s="56"/>
      <c r="K42" s="59" t="str">
        <f aca="false">IF(F42="","—",IF(F42&lt;2,"⛔ Bajo N2",IF(F42=2,"✅ En N2","✔ Sobre N2")))</f>
        <v>—</v>
      </c>
    </row>
    <row r="43" customFormat="false" ht="30" hidden="false" customHeight="true" outlineLevel="0" collapsed="false">
      <c r="B43" s="21" t="n">
        <v>20</v>
      </c>
      <c r="C43" s="37" t="s">
        <v>241</v>
      </c>
      <c r="D43" s="38" t="s">
        <v>229</v>
      </c>
      <c r="E43" s="58" t="str">
        <f aca="false">IF($D$8="Mesa de Ayuda","N2 · Administrado",IF($D$8="Mesa de Soporte","N2 · Administrado","—"))</f>
        <v>—</v>
      </c>
      <c r="F43" s="53"/>
      <c r="G43" s="54"/>
      <c r="H43" s="55" t="str">
        <f aca="false">IF(AND(F43&lt;&gt;"",G43&lt;&gt;""),G43-F43,"")</f>
        <v/>
      </c>
      <c r="I43" s="56"/>
      <c r="J43" s="56"/>
      <c r="K43" s="59" t="str">
        <f aca="false">IF(F43="","—",IF(F43&lt;2,"⛔ Bajo N2",IF(F43=2,"✅ En N2","✔ Sobre N2")))</f>
        <v>—</v>
      </c>
    </row>
    <row r="44" customFormat="false" ht="30" hidden="false" customHeight="true" outlineLevel="0" collapsed="false">
      <c r="B44" s="21" t="n">
        <v>21</v>
      </c>
      <c r="C44" s="37" t="s">
        <v>247</v>
      </c>
      <c r="D44" s="38" t="s">
        <v>229</v>
      </c>
      <c r="E44" s="58" t="str">
        <f aca="false">IF($D$8="Mesa de Ayuda","N2 · Administrado",IF($D$8="Mesa de Soporte","N2 · Administrado","—"))</f>
        <v>—</v>
      </c>
      <c r="F44" s="53"/>
      <c r="G44" s="54"/>
      <c r="H44" s="55" t="str">
        <f aca="false">IF(AND(F44&lt;&gt;"",G44&lt;&gt;""),G44-F44,"")</f>
        <v/>
      </c>
      <c r="I44" s="56"/>
      <c r="J44" s="56"/>
      <c r="K44" s="59" t="str">
        <f aca="false">IF(F44="","—",IF(F44&lt;2,"⛔ Bajo N2",IF(F44=2,"✅ En N2","✔ Sobre N2")))</f>
        <v>—</v>
      </c>
    </row>
  </sheetData>
  <mergeCells count="17">
    <mergeCell ref="C2:J2"/>
    <mergeCell ref="C3:J3"/>
    <mergeCell ref="D5:H5"/>
    <mergeCell ref="D6:H6"/>
    <mergeCell ref="D7:H7"/>
    <mergeCell ref="D8:H8"/>
    <mergeCell ref="D9:H9"/>
    <mergeCell ref="D10:H10"/>
    <mergeCell ref="D11:H11"/>
    <mergeCell ref="D12:H12"/>
    <mergeCell ref="D13:H13"/>
    <mergeCell ref="D15:G15"/>
    <mergeCell ref="B19:J19"/>
    <mergeCell ref="B22:J22"/>
    <mergeCell ref="B27:J27"/>
    <mergeCell ref="B32:J32"/>
    <mergeCell ref="B40:J40"/>
  </mergeCells>
  <conditionalFormatting sqref="F19:F44">
    <cfRule type="expression" priority="2" aboveAverage="0" equalAverage="0" bottom="0" percent="0" rank="0" text="" dxfId="0">
      <formula>AND(F19&lt;&gt;"",$D$16&gt;0,ISNUMBER(F19),F19&lt;$D$16)</formula>
    </cfRule>
    <cfRule type="colorScale" priority="3">
      <colorScale>
        <cfvo type="num" val="0"/>
        <cfvo type="num" val="3"/>
        <cfvo type="num" val="5"/>
        <color rgb="FFF0997B"/>
        <color rgb="FFFAC775"/>
        <color rgb="FF9FE1CB"/>
      </colorScale>
    </cfRule>
  </conditionalFormatting>
  <conditionalFormatting sqref="H19:H44">
    <cfRule type="cellIs" priority="4" operator="greaterThan" aboveAverage="0" equalAverage="0" bottom="0" percent="0" rank="0" text="" dxfId="1">
      <formula>1</formula>
    </cfRule>
    <cfRule type="cellIs" priority="5" operator="lessThan" aboveAverage="0" equalAverage="0" bottom="0" percent="0" rank="0" text="" dxfId="0">
      <formula>0</formula>
    </cfRule>
  </conditionalFormatting>
  <conditionalFormatting sqref="H20:H44">
    <cfRule type="cellIs" priority="6" operator="lessThan" aboveAverage="0" equalAverage="0" bottom="0" percent="0" rank="0" text="" dxfId="2">
      <formula>0</formula>
    </cfRule>
    <cfRule type="cellIs" priority="7" operator="equal" aboveAverage="0" equalAverage="0" bottom="0" percent="0" rank="0" text="" dxfId="3">
      <formula>0</formula>
    </cfRule>
    <cfRule type="cellIs" priority="8" operator="greaterThan" aboveAverage="0" equalAverage="0" bottom="0" percent="0" rank="0" text="" dxfId="4">
      <formula>0</formula>
    </cfRule>
  </conditionalFormatting>
  <dataValidations count="1">
    <dataValidation allowBlank="true" error="Ingresa 0 (N0) a 5 (N5)" errorStyle="stop" errorTitle="Nivel inválido" operator="between" showDropDown="false" showErrorMessage="true" showInputMessage="false" sqref="F20:F44" type="list">
      <formula1>"0,1,2,3,4,5"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K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8" topLeftCell="C19" activePane="bottomRight" state="frozen"/>
      <selection pane="topLeft" activeCell="A1" activeCellId="0" sqref="A1"/>
      <selection pane="topRight" activeCell="C1" activeCellId="0" sqref="C1"/>
      <selection pane="bottomLeft" activeCell="A19" activeCellId="0" sqref="A19"/>
      <selection pane="bottomRight" activeCell="A1" activeCellId="0" sqref="A1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"/>
    <col collapsed="false" customWidth="true" hidden="false" outlineLevel="0" max="3" min="3" style="0" width="30"/>
    <col collapsed="false" customWidth="true" hidden="false" outlineLevel="0" max="4" min="4" style="0" width="20"/>
    <col collapsed="false" customWidth="true" hidden="false" outlineLevel="0" max="5" min="5" style="0" width="16"/>
    <col collapsed="false" customWidth="true" hidden="false" outlineLevel="0" max="7" min="6" style="0" width="13"/>
    <col collapsed="false" customWidth="true" hidden="false" outlineLevel="0" max="8" min="8" style="0" width="8"/>
    <col collapsed="false" customWidth="true" hidden="false" outlineLevel="0" max="9" min="9" style="0" width="40"/>
    <col collapsed="false" customWidth="true" hidden="false" outlineLevel="0" max="10" min="10" style="0" width="18"/>
    <col collapsed="false" customWidth="true" hidden="false" outlineLevel="0" max="11" min="11" style="0" width="14"/>
  </cols>
  <sheetData>
    <row r="2" customFormat="false" ht="17.25" hidden="false" customHeight="true" outlineLevel="0" collapsed="false">
      <c r="C2" s="60" t="s">
        <v>286</v>
      </c>
      <c r="D2" s="60"/>
      <c r="E2" s="60"/>
      <c r="F2" s="60"/>
      <c r="G2" s="60"/>
      <c r="H2" s="60"/>
      <c r="I2" s="60"/>
      <c r="J2" s="60"/>
    </row>
    <row r="3" customFormat="false" ht="15" hidden="false" customHeight="true" outlineLevel="0" collapsed="false">
      <c r="C3" s="10" t="s">
        <v>284</v>
      </c>
      <c r="D3" s="10"/>
      <c r="E3" s="10"/>
      <c r="F3" s="10"/>
      <c r="G3" s="10"/>
      <c r="H3" s="10"/>
      <c r="I3" s="10"/>
      <c r="J3" s="10"/>
    </row>
    <row r="5" customFormat="false" ht="15" hidden="false" customHeight="true" outlineLevel="0" collapsed="false">
      <c r="C5" s="4" t="s">
        <v>255</v>
      </c>
      <c r="D5" s="40" t="s">
        <v>287</v>
      </c>
      <c r="E5" s="40"/>
      <c r="F5" s="40"/>
      <c r="G5" s="40"/>
      <c r="H5" s="40"/>
    </row>
    <row r="6" customFormat="false" ht="15" hidden="false" customHeight="true" outlineLevel="0" collapsed="false">
      <c r="C6" s="4" t="s">
        <v>257</v>
      </c>
      <c r="D6" s="40" t="s">
        <v>72</v>
      </c>
      <c r="E6" s="40"/>
      <c r="F6" s="40"/>
      <c r="G6" s="40"/>
      <c r="H6" s="40"/>
    </row>
    <row r="7" customFormat="false" ht="15" hidden="false" customHeight="true" outlineLevel="0" collapsed="false">
      <c r="C7" s="4" t="s">
        <v>258</v>
      </c>
      <c r="D7" s="40" t="s">
        <v>64</v>
      </c>
      <c r="E7" s="40"/>
      <c r="F7" s="40"/>
      <c r="G7" s="40"/>
      <c r="H7" s="40"/>
    </row>
    <row r="8" customFormat="false" ht="15" hidden="false" customHeight="true" outlineLevel="0" collapsed="false">
      <c r="C8" s="4" t="s">
        <v>260</v>
      </c>
      <c r="D8" s="40"/>
      <c r="E8" s="40"/>
      <c r="F8" s="40"/>
      <c r="G8" s="40"/>
      <c r="H8" s="40"/>
    </row>
    <row r="9" customFormat="false" ht="15" hidden="false" customHeight="true" outlineLevel="0" collapsed="false">
      <c r="C9" s="4" t="s">
        <v>261</v>
      </c>
      <c r="D9" s="40" t="s">
        <v>73</v>
      </c>
      <c r="E9" s="40"/>
      <c r="F9" s="40"/>
      <c r="G9" s="40"/>
      <c r="H9" s="40"/>
    </row>
    <row r="10" customFormat="false" ht="15" hidden="false" customHeight="true" outlineLevel="0" collapsed="false">
      <c r="C10" s="4" t="s">
        <v>262</v>
      </c>
      <c r="D10" s="40"/>
      <c r="E10" s="40"/>
      <c r="F10" s="40"/>
      <c r="G10" s="40"/>
      <c r="H10" s="40"/>
    </row>
    <row r="11" customFormat="false" ht="15" hidden="false" customHeight="true" outlineLevel="0" collapsed="false">
      <c r="C11" s="4" t="s">
        <v>263</v>
      </c>
      <c r="D11" s="41"/>
      <c r="E11" s="41"/>
      <c r="F11" s="41"/>
      <c r="G11" s="41"/>
      <c r="H11" s="41"/>
    </row>
    <row r="12" customFormat="false" ht="15" hidden="false" customHeight="true" outlineLevel="0" collapsed="false">
      <c r="C12" s="4" t="s">
        <v>264</v>
      </c>
      <c r="D12" s="40"/>
      <c r="E12" s="40"/>
      <c r="F12" s="40"/>
      <c r="G12" s="40"/>
      <c r="H12" s="40"/>
    </row>
    <row r="13" customFormat="false" ht="15" hidden="false" customHeight="true" outlineLevel="0" collapsed="false">
      <c r="C13" s="4" t="s">
        <v>265</v>
      </c>
      <c r="D13" s="40"/>
      <c r="E13" s="40"/>
      <c r="F13" s="40"/>
      <c r="G13" s="40"/>
      <c r="H13" s="40"/>
    </row>
    <row r="15" customFormat="false" ht="15.75" hidden="false" customHeight="true" outlineLevel="0" collapsed="false">
      <c r="C15" s="42" t="s">
        <v>266</v>
      </c>
      <c r="D15" s="43" t="str">
        <f aca="false">IF(D8="Mesa de Ayuda","N2 · Administrado",IF(D8="Mesa de Soporte","N3 · Definido","— Seleccionar tipo"))</f>
        <v>— Seleccionar tipo</v>
      </c>
      <c r="E15" s="43"/>
      <c r="F15" s="43"/>
      <c r="G15" s="43"/>
      <c r="I15" s="42" t="s">
        <v>267</v>
      </c>
      <c r="J15" s="44" t="str">
        <f aca="false">IFERROR(AVERAGEIF(F20:F39,"&lt;&gt;"),"")</f>
        <v/>
      </c>
    </row>
    <row r="16" customFormat="false" ht="15" hidden="false" customHeight="true" outlineLevel="0" collapsed="false">
      <c r="C16" s="45" t="s">
        <v>268</v>
      </c>
      <c r="D16" s="46" t="n">
        <f aca="false">IF(D8="Mesa de Ayuda",2,IF(D8="Mesa de Soporte",3,0))</f>
        <v>0</v>
      </c>
    </row>
    <row r="18" customFormat="false" ht="42" hidden="false" customHeight="true" outlineLevel="0" collapsed="false">
      <c r="B18" s="14" t="s">
        <v>101</v>
      </c>
      <c r="C18" s="14" t="s">
        <v>102</v>
      </c>
      <c r="D18" s="14" t="s">
        <v>103</v>
      </c>
      <c r="E18" s="47" t="s">
        <v>269</v>
      </c>
      <c r="F18" s="48" t="s">
        <v>270</v>
      </c>
      <c r="G18" s="49" t="s">
        <v>271</v>
      </c>
      <c r="H18" s="50" t="s">
        <v>272</v>
      </c>
      <c r="I18" s="14" t="s">
        <v>273</v>
      </c>
      <c r="J18" s="14" t="s">
        <v>274</v>
      </c>
      <c r="K18" s="51" t="s">
        <v>275</v>
      </c>
    </row>
    <row r="19" customFormat="false" ht="19.5" hidden="false" customHeight="true" outlineLevel="0" collapsed="false">
      <c r="B19" s="22" t="s">
        <v>16</v>
      </c>
      <c r="C19" s="22"/>
      <c r="D19" s="22"/>
      <c r="E19" s="22"/>
      <c r="F19" s="22"/>
      <c r="G19" s="22"/>
      <c r="H19" s="22"/>
      <c r="I19" s="22"/>
      <c r="J19" s="22"/>
    </row>
    <row r="20" customFormat="false" ht="30" hidden="false" customHeight="true" outlineLevel="0" collapsed="false">
      <c r="B20" s="21" t="n">
        <v>1</v>
      </c>
      <c r="C20" s="22" t="s">
        <v>111</v>
      </c>
      <c r="D20" s="23" t="s">
        <v>112</v>
      </c>
      <c r="E20" s="52" t="str">
        <f aca="false">IF($D$8="Mesa de Ayuda","N2 · Administrado",IF($D$8="Mesa de Soporte","N3 · Definido","—"))</f>
        <v>—</v>
      </c>
      <c r="F20" s="53"/>
      <c r="G20" s="54"/>
      <c r="H20" s="55" t="str">
        <f aca="false">IF(AND(F20&lt;&gt;"",G20&lt;&gt;""),G20-F20,"")</f>
        <v/>
      </c>
      <c r="I20" s="56"/>
      <c r="J20" s="56"/>
      <c r="K20" s="57" t="str">
        <f aca="false">IF(F20="","—",IF(F20&lt;$D$16,"⛔ Bajo mínimo",IF(F20=$D$16,"✅ En mínimo","✔ Sobre mínimo")))</f>
        <v>—</v>
      </c>
    </row>
    <row r="21" customFormat="false" ht="30" hidden="false" customHeight="true" outlineLevel="0" collapsed="false">
      <c r="B21" s="21" t="n">
        <v>2</v>
      </c>
      <c r="C21" s="22" t="s">
        <v>119</v>
      </c>
      <c r="D21" s="26" t="s">
        <v>120</v>
      </c>
      <c r="E21" s="52" t="str">
        <f aca="false">IF($D$8="Mesa de Ayuda","N2 · Administrado",IF($D$8="Mesa de Soporte","N3 · Definido","—"))</f>
        <v>—</v>
      </c>
      <c r="F21" s="53"/>
      <c r="G21" s="54"/>
      <c r="H21" s="55" t="str">
        <f aca="false">IF(AND(F21&lt;&gt;"",G21&lt;&gt;""),G21-F21,"")</f>
        <v/>
      </c>
      <c r="I21" s="56"/>
      <c r="J21" s="56"/>
      <c r="K21" s="57" t="str">
        <f aca="false">IF(F21="","—",IF(F21&lt;$D$16,"⛔ Bajo mínimo",IF(F21=$D$16,"✅ En mínimo","✔ Sobre mínimo")))</f>
        <v>—</v>
      </c>
    </row>
    <row r="22" customFormat="false" ht="19.5" hidden="false" customHeight="true" outlineLevel="0" collapsed="false">
      <c r="B22" s="28" t="s">
        <v>18</v>
      </c>
      <c r="C22" s="28"/>
      <c r="D22" s="28"/>
      <c r="E22" s="28"/>
      <c r="F22" s="28"/>
      <c r="G22" s="28"/>
      <c r="H22" s="28"/>
      <c r="I22" s="28"/>
      <c r="J22" s="28"/>
    </row>
    <row r="23" customFormat="false" ht="30" hidden="false" customHeight="true" outlineLevel="0" collapsed="false">
      <c r="B23" s="21" t="n">
        <v>3</v>
      </c>
      <c r="C23" s="28" t="s">
        <v>127</v>
      </c>
      <c r="D23" s="26" t="s">
        <v>120</v>
      </c>
      <c r="E23" s="52" t="str">
        <f aca="false">IF($D$8="Mesa de Ayuda","N2 · Administrado",IF($D$8="Mesa de Soporte","N3 · Definido","—"))</f>
        <v>—</v>
      </c>
      <c r="F23" s="53"/>
      <c r="G23" s="54"/>
      <c r="H23" s="55" t="str">
        <f aca="false">IF(AND(F23&lt;&gt;"",G23&lt;&gt;""),G23-F23,"")</f>
        <v/>
      </c>
      <c r="I23" s="56"/>
      <c r="J23" s="56"/>
      <c r="K23" s="57" t="str">
        <f aca="false">IF(F23="","—",IF(F23&lt;$D$16,"⛔ Bajo mínimo",IF(F23=$D$16,"✅ En mínimo","✔ Sobre mínimo")))</f>
        <v>—</v>
      </c>
    </row>
    <row r="24" customFormat="false" ht="30" hidden="false" customHeight="true" outlineLevel="0" collapsed="false">
      <c r="B24" s="21" t="n">
        <v>4</v>
      </c>
      <c r="C24" s="28" t="s">
        <v>133</v>
      </c>
      <c r="D24" s="29" t="s">
        <v>134</v>
      </c>
      <c r="E24" s="52" t="str">
        <f aca="false">IF($D$8="Mesa de Ayuda","N2 · Administrado",IF($D$8="Mesa de Soporte","N3 · Definido","—"))</f>
        <v>—</v>
      </c>
      <c r="F24" s="53"/>
      <c r="G24" s="54"/>
      <c r="H24" s="55" t="str">
        <f aca="false">IF(AND(F24&lt;&gt;"",G24&lt;&gt;""),G24-F24,"")</f>
        <v/>
      </c>
      <c r="I24" s="56"/>
      <c r="J24" s="56"/>
      <c r="K24" s="57" t="str">
        <f aca="false">IF(F24="","—",IF(F24&lt;$D$16,"⛔ Bajo mínimo",IF(F24=$D$16,"✅ En mínimo","✔ Sobre mínimo")))</f>
        <v>—</v>
      </c>
    </row>
    <row r="25" customFormat="false" ht="30" hidden="false" customHeight="true" outlineLevel="0" collapsed="false">
      <c r="B25" s="21" t="n">
        <v>5</v>
      </c>
      <c r="C25" s="28" t="s">
        <v>141</v>
      </c>
      <c r="D25" s="23" t="s">
        <v>112</v>
      </c>
      <c r="E25" s="52" t="str">
        <f aca="false">IF($D$8="Mesa de Ayuda","N2 · Administrado",IF($D$8="Mesa de Soporte","N3 · Definido","—"))</f>
        <v>—</v>
      </c>
      <c r="F25" s="53"/>
      <c r="G25" s="54"/>
      <c r="H25" s="55" t="str">
        <f aca="false">IF(AND(F25&lt;&gt;"",G25&lt;&gt;""),G25-F25,"")</f>
        <v/>
      </c>
      <c r="I25" s="56"/>
      <c r="J25" s="56"/>
      <c r="K25" s="57" t="str">
        <f aca="false">IF(F25="","—",IF(F25&lt;$D$16,"⛔ Bajo mínimo",IF(F25=$D$16,"✅ En mínimo","✔ Sobre mínimo")))</f>
        <v>—</v>
      </c>
    </row>
    <row r="26" customFormat="false" ht="30" hidden="false" customHeight="true" outlineLevel="0" collapsed="false">
      <c r="B26" s="21" t="n">
        <v>6</v>
      </c>
      <c r="C26" s="28" t="s">
        <v>147</v>
      </c>
      <c r="D26" s="29" t="s">
        <v>134</v>
      </c>
      <c r="E26" s="52" t="str">
        <f aca="false">IF($D$8="Mesa de Ayuda","N2 · Administrado",IF($D$8="Mesa de Soporte","N3 · Definido","—"))</f>
        <v>—</v>
      </c>
      <c r="F26" s="53"/>
      <c r="G26" s="54"/>
      <c r="H26" s="55" t="str">
        <f aca="false">IF(AND(F26&lt;&gt;"",G26&lt;&gt;""),G26-F26,"")</f>
        <v/>
      </c>
      <c r="I26" s="56"/>
      <c r="J26" s="56"/>
      <c r="K26" s="57" t="str">
        <f aca="false">IF(F26="","—",IF(F26&lt;$D$16,"⛔ Bajo mínimo",IF(F26=$D$16,"✅ En mínimo","✔ Sobre mínimo")))</f>
        <v>—</v>
      </c>
    </row>
    <row r="27" customFormat="false" ht="19.5" hidden="false" customHeight="true" outlineLevel="0" collapsed="false">
      <c r="B27" s="31" t="s">
        <v>20</v>
      </c>
      <c r="C27" s="31"/>
      <c r="D27" s="31"/>
      <c r="E27" s="31"/>
      <c r="F27" s="31"/>
      <c r="G27" s="31"/>
      <c r="H27" s="31"/>
      <c r="I27" s="31"/>
      <c r="J27" s="31"/>
    </row>
    <row r="28" customFormat="false" ht="30" hidden="false" customHeight="true" outlineLevel="0" collapsed="false">
      <c r="B28" s="21" t="n">
        <v>7</v>
      </c>
      <c r="C28" s="31" t="s">
        <v>154</v>
      </c>
      <c r="D28" s="29" t="s">
        <v>134</v>
      </c>
      <c r="E28" s="52" t="str">
        <f aca="false">IF($D$8="Mesa de Ayuda","N2 · Administrado",IF($D$8="Mesa de Soporte","N3 · Definido","—"))</f>
        <v>—</v>
      </c>
      <c r="F28" s="53"/>
      <c r="G28" s="54"/>
      <c r="H28" s="55" t="str">
        <f aca="false">IF(AND(F28&lt;&gt;"",G28&lt;&gt;""),G28-F28,"")</f>
        <v/>
      </c>
      <c r="I28" s="56"/>
      <c r="J28" s="56"/>
      <c r="K28" s="57" t="str">
        <f aca="false">IF(F28="","—",IF(F28&lt;$D$16,"⛔ Bajo mínimo",IF(F28=$D$16,"✅ En mínimo","✔ Sobre mínimo")))</f>
        <v>—</v>
      </c>
    </row>
    <row r="29" customFormat="false" ht="30" hidden="false" customHeight="true" outlineLevel="0" collapsed="false">
      <c r="B29" s="21" t="n">
        <v>8</v>
      </c>
      <c r="C29" s="31" t="s">
        <v>160</v>
      </c>
      <c r="D29" s="32" t="s">
        <v>161</v>
      </c>
      <c r="E29" s="52" t="str">
        <f aca="false">IF($D$8="Mesa de Ayuda","N2 · Administrado",IF($D$8="Mesa de Soporte","N3 · Definido","—"))</f>
        <v>—</v>
      </c>
      <c r="F29" s="53"/>
      <c r="G29" s="54"/>
      <c r="H29" s="55" t="str">
        <f aca="false">IF(AND(F29&lt;&gt;"",G29&lt;&gt;""),G29-F29,"")</f>
        <v/>
      </c>
      <c r="I29" s="56"/>
      <c r="J29" s="56"/>
      <c r="K29" s="57" t="str">
        <f aca="false">IF(F29="","—",IF(F29&lt;$D$16,"⛔ Bajo mínimo",IF(F29=$D$16,"✅ En mínimo","✔ Sobre mínimo")))</f>
        <v>—</v>
      </c>
    </row>
    <row r="30" customFormat="false" ht="30" hidden="false" customHeight="true" outlineLevel="0" collapsed="false">
      <c r="B30" s="21" t="n">
        <v>9</v>
      </c>
      <c r="C30" s="31" t="s">
        <v>167</v>
      </c>
      <c r="D30" s="32" t="s">
        <v>161</v>
      </c>
      <c r="E30" s="52" t="str">
        <f aca="false">IF($D$8="Mesa de Ayuda","N2 · Administrado",IF($D$8="Mesa de Soporte","N3 · Definido","—"))</f>
        <v>—</v>
      </c>
      <c r="F30" s="53"/>
      <c r="G30" s="54"/>
      <c r="H30" s="55" t="str">
        <f aca="false">IF(AND(F30&lt;&gt;"",G30&lt;&gt;""),G30-F30,"")</f>
        <v/>
      </c>
      <c r="I30" s="56"/>
      <c r="J30" s="56"/>
      <c r="K30" s="57" t="str">
        <f aca="false">IF(F30="","—",IF(F30&lt;$D$16,"⛔ Bajo mínimo",IF(F30=$D$16,"✅ En mínimo","✔ Sobre mínimo")))</f>
        <v>—</v>
      </c>
    </row>
    <row r="31" customFormat="false" ht="30" hidden="false" customHeight="true" outlineLevel="0" collapsed="false">
      <c r="B31" s="21" t="n">
        <v>10</v>
      </c>
      <c r="C31" s="31" t="s">
        <v>173</v>
      </c>
      <c r="D31" s="23" t="s">
        <v>112</v>
      </c>
      <c r="E31" s="52" t="str">
        <f aca="false">IF($D$8="Mesa de Ayuda","N2 · Administrado",IF($D$8="Mesa de Soporte","N3 · Definido","—"))</f>
        <v>—</v>
      </c>
      <c r="F31" s="53"/>
      <c r="G31" s="54"/>
      <c r="H31" s="55" t="str">
        <f aca="false">IF(AND(F31&lt;&gt;"",G31&lt;&gt;""),G31-F31,"")</f>
        <v/>
      </c>
      <c r="I31" s="56"/>
      <c r="J31" s="56"/>
      <c r="K31" s="57" t="str">
        <f aca="false">IF(F31="","—",IF(F31&lt;$D$16,"⛔ Bajo mínimo",IF(F31=$D$16,"✅ En mínimo","✔ Sobre mínimo")))</f>
        <v>—</v>
      </c>
    </row>
    <row r="32" customFormat="false" ht="19.5" hidden="false" customHeight="true" outlineLevel="0" collapsed="false">
      <c r="B32" s="34" t="s">
        <v>22</v>
      </c>
      <c r="C32" s="34"/>
      <c r="D32" s="34"/>
      <c r="E32" s="34"/>
      <c r="F32" s="34"/>
      <c r="G32" s="34"/>
      <c r="H32" s="34"/>
      <c r="I32" s="34"/>
      <c r="J32" s="34"/>
    </row>
    <row r="33" customFormat="false" ht="30" hidden="false" customHeight="true" outlineLevel="0" collapsed="false">
      <c r="B33" s="21" t="n">
        <v>11</v>
      </c>
      <c r="C33" s="34" t="s">
        <v>181</v>
      </c>
      <c r="D33" s="29" t="s">
        <v>134</v>
      </c>
      <c r="E33" s="52" t="str">
        <f aca="false">IF($D$8="Mesa de Ayuda","N2 · Administrado",IF($D$8="Mesa de Soporte","N3 · Definido","—"))</f>
        <v>—</v>
      </c>
      <c r="F33" s="53"/>
      <c r="G33" s="54"/>
      <c r="H33" s="55" t="str">
        <f aca="false">IF(AND(F33&lt;&gt;"",G33&lt;&gt;""),G33-F33,"")</f>
        <v/>
      </c>
      <c r="I33" s="56"/>
      <c r="J33" s="56"/>
      <c r="K33" s="57" t="str">
        <f aca="false">IF(F33="","—",IF(F33&lt;$D$16,"⛔ Bajo mínimo",IF(F33=$D$16,"✅ En mínimo","✔ Sobre mínimo")))</f>
        <v>—</v>
      </c>
    </row>
    <row r="34" customFormat="false" ht="30" hidden="false" customHeight="true" outlineLevel="0" collapsed="false">
      <c r="B34" s="21" t="n">
        <v>12</v>
      </c>
      <c r="C34" s="34" t="s">
        <v>187</v>
      </c>
      <c r="D34" s="29" t="s">
        <v>134</v>
      </c>
      <c r="E34" s="52" t="str">
        <f aca="false">IF($D$8="Mesa de Ayuda","N2 · Administrado",IF($D$8="Mesa de Soporte","N3 · Definido","—"))</f>
        <v>—</v>
      </c>
      <c r="F34" s="53"/>
      <c r="G34" s="54"/>
      <c r="H34" s="55" t="str">
        <f aca="false">IF(AND(F34&lt;&gt;"",G34&lt;&gt;""),G34-F34,"")</f>
        <v/>
      </c>
      <c r="I34" s="56"/>
      <c r="J34" s="56"/>
      <c r="K34" s="57" t="str">
        <f aca="false">IF(F34="","—",IF(F34&lt;$D$16,"⛔ Bajo mínimo",IF(F34=$D$16,"✅ En mínimo","✔ Sobre mínimo")))</f>
        <v>—</v>
      </c>
    </row>
    <row r="35" customFormat="false" ht="30" hidden="false" customHeight="true" outlineLevel="0" collapsed="false">
      <c r="B35" s="21" t="n">
        <v>13</v>
      </c>
      <c r="C35" s="34" t="s">
        <v>194</v>
      </c>
      <c r="D35" s="29" t="s">
        <v>134</v>
      </c>
      <c r="E35" s="52" t="str">
        <f aca="false">IF($D$8="Mesa de Ayuda","N2 · Administrado",IF($D$8="Mesa de Soporte","N3 · Definido","—"))</f>
        <v>—</v>
      </c>
      <c r="F35" s="53"/>
      <c r="G35" s="54"/>
      <c r="H35" s="55" t="str">
        <f aca="false">IF(AND(F35&lt;&gt;"",G35&lt;&gt;""),G35-F35,"")</f>
        <v/>
      </c>
      <c r="I35" s="56"/>
      <c r="J35" s="56"/>
      <c r="K35" s="57" t="str">
        <f aca="false">IF(F35="","—",IF(F35&lt;$D$16,"⛔ Bajo mínimo",IF(F35=$D$16,"✅ En mínimo","✔ Sobre mínimo")))</f>
        <v>—</v>
      </c>
    </row>
    <row r="36" customFormat="false" ht="30" hidden="false" customHeight="true" outlineLevel="0" collapsed="false">
      <c r="B36" s="21" t="n">
        <v>14</v>
      </c>
      <c r="C36" s="34" t="s">
        <v>200</v>
      </c>
      <c r="D36" s="32" t="s">
        <v>161</v>
      </c>
      <c r="E36" s="52" t="str">
        <f aca="false">IF($D$8="Mesa de Ayuda","N2 · Administrado",IF($D$8="Mesa de Soporte","N3 · Definido","—"))</f>
        <v>—</v>
      </c>
      <c r="F36" s="53"/>
      <c r="G36" s="54"/>
      <c r="H36" s="55" t="str">
        <f aca="false">IF(AND(F36&lt;&gt;"",G36&lt;&gt;""),G36-F36,"")</f>
        <v/>
      </c>
      <c r="I36" s="56"/>
      <c r="J36" s="56"/>
      <c r="K36" s="57" t="str">
        <f aca="false">IF(F36="","—",IF(F36&lt;$D$16,"⛔ Bajo mínimo",IF(F36=$D$16,"✅ En mínimo","✔ Sobre mínimo")))</f>
        <v>—</v>
      </c>
    </row>
    <row r="37" customFormat="false" ht="30" hidden="false" customHeight="true" outlineLevel="0" collapsed="false">
      <c r="B37" s="21" t="n">
        <v>15</v>
      </c>
      <c r="C37" s="34" t="s">
        <v>206</v>
      </c>
      <c r="D37" s="32" t="s">
        <v>161</v>
      </c>
      <c r="E37" s="52" t="str">
        <f aca="false">IF($D$8="Mesa de Ayuda","N2 · Administrado",IF($D$8="Mesa de Soporte","N3 · Definido","—"))</f>
        <v>—</v>
      </c>
      <c r="F37" s="53"/>
      <c r="G37" s="54"/>
      <c r="H37" s="55" t="str">
        <f aca="false">IF(AND(F37&lt;&gt;"",G37&lt;&gt;""),G37-F37,"")</f>
        <v/>
      </c>
      <c r="I37" s="56"/>
      <c r="J37" s="56"/>
      <c r="K37" s="57" t="str">
        <f aca="false">IF(F37="","—",IF(F37&lt;$D$16,"⛔ Bajo mínimo",IF(F37=$D$16,"✅ En mínimo","✔ Sobre mínimo")))</f>
        <v>—</v>
      </c>
    </row>
    <row r="38" customFormat="false" ht="30" hidden="false" customHeight="true" outlineLevel="0" collapsed="false">
      <c r="B38" s="21" t="n">
        <v>16</v>
      </c>
      <c r="C38" s="34" t="s">
        <v>212</v>
      </c>
      <c r="D38" s="29" t="s">
        <v>213</v>
      </c>
      <c r="E38" s="52" t="str">
        <f aca="false">IF($D$8="Mesa de Ayuda","N2 · Administrado",IF($D$8="Mesa de Soporte","N3 · Definido","—"))</f>
        <v>—</v>
      </c>
      <c r="F38" s="53"/>
      <c r="G38" s="54"/>
      <c r="H38" s="55" t="str">
        <f aca="false">IF(AND(F38&lt;&gt;"",G38&lt;&gt;""),G38-F38,"")</f>
        <v/>
      </c>
      <c r="I38" s="56"/>
      <c r="J38" s="56"/>
      <c r="K38" s="57" t="str">
        <f aca="false">IF(F38="","—",IF(F38&lt;$D$16,"⛔ Bajo mínimo",IF(F38=$D$16,"✅ En mínimo","✔ Sobre mínimo")))</f>
        <v>—</v>
      </c>
    </row>
    <row r="39" customFormat="false" ht="30" hidden="false" customHeight="true" outlineLevel="0" collapsed="false">
      <c r="B39" s="21" t="n">
        <v>17</v>
      </c>
      <c r="C39" s="34" t="s">
        <v>219</v>
      </c>
      <c r="D39" s="35" t="s">
        <v>220</v>
      </c>
      <c r="E39" s="52" t="str">
        <f aca="false">IF($D$8="Mesa de Ayuda","N2 · Administrado",IF($D$8="Mesa de Soporte","N3 · Definido","—"))</f>
        <v>—</v>
      </c>
      <c r="F39" s="53"/>
      <c r="G39" s="54"/>
      <c r="H39" s="55" t="str">
        <f aca="false">IF(AND(F39&lt;&gt;"",G39&lt;&gt;""),G39-F39,"")</f>
        <v/>
      </c>
      <c r="I39" s="56"/>
      <c r="J39" s="56"/>
      <c r="K39" s="57" t="str">
        <f aca="false">IF(F39="","—",IF(F39&lt;$D$16,"⛔ Bajo mínimo",IF(F39=$D$16,"✅ En mínimo","✔ Sobre mínimo")))</f>
        <v>—</v>
      </c>
    </row>
    <row r="40" customFormat="false" ht="19.5" hidden="false" customHeight="true" outlineLevel="0" collapsed="false">
      <c r="B40" s="37" t="s">
        <v>276</v>
      </c>
      <c r="C40" s="37"/>
      <c r="D40" s="37"/>
      <c r="E40" s="37"/>
      <c r="F40" s="37"/>
      <c r="G40" s="37"/>
      <c r="H40" s="37"/>
      <c r="I40" s="37"/>
      <c r="J40" s="37"/>
    </row>
    <row r="41" customFormat="false" ht="30" hidden="false" customHeight="true" outlineLevel="0" collapsed="false">
      <c r="B41" s="21" t="n">
        <v>18</v>
      </c>
      <c r="C41" s="37" t="s">
        <v>228</v>
      </c>
      <c r="D41" s="38" t="s">
        <v>229</v>
      </c>
      <c r="E41" s="58" t="str">
        <f aca="false">IF($D$8="Mesa de Ayuda","N2 · Administrado",IF($D$8="Mesa de Soporte","N2 · Administrado","—"))</f>
        <v>—</v>
      </c>
      <c r="F41" s="53"/>
      <c r="G41" s="54"/>
      <c r="H41" s="55" t="str">
        <f aca="false">IF(AND(F41&lt;&gt;"",G41&lt;&gt;""),G41-F41,"")</f>
        <v/>
      </c>
      <c r="I41" s="56"/>
      <c r="J41" s="56"/>
      <c r="K41" s="59" t="str">
        <f aca="false">IF(F41="","—",IF(F41&lt;2,"⛔ Bajo N2",IF(F41=2,"✅ En N2","✔ Sobre N2")))</f>
        <v>—</v>
      </c>
    </row>
    <row r="42" customFormat="false" ht="30" hidden="false" customHeight="true" outlineLevel="0" collapsed="false">
      <c r="B42" s="21" t="n">
        <v>19</v>
      </c>
      <c r="C42" s="37" t="s">
        <v>235</v>
      </c>
      <c r="D42" s="38" t="s">
        <v>229</v>
      </c>
      <c r="E42" s="58" t="str">
        <f aca="false">IF($D$8="Mesa de Ayuda","N2 · Administrado",IF($D$8="Mesa de Soporte","N2 · Administrado","—"))</f>
        <v>—</v>
      </c>
      <c r="F42" s="53"/>
      <c r="G42" s="54"/>
      <c r="H42" s="55" t="str">
        <f aca="false">IF(AND(F42&lt;&gt;"",G42&lt;&gt;""),G42-F42,"")</f>
        <v/>
      </c>
      <c r="I42" s="56"/>
      <c r="J42" s="56"/>
      <c r="K42" s="59" t="str">
        <f aca="false">IF(F42="","—",IF(F42&lt;2,"⛔ Bajo N2",IF(F42=2,"✅ En N2","✔ Sobre N2")))</f>
        <v>—</v>
      </c>
    </row>
    <row r="43" customFormat="false" ht="30" hidden="false" customHeight="true" outlineLevel="0" collapsed="false">
      <c r="B43" s="21" t="n">
        <v>20</v>
      </c>
      <c r="C43" s="37" t="s">
        <v>241</v>
      </c>
      <c r="D43" s="38" t="s">
        <v>229</v>
      </c>
      <c r="E43" s="58" t="str">
        <f aca="false">IF($D$8="Mesa de Ayuda","N2 · Administrado",IF($D$8="Mesa de Soporte","N2 · Administrado","—"))</f>
        <v>—</v>
      </c>
      <c r="F43" s="53"/>
      <c r="G43" s="54"/>
      <c r="H43" s="55" t="str">
        <f aca="false">IF(AND(F43&lt;&gt;"",G43&lt;&gt;""),G43-F43,"")</f>
        <v/>
      </c>
      <c r="I43" s="56"/>
      <c r="J43" s="56"/>
      <c r="K43" s="59" t="str">
        <f aca="false">IF(F43="","—",IF(F43&lt;2,"⛔ Bajo N2",IF(F43=2,"✅ En N2","✔ Sobre N2")))</f>
        <v>—</v>
      </c>
    </row>
    <row r="44" customFormat="false" ht="30" hidden="false" customHeight="true" outlineLevel="0" collapsed="false">
      <c r="B44" s="21" t="n">
        <v>21</v>
      </c>
      <c r="C44" s="37" t="s">
        <v>247</v>
      </c>
      <c r="D44" s="38" t="s">
        <v>229</v>
      </c>
      <c r="E44" s="58" t="str">
        <f aca="false">IF($D$8="Mesa de Ayuda","N2 · Administrado",IF($D$8="Mesa de Soporte","N2 · Administrado","—"))</f>
        <v>—</v>
      </c>
      <c r="F44" s="53"/>
      <c r="G44" s="54"/>
      <c r="H44" s="55" t="str">
        <f aca="false">IF(AND(F44&lt;&gt;"",G44&lt;&gt;""),G44-F44,"")</f>
        <v/>
      </c>
      <c r="I44" s="56"/>
      <c r="J44" s="56"/>
      <c r="K44" s="59" t="str">
        <f aca="false">IF(F44="","—",IF(F44&lt;2,"⛔ Bajo N2",IF(F44=2,"✅ En N2","✔ Sobre N2")))</f>
        <v>—</v>
      </c>
    </row>
  </sheetData>
  <mergeCells count="17">
    <mergeCell ref="C2:J2"/>
    <mergeCell ref="C3:J3"/>
    <mergeCell ref="D5:H5"/>
    <mergeCell ref="D6:H6"/>
    <mergeCell ref="D7:H7"/>
    <mergeCell ref="D8:H8"/>
    <mergeCell ref="D9:H9"/>
    <mergeCell ref="D10:H10"/>
    <mergeCell ref="D11:H11"/>
    <mergeCell ref="D12:H12"/>
    <mergeCell ref="D13:H13"/>
    <mergeCell ref="D15:G15"/>
    <mergeCell ref="B19:J19"/>
    <mergeCell ref="B22:J22"/>
    <mergeCell ref="B27:J27"/>
    <mergeCell ref="B32:J32"/>
    <mergeCell ref="B40:J40"/>
  </mergeCells>
  <conditionalFormatting sqref="F19:F44">
    <cfRule type="expression" priority="2" aboveAverage="0" equalAverage="0" bottom="0" percent="0" rank="0" text="" dxfId="0">
      <formula>AND(F19&lt;&gt;"",$D$16&gt;0,ISNUMBER(F19),F19&lt;$D$16)</formula>
    </cfRule>
    <cfRule type="colorScale" priority="3">
      <colorScale>
        <cfvo type="num" val="0"/>
        <cfvo type="num" val="3"/>
        <cfvo type="num" val="5"/>
        <color rgb="FFF0997B"/>
        <color rgb="FFFAC775"/>
        <color rgb="FF9FE1CB"/>
      </colorScale>
    </cfRule>
  </conditionalFormatting>
  <conditionalFormatting sqref="H19:H44">
    <cfRule type="cellIs" priority="4" operator="greaterThan" aboveAverage="0" equalAverage="0" bottom="0" percent="0" rank="0" text="" dxfId="1">
      <formula>1</formula>
    </cfRule>
    <cfRule type="cellIs" priority="5" operator="lessThan" aboveAverage="0" equalAverage="0" bottom="0" percent="0" rank="0" text="" dxfId="0">
      <formula>0</formula>
    </cfRule>
  </conditionalFormatting>
  <conditionalFormatting sqref="H20:H44">
    <cfRule type="cellIs" priority="6" operator="lessThan" aboveAverage="0" equalAverage="0" bottom="0" percent="0" rank="0" text="" dxfId="2">
      <formula>0</formula>
    </cfRule>
    <cfRule type="cellIs" priority="7" operator="equal" aboveAverage="0" equalAverage="0" bottom="0" percent="0" rank="0" text="" dxfId="3">
      <formula>0</formula>
    </cfRule>
    <cfRule type="cellIs" priority="8" operator="greaterThan" aboveAverage="0" equalAverage="0" bottom="0" percent="0" rank="0" text="" dxfId="4">
      <formula>0</formula>
    </cfRule>
  </conditionalFormatting>
  <dataValidations count="1">
    <dataValidation allowBlank="true" error="Ingresa 0 (N0) a 5 (N5)" errorStyle="stop" errorTitle="Nivel inválido" operator="between" showDropDown="false" showErrorMessage="true" showInputMessage="false" sqref="F20:F44" type="list">
      <formula1>"0,1,2,3,4,5"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K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8" topLeftCell="C19" activePane="bottomRight" state="frozen"/>
      <selection pane="topLeft" activeCell="A1" activeCellId="0" sqref="A1"/>
      <selection pane="topRight" activeCell="C1" activeCellId="0" sqref="C1"/>
      <selection pane="bottomLeft" activeCell="A19" activeCellId="0" sqref="A19"/>
      <selection pane="bottomRight" activeCell="A1" activeCellId="0" sqref="A1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"/>
    <col collapsed="false" customWidth="true" hidden="false" outlineLevel="0" max="3" min="3" style="0" width="30"/>
    <col collapsed="false" customWidth="true" hidden="false" outlineLevel="0" max="4" min="4" style="0" width="20"/>
    <col collapsed="false" customWidth="true" hidden="false" outlineLevel="0" max="5" min="5" style="0" width="16"/>
    <col collapsed="false" customWidth="true" hidden="false" outlineLevel="0" max="7" min="6" style="0" width="13"/>
    <col collapsed="false" customWidth="true" hidden="false" outlineLevel="0" max="8" min="8" style="0" width="8"/>
    <col collapsed="false" customWidth="true" hidden="false" outlineLevel="0" max="9" min="9" style="0" width="40"/>
    <col collapsed="false" customWidth="true" hidden="false" outlineLevel="0" max="10" min="10" style="0" width="18"/>
    <col collapsed="false" customWidth="true" hidden="false" outlineLevel="0" max="11" min="11" style="0" width="14"/>
  </cols>
  <sheetData>
    <row r="2" customFormat="false" ht="17.25" hidden="false" customHeight="true" outlineLevel="0" collapsed="false">
      <c r="C2" s="60" t="s">
        <v>288</v>
      </c>
      <c r="D2" s="60"/>
      <c r="E2" s="60"/>
      <c r="F2" s="60"/>
      <c r="G2" s="60"/>
      <c r="H2" s="60"/>
      <c r="I2" s="60"/>
      <c r="J2" s="60"/>
    </row>
    <row r="3" customFormat="false" ht="15" hidden="false" customHeight="true" outlineLevel="0" collapsed="false">
      <c r="C3" s="10" t="s">
        <v>284</v>
      </c>
      <c r="D3" s="10"/>
      <c r="E3" s="10"/>
      <c r="F3" s="10"/>
      <c r="G3" s="10"/>
      <c r="H3" s="10"/>
      <c r="I3" s="10"/>
      <c r="J3" s="10"/>
    </row>
    <row r="5" customFormat="false" ht="15" hidden="false" customHeight="true" outlineLevel="0" collapsed="false">
      <c r="C5" s="4" t="s">
        <v>255</v>
      </c>
      <c r="D5" s="40" t="s">
        <v>289</v>
      </c>
      <c r="E5" s="40"/>
      <c r="F5" s="40"/>
      <c r="G5" s="40"/>
      <c r="H5" s="40"/>
    </row>
    <row r="6" customFormat="false" ht="15" hidden="false" customHeight="true" outlineLevel="0" collapsed="false">
      <c r="C6" s="4" t="s">
        <v>257</v>
      </c>
      <c r="D6" s="40" t="s">
        <v>72</v>
      </c>
      <c r="E6" s="40"/>
      <c r="F6" s="40"/>
      <c r="G6" s="40"/>
      <c r="H6" s="40"/>
    </row>
    <row r="7" customFormat="false" ht="15" hidden="false" customHeight="true" outlineLevel="0" collapsed="false">
      <c r="C7" s="4" t="s">
        <v>258</v>
      </c>
      <c r="D7" s="40" t="s">
        <v>64</v>
      </c>
      <c r="E7" s="40"/>
      <c r="F7" s="40"/>
      <c r="G7" s="40"/>
      <c r="H7" s="40"/>
    </row>
    <row r="8" customFormat="false" ht="15" hidden="false" customHeight="true" outlineLevel="0" collapsed="false">
      <c r="C8" s="4" t="s">
        <v>260</v>
      </c>
      <c r="D8" s="40"/>
      <c r="E8" s="40"/>
      <c r="F8" s="40"/>
      <c r="G8" s="40"/>
      <c r="H8" s="40"/>
    </row>
    <row r="9" customFormat="false" ht="15" hidden="false" customHeight="true" outlineLevel="0" collapsed="false">
      <c r="C9" s="4" t="s">
        <v>261</v>
      </c>
      <c r="D9" s="40" t="s">
        <v>73</v>
      </c>
      <c r="E9" s="40"/>
      <c r="F9" s="40"/>
      <c r="G9" s="40"/>
      <c r="H9" s="40"/>
    </row>
    <row r="10" customFormat="false" ht="15" hidden="false" customHeight="true" outlineLevel="0" collapsed="false">
      <c r="C10" s="4" t="s">
        <v>262</v>
      </c>
      <c r="D10" s="40"/>
      <c r="E10" s="40"/>
      <c r="F10" s="40"/>
      <c r="G10" s="40"/>
      <c r="H10" s="40"/>
    </row>
    <row r="11" customFormat="false" ht="15" hidden="false" customHeight="true" outlineLevel="0" collapsed="false">
      <c r="C11" s="4" t="s">
        <v>263</v>
      </c>
      <c r="D11" s="41"/>
      <c r="E11" s="41"/>
      <c r="F11" s="41"/>
      <c r="G11" s="41"/>
      <c r="H11" s="41"/>
    </row>
    <row r="12" customFormat="false" ht="15" hidden="false" customHeight="true" outlineLevel="0" collapsed="false">
      <c r="C12" s="4" t="s">
        <v>264</v>
      </c>
      <c r="D12" s="40"/>
      <c r="E12" s="40"/>
      <c r="F12" s="40"/>
      <c r="G12" s="40"/>
      <c r="H12" s="40"/>
    </row>
    <row r="13" customFormat="false" ht="15" hidden="false" customHeight="true" outlineLevel="0" collapsed="false">
      <c r="C13" s="4" t="s">
        <v>265</v>
      </c>
      <c r="D13" s="40"/>
      <c r="E13" s="40"/>
      <c r="F13" s="40"/>
      <c r="G13" s="40"/>
      <c r="H13" s="40"/>
    </row>
    <row r="15" customFormat="false" ht="15.75" hidden="false" customHeight="true" outlineLevel="0" collapsed="false">
      <c r="C15" s="42" t="s">
        <v>266</v>
      </c>
      <c r="D15" s="43" t="str">
        <f aca="false">IF(D8="Mesa de Ayuda","N2 · Administrado",IF(D8="Mesa de Soporte","N3 · Definido","— Seleccionar tipo"))</f>
        <v>— Seleccionar tipo</v>
      </c>
      <c r="E15" s="43"/>
      <c r="F15" s="43"/>
      <c r="G15" s="43"/>
      <c r="I15" s="42" t="s">
        <v>267</v>
      </c>
      <c r="J15" s="44" t="str">
        <f aca="false">IFERROR(AVERAGEIF(F20:F39,"&lt;&gt;"),"")</f>
        <v/>
      </c>
    </row>
    <row r="16" customFormat="false" ht="15" hidden="false" customHeight="true" outlineLevel="0" collapsed="false">
      <c r="C16" s="45" t="s">
        <v>268</v>
      </c>
      <c r="D16" s="46" t="n">
        <f aca="false">IF(D8="Mesa de Ayuda",2,IF(D8="Mesa de Soporte",3,0))</f>
        <v>0</v>
      </c>
    </row>
    <row r="18" customFormat="false" ht="42" hidden="false" customHeight="true" outlineLevel="0" collapsed="false">
      <c r="B18" s="14" t="s">
        <v>101</v>
      </c>
      <c r="C18" s="14" t="s">
        <v>102</v>
      </c>
      <c r="D18" s="14" t="s">
        <v>103</v>
      </c>
      <c r="E18" s="47" t="s">
        <v>269</v>
      </c>
      <c r="F18" s="48" t="s">
        <v>270</v>
      </c>
      <c r="G18" s="49" t="s">
        <v>271</v>
      </c>
      <c r="H18" s="50" t="s">
        <v>272</v>
      </c>
      <c r="I18" s="14" t="s">
        <v>273</v>
      </c>
      <c r="J18" s="14" t="s">
        <v>274</v>
      </c>
      <c r="K18" s="51" t="s">
        <v>275</v>
      </c>
    </row>
    <row r="19" customFormat="false" ht="19.5" hidden="false" customHeight="true" outlineLevel="0" collapsed="false">
      <c r="B19" s="22" t="s">
        <v>16</v>
      </c>
      <c r="C19" s="22"/>
      <c r="D19" s="22"/>
      <c r="E19" s="22"/>
      <c r="F19" s="22"/>
      <c r="G19" s="22"/>
      <c r="H19" s="22"/>
      <c r="I19" s="22"/>
      <c r="J19" s="22"/>
    </row>
    <row r="20" customFormat="false" ht="30" hidden="false" customHeight="true" outlineLevel="0" collapsed="false">
      <c r="B20" s="21" t="n">
        <v>1</v>
      </c>
      <c r="C20" s="22" t="s">
        <v>111</v>
      </c>
      <c r="D20" s="23" t="s">
        <v>112</v>
      </c>
      <c r="E20" s="52" t="str">
        <f aca="false">IF($D$8="Mesa de Ayuda","N2 · Administrado",IF($D$8="Mesa de Soporte","N3 · Definido","—"))</f>
        <v>—</v>
      </c>
      <c r="F20" s="53"/>
      <c r="G20" s="54"/>
      <c r="H20" s="55" t="str">
        <f aca="false">IF(AND(F20&lt;&gt;"",G20&lt;&gt;""),G20-F20,"")</f>
        <v/>
      </c>
      <c r="I20" s="56"/>
      <c r="J20" s="56"/>
      <c r="K20" s="57" t="str">
        <f aca="false">IF(F20="","—",IF(F20&lt;$D$16,"⛔ Bajo mínimo",IF(F20=$D$16,"✅ En mínimo","✔ Sobre mínimo")))</f>
        <v>—</v>
      </c>
    </row>
    <row r="21" customFormat="false" ht="30" hidden="false" customHeight="true" outlineLevel="0" collapsed="false">
      <c r="B21" s="21" t="n">
        <v>2</v>
      </c>
      <c r="C21" s="22" t="s">
        <v>119</v>
      </c>
      <c r="D21" s="26" t="s">
        <v>120</v>
      </c>
      <c r="E21" s="52" t="str">
        <f aca="false">IF($D$8="Mesa de Ayuda","N2 · Administrado",IF($D$8="Mesa de Soporte","N3 · Definido","—"))</f>
        <v>—</v>
      </c>
      <c r="F21" s="53"/>
      <c r="G21" s="54"/>
      <c r="H21" s="55" t="str">
        <f aca="false">IF(AND(F21&lt;&gt;"",G21&lt;&gt;""),G21-F21,"")</f>
        <v/>
      </c>
      <c r="I21" s="56"/>
      <c r="J21" s="56"/>
      <c r="K21" s="57" t="str">
        <f aca="false">IF(F21="","—",IF(F21&lt;$D$16,"⛔ Bajo mínimo",IF(F21=$D$16,"✅ En mínimo","✔ Sobre mínimo")))</f>
        <v>—</v>
      </c>
    </row>
    <row r="22" customFormat="false" ht="19.5" hidden="false" customHeight="true" outlineLevel="0" collapsed="false">
      <c r="B22" s="28" t="s">
        <v>18</v>
      </c>
      <c r="C22" s="28"/>
      <c r="D22" s="28"/>
      <c r="E22" s="28"/>
      <c r="F22" s="28"/>
      <c r="G22" s="28"/>
      <c r="H22" s="28"/>
      <c r="I22" s="28"/>
      <c r="J22" s="28"/>
    </row>
    <row r="23" customFormat="false" ht="30" hidden="false" customHeight="true" outlineLevel="0" collapsed="false">
      <c r="B23" s="21" t="n">
        <v>3</v>
      </c>
      <c r="C23" s="28" t="s">
        <v>127</v>
      </c>
      <c r="D23" s="26" t="s">
        <v>120</v>
      </c>
      <c r="E23" s="52" t="str">
        <f aca="false">IF($D$8="Mesa de Ayuda","N2 · Administrado",IF($D$8="Mesa de Soporte","N3 · Definido","—"))</f>
        <v>—</v>
      </c>
      <c r="F23" s="53"/>
      <c r="G23" s="54"/>
      <c r="H23" s="55" t="str">
        <f aca="false">IF(AND(F23&lt;&gt;"",G23&lt;&gt;""),G23-F23,"")</f>
        <v/>
      </c>
      <c r="I23" s="56"/>
      <c r="J23" s="56"/>
      <c r="K23" s="57" t="str">
        <f aca="false">IF(F23="","—",IF(F23&lt;$D$16,"⛔ Bajo mínimo",IF(F23=$D$16,"✅ En mínimo","✔ Sobre mínimo")))</f>
        <v>—</v>
      </c>
    </row>
    <row r="24" customFormat="false" ht="30" hidden="false" customHeight="true" outlineLevel="0" collapsed="false">
      <c r="B24" s="21" t="n">
        <v>4</v>
      </c>
      <c r="C24" s="28" t="s">
        <v>133</v>
      </c>
      <c r="D24" s="29" t="s">
        <v>134</v>
      </c>
      <c r="E24" s="52" t="str">
        <f aca="false">IF($D$8="Mesa de Ayuda","N2 · Administrado",IF($D$8="Mesa de Soporte","N3 · Definido","—"))</f>
        <v>—</v>
      </c>
      <c r="F24" s="53"/>
      <c r="G24" s="54"/>
      <c r="H24" s="55" t="str">
        <f aca="false">IF(AND(F24&lt;&gt;"",G24&lt;&gt;""),G24-F24,"")</f>
        <v/>
      </c>
      <c r="I24" s="56"/>
      <c r="J24" s="56"/>
      <c r="K24" s="57" t="str">
        <f aca="false">IF(F24="","—",IF(F24&lt;$D$16,"⛔ Bajo mínimo",IF(F24=$D$16,"✅ En mínimo","✔ Sobre mínimo")))</f>
        <v>—</v>
      </c>
    </row>
    <row r="25" customFormat="false" ht="30" hidden="false" customHeight="true" outlineLevel="0" collapsed="false">
      <c r="B25" s="21" t="n">
        <v>5</v>
      </c>
      <c r="C25" s="28" t="s">
        <v>141</v>
      </c>
      <c r="D25" s="23" t="s">
        <v>112</v>
      </c>
      <c r="E25" s="52" t="str">
        <f aca="false">IF($D$8="Mesa de Ayuda","N2 · Administrado",IF($D$8="Mesa de Soporte","N3 · Definido","—"))</f>
        <v>—</v>
      </c>
      <c r="F25" s="53"/>
      <c r="G25" s="54"/>
      <c r="H25" s="55" t="str">
        <f aca="false">IF(AND(F25&lt;&gt;"",G25&lt;&gt;""),G25-F25,"")</f>
        <v/>
      </c>
      <c r="I25" s="56"/>
      <c r="J25" s="56"/>
      <c r="K25" s="57" t="str">
        <f aca="false">IF(F25="","—",IF(F25&lt;$D$16,"⛔ Bajo mínimo",IF(F25=$D$16,"✅ En mínimo","✔ Sobre mínimo")))</f>
        <v>—</v>
      </c>
    </row>
    <row r="26" customFormat="false" ht="30" hidden="false" customHeight="true" outlineLevel="0" collapsed="false">
      <c r="B26" s="21" t="n">
        <v>6</v>
      </c>
      <c r="C26" s="28" t="s">
        <v>147</v>
      </c>
      <c r="D26" s="29" t="s">
        <v>134</v>
      </c>
      <c r="E26" s="52" t="str">
        <f aca="false">IF($D$8="Mesa de Ayuda","N2 · Administrado",IF($D$8="Mesa de Soporte","N3 · Definido","—"))</f>
        <v>—</v>
      </c>
      <c r="F26" s="53"/>
      <c r="G26" s="54"/>
      <c r="H26" s="55" t="str">
        <f aca="false">IF(AND(F26&lt;&gt;"",G26&lt;&gt;""),G26-F26,"")</f>
        <v/>
      </c>
      <c r="I26" s="56"/>
      <c r="J26" s="56"/>
      <c r="K26" s="57" t="str">
        <f aca="false">IF(F26="","—",IF(F26&lt;$D$16,"⛔ Bajo mínimo",IF(F26=$D$16,"✅ En mínimo","✔ Sobre mínimo")))</f>
        <v>—</v>
      </c>
    </row>
    <row r="27" customFormat="false" ht="19.5" hidden="false" customHeight="true" outlineLevel="0" collapsed="false">
      <c r="B27" s="31" t="s">
        <v>20</v>
      </c>
      <c r="C27" s="31"/>
      <c r="D27" s="31"/>
      <c r="E27" s="31"/>
      <c r="F27" s="31"/>
      <c r="G27" s="31"/>
      <c r="H27" s="31"/>
      <c r="I27" s="31"/>
      <c r="J27" s="31"/>
    </row>
    <row r="28" customFormat="false" ht="30" hidden="false" customHeight="true" outlineLevel="0" collapsed="false">
      <c r="B28" s="21" t="n">
        <v>7</v>
      </c>
      <c r="C28" s="31" t="s">
        <v>154</v>
      </c>
      <c r="D28" s="29" t="s">
        <v>134</v>
      </c>
      <c r="E28" s="52" t="str">
        <f aca="false">IF($D$8="Mesa de Ayuda","N2 · Administrado",IF($D$8="Mesa de Soporte","N3 · Definido","—"))</f>
        <v>—</v>
      </c>
      <c r="F28" s="53"/>
      <c r="G28" s="54"/>
      <c r="H28" s="55" t="str">
        <f aca="false">IF(AND(F28&lt;&gt;"",G28&lt;&gt;""),G28-F28,"")</f>
        <v/>
      </c>
      <c r="I28" s="56"/>
      <c r="J28" s="56"/>
      <c r="K28" s="57" t="str">
        <f aca="false">IF(F28="","—",IF(F28&lt;$D$16,"⛔ Bajo mínimo",IF(F28=$D$16,"✅ En mínimo","✔ Sobre mínimo")))</f>
        <v>—</v>
      </c>
    </row>
    <row r="29" customFormat="false" ht="30" hidden="false" customHeight="true" outlineLevel="0" collapsed="false">
      <c r="B29" s="21" t="n">
        <v>8</v>
      </c>
      <c r="C29" s="31" t="s">
        <v>160</v>
      </c>
      <c r="D29" s="32" t="s">
        <v>161</v>
      </c>
      <c r="E29" s="52" t="str">
        <f aca="false">IF($D$8="Mesa de Ayuda","N2 · Administrado",IF($D$8="Mesa de Soporte","N3 · Definido","—"))</f>
        <v>—</v>
      </c>
      <c r="F29" s="53"/>
      <c r="G29" s="54"/>
      <c r="H29" s="55" t="str">
        <f aca="false">IF(AND(F29&lt;&gt;"",G29&lt;&gt;""),G29-F29,"")</f>
        <v/>
      </c>
      <c r="I29" s="56"/>
      <c r="J29" s="56"/>
      <c r="K29" s="57" t="str">
        <f aca="false">IF(F29="","—",IF(F29&lt;$D$16,"⛔ Bajo mínimo",IF(F29=$D$16,"✅ En mínimo","✔ Sobre mínimo")))</f>
        <v>—</v>
      </c>
    </row>
    <row r="30" customFormat="false" ht="30" hidden="false" customHeight="true" outlineLevel="0" collapsed="false">
      <c r="B30" s="21" t="n">
        <v>9</v>
      </c>
      <c r="C30" s="31" t="s">
        <v>167</v>
      </c>
      <c r="D30" s="32" t="s">
        <v>161</v>
      </c>
      <c r="E30" s="52" t="str">
        <f aca="false">IF($D$8="Mesa de Ayuda","N2 · Administrado",IF($D$8="Mesa de Soporte","N3 · Definido","—"))</f>
        <v>—</v>
      </c>
      <c r="F30" s="53"/>
      <c r="G30" s="54"/>
      <c r="H30" s="55" t="str">
        <f aca="false">IF(AND(F30&lt;&gt;"",G30&lt;&gt;""),G30-F30,"")</f>
        <v/>
      </c>
      <c r="I30" s="56"/>
      <c r="J30" s="56"/>
      <c r="K30" s="57" t="str">
        <f aca="false">IF(F30="","—",IF(F30&lt;$D$16,"⛔ Bajo mínimo",IF(F30=$D$16,"✅ En mínimo","✔ Sobre mínimo")))</f>
        <v>—</v>
      </c>
    </row>
    <row r="31" customFormat="false" ht="30" hidden="false" customHeight="true" outlineLevel="0" collapsed="false">
      <c r="B31" s="21" t="n">
        <v>10</v>
      </c>
      <c r="C31" s="31" t="s">
        <v>173</v>
      </c>
      <c r="D31" s="23" t="s">
        <v>112</v>
      </c>
      <c r="E31" s="52" t="str">
        <f aca="false">IF($D$8="Mesa de Ayuda","N2 · Administrado",IF($D$8="Mesa de Soporte","N3 · Definido","—"))</f>
        <v>—</v>
      </c>
      <c r="F31" s="53"/>
      <c r="G31" s="54"/>
      <c r="H31" s="55" t="str">
        <f aca="false">IF(AND(F31&lt;&gt;"",G31&lt;&gt;""),G31-F31,"")</f>
        <v/>
      </c>
      <c r="I31" s="56"/>
      <c r="J31" s="56"/>
      <c r="K31" s="57" t="str">
        <f aca="false">IF(F31="","—",IF(F31&lt;$D$16,"⛔ Bajo mínimo",IF(F31=$D$16,"✅ En mínimo","✔ Sobre mínimo")))</f>
        <v>—</v>
      </c>
    </row>
    <row r="32" customFormat="false" ht="19.5" hidden="false" customHeight="true" outlineLevel="0" collapsed="false">
      <c r="B32" s="34" t="s">
        <v>22</v>
      </c>
      <c r="C32" s="34"/>
      <c r="D32" s="34"/>
      <c r="E32" s="34"/>
      <c r="F32" s="34"/>
      <c r="G32" s="34"/>
      <c r="H32" s="34"/>
      <c r="I32" s="34"/>
      <c r="J32" s="34"/>
    </row>
    <row r="33" customFormat="false" ht="30" hidden="false" customHeight="true" outlineLevel="0" collapsed="false">
      <c r="B33" s="21" t="n">
        <v>11</v>
      </c>
      <c r="C33" s="34" t="s">
        <v>181</v>
      </c>
      <c r="D33" s="29" t="s">
        <v>134</v>
      </c>
      <c r="E33" s="52" t="str">
        <f aca="false">IF($D$8="Mesa de Ayuda","N2 · Administrado",IF($D$8="Mesa de Soporte","N3 · Definido","—"))</f>
        <v>—</v>
      </c>
      <c r="F33" s="53"/>
      <c r="G33" s="54"/>
      <c r="H33" s="55" t="str">
        <f aca="false">IF(AND(F33&lt;&gt;"",G33&lt;&gt;""),G33-F33,"")</f>
        <v/>
      </c>
      <c r="I33" s="56"/>
      <c r="J33" s="56"/>
      <c r="K33" s="57" t="str">
        <f aca="false">IF(F33="","—",IF(F33&lt;$D$16,"⛔ Bajo mínimo",IF(F33=$D$16,"✅ En mínimo","✔ Sobre mínimo")))</f>
        <v>—</v>
      </c>
    </row>
    <row r="34" customFormat="false" ht="30" hidden="false" customHeight="true" outlineLevel="0" collapsed="false">
      <c r="B34" s="21" t="n">
        <v>12</v>
      </c>
      <c r="C34" s="34" t="s">
        <v>187</v>
      </c>
      <c r="D34" s="29" t="s">
        <v>134</v>
      </c>
      <c r="E34" s="52" t="str">
        <f aca="false">IF($D$8="Mesa de Ayuda","N2 · Administrado",IF($D$8="Mesa de Soporte","N3 · Definido","—"))</f>
        <v>—</v>
      </c>
      <c r="F34" s="53"/>
      <c r="G34" s="54"/>
      <c r="H34" s="55" t="str">
        <f aca="false">IF(AND(F34&lt;&gt;"",G34&lt;&gt;""),G34-F34,"")</f>
        <v/>
      </c>
      <c r="I34" s="56"/>
      <c r="J34" s="56"/>
      <c r="K34" s="57" t="str">
        <f aca="false">IF(F34="","—",IF(F34&lt;$D$16,"⛔ Bajo mínimo",IF(F34=$D$16,"✅ En mínimo","✔ Sobre mínimo")))</f>
        <v>—</v>
      </c>
    </row>
    <row r="35" customFormat="false" ht="30" hidden="false" customHeight="true" outlineLevel="0" collapsed="false">
      <c r="B35" s="21" t="n">
        <v>13</v>
      </c>
      <c r="C35" s="34" t="s">
        <v>194</v>
      </c>
      <c r="D35" s="29" t="s">
        <v>134</v>
      </c>
      <c r="E35" s="52" t="str">
        <f aca="false">IF($D$8="Mesa de Ayuda","N2 · Administrado",IF($D$8="Mesa de Soporte","N3 · Definido","—"))</f>
        <v>—</v>
      </c>
      <c r="F35" s="53"/>
      <c r="G35" s="54"/>
      <c r="H35" s="55" t="str">
        <f aca="false">IF(AND(F35&lt;&gt;"",G35&lt;&gt;""),G35-F35,"")</f>
        <v/>
      </c>
      <c r="I35" s="56"/>
      <c r="J35" s="56"/>
      <c r="K35" s="57" t="str">
        <f aca="false">IF(F35="","—",IF(F35&lt;$D$16,"⛔ Bajo mínimo",IF(F35=$D$16,"✅ En mínimo","✔ Sobre mínimo")))</f>
        <v>—</v>
      </c>
    </row>
    <row r="36" customFormat="false" ht="30" hidden="false" customHeight="true" outlineLevel="0" collapsed="false">
      <c r="B36" s="21" t="n">
        <v>14</v>
      </c>
      <c r="C36" s="34" t="s">
        <v>200</v>
      </c>
      <c r="D36" s="32" t="s">
        <v>161</v>
      </c>
      <c r="E36" s="52" t="str">
        <f aca="false">IF($D$8="Mesa de Ayuda","N2 · Administrado",IF($D$8="Mesa de Soporte","N3 · Definido","—"))</f>
        <v>—</v>
      </c>
      <c r="F36" s="53"/>
      <c r="G36" s="54"/>
      <c r="H36" s="55" t="str">
        <f aca="false">IF(AND(F36&lt;&gt;"",G36&lt;&gt;""),G36-F36,"")</f>
        <v/>
      </c>
      <c r="I36" s="56"/>
      <c r="J36" s="56"/>
      <c r="K36" s="57" t="str">
        <f aca="false">IF(F36="","—",IF(F36&lt;$D$16,"⛔ Bajo mínimo",IF(F36=$D$16,"✅ En mínimo","✔ Sobre mínimo")))</f>
        <v>—</v>
      </c>
    </row>
    <row r="37" customFormat="false" ht="30" hidden="false" customHeight="true" outlineLevel="0" collapsed="false">
      <c r="B37" s="21" t="n">
        <v>15</v>
      </c>
      <c r="C37" s="34" t="s">
        <v>206</v>
      </c>
      <c r="D37" s="32" t="s">
        <v>161</v>
      </c>
      <c r="E37" s="52" t="str">
        <f aca="false">IF($D$8="Mesa de Ayuda","N2 · Administrado",IF($D$8="Mesa de Soporte","N3 · Definido","—"))</f>
        <v>—</v>
      </c>
      <c r="F37" s="53"/>
      <c r="G37" s="54"/>
      <c r="H37" s="55" t="str">
        <f aca="false">IF(AND(F37&lt;&gt;"",G37&lt;&gt;""),G37-F37,"")</f>
        <v/>
      </c>
      <c r="I37" s="56"/>
      <c r="J37" s="56"/>
      <c r="K37" s="57" t="str">
        <f aca="false">IF(F37="","—",IF(F37&lt;$D$16,"⛔ Bajo mínimo",IF(F37=$D$16,"✅ En mínimo","✔ Sobre mínimo")))</f>
        <v>—</v>
      </c>
    </row>
    <row r="38" customFormat="false" ht="30" hidden="false" customHeight="true" outlineLevel="0" collapsed="false">
      <c r="B38" s="21" t="n">
        <v>16</v>
      </c>
      <c r="C38" s="34" t="s">
        <v>212</v>
      </c>
      <c r="D38" s="29" t="s">
        <v>213</v>
      </c>
      <c r="E38" s="52" t="str">
        <f aca="false">IF($D$8="Mesa de Ayuda","N2 · Administrado",IF($D$8="Mesa de Soporte","N3 · Definido","—"))</f>
        <v>—</v>
      </c>
      <c r="F38" s="53"/>
      <c r="G38" s="54"/>
      <c r="H38" s="55" t="str">
        <f aca="false">IF(AND(F38&lt;&gt;"",G38&lt;&gt;""),G38-F38,"")</f>
        <v/>
      </c>
      <c r="I38" s="56"/>
      <c r="J38" s="56"/>
      <c r="K38" s="57" t="str">
        <f aca="false">IF(F38="","—",IF(F38&lt;$D$16,"⛔ Bajo mínimo",IF(F38=$D$16,"✅ En mínimo","✔ Sobre mínimo")))</f>
        <v>—</v>
      </c>
    </row>
    <row r="39" customFormat="false" ht="30" hidden="false" customHeight="true" outlineLevel="0" collapsed="false">
      <c r="B39" s="21" t="n">
        <v>17</v>
      </c>
      <c r="C39" s="34" t="s">
        <v>219</v>
      </c>
      <c r="D39" s="35" t="s">
        <v>220</v>
      </c>
      <c r="E39" s="52" t="str">
        <f aca="false">IF($D$8="Mesa de Ayuda","N2 · Administrado",IF($D$8="Mesa de Soporte","N3 · Definido","—"))</f>
        <v>—</v>
      </c>
      <c r="F39" s="53"/>
      <c r="G39" s="54"/>
      <c r="H39" s="55" t="str">
        <f aca="false">IF(AND(F39&lt;&gt;"",G39&lt;&gt;""),G39-F39,"")</f>
        <v/>
      </c>
      <c r="I39" s="56"/>
      <c r="J39" s="56"/>
      <c r="K39" s="57" t="str">
        <f aca="false">IF(F39="","—",IF(F39&lt;$D$16,"⛔ Bajo mínimo",IF(F39=$D$16,"✅ En mínimo","✔ Sobre mínimo")))</f>
        <v>—</v>
      </c>
    </row>
    <row r="40" customFormat="false" ht="19.5" hidden="false" customHeight="true" outlineLevel="0" collapsed="false">
      <c r="B40" s="37" t="s">
        <v>276</v>
      </c>
      <c r="C40" s="37"/>
      <c r="D40" s="37"/>
      <c r="E40" s="37"/>
      <c r="F40" s="37"/>
      <c r="G40" s="37"/>
      <c r="H40" s="37"/>
      <c r="I40" s="37"/>
      <c r="J40" s="37"/>
    </row>
    <row r="41" customFormat="false" ht="30" hidden="false" customHeight="true" outlineLevel="0" collapsed="false">
      <c r="B41" s="21" t="n">
        <v>18</v>
      </c>
      <c r="C41" s="37" t="s">
        <v>228</v>
      </c>
      <c r="D41" s="38" t="s">
        <v>229</v>
      </c>
      <c r="E41" s="58" t="str">
        <f aca="false">IF($D$8="Mesa de Ayuda","N2 · Administrado",IF($D$8="Mesa de Soporte","N2 · Administrado","—"))</f>
        <v>—</v>
      </c>
      <c r="F41" s="53"/>
      <c r="G41" s="54"/>
      <c r="H41" s="55" t="str">
        <f aca="false">IF(AND(F41&lt;&gt;"",G41&lt;&gt;""),G41-F41,"")</f>
        <v/>
      </c>
      <c r="I41" s="56"/>
      <c r="J41" s="56"/>
      <c r="K41" s="59" t="str">
        <f aca="false">IF(F41="","—",IF(F41&lt;2,"⛔ Bajo N2",IF(F41=2,"✅ En N2","✔ Sobre N2")))</f>
        <v>—</v>
      </c>
    </row>
    <row r="42" customFormat="false" ht="30" hidden="false" customHeight="true" outlineLevel="0" collapsed="false">
      <c r="B42" s="21" t="n">
        <v>19</v>
      </c>
      <c r="C42" s="37" t="s">
        <v>235</v>
      </c>
      <c r="D42" s="38" t="s">
        <v>229</v>
      </c>
      <c r="E42" s="58" t="str">
        <f aca="false">IF($D$8="Mesa de Ayuda","N2 · Administrado",IF($D$8="Mesa de Soporte","N2 · Administrado","—"))</f>
        <v>—</v>
      </c>
      <c r="F42" s="53"/>
      <c r="G42" s="54"/>
      <c r="H42" s="55" t="str">
        <f aca="false">IF(AND(F42&lt;&gt;"",G42&lt;&gt;""),G42-F42,"")</f>
        <v/>
      </c>
      <c r="I42" s="56"/>
      <c r="J42" s="56"/>
      <c r="K42" s="59" t="str">
        <f aca="false">IF(F42="","—",IF(F42&lt;2,"⛔ Bajo N2",IF(F42=2,"✅ En N2","✔ Sobre N2")))</f>
        <v>—</v>
      </c>
    </row>
    <row r="43" customFormat="false" ht="30" hidden="false" customHeight="true" outlineLevel="0" collapsed="false">
      <c r="B43" s="21" t="n">
        <v>20</v>
      </c>
      <c r="C43" s="37" t="s">
        <v>241</v>
      </c>
      <c r="D43" s="38" t="s">
        <v>229</v>
      </c>
      <c r="E43" s="58" t="str">
        <f aca="false">IF($D$8="Mesa de Ayuda","N2 · Administrado",IF($D$8="Mesa de Soporte","N2 · Administrado","—"))</f>
        <v>—</v>
      </c>
      <c r="F43" s="53"/>
      <c r="G43" s="54"/>
      <c r="H43" s="55" t="str">
        <f aca="false">IF(AND(F43&lt;&gt;"",G43&lt;&gt;""),G43-F43,"")</f>
        <v/>
      </c>
      <c r="I43" s="56"/>
      <c r="J43" s="56"/>
      <c r="K43" s="59" t="str">
        <f aca="false">IF(F43="","—",IF(F43&lt;2,"⛔ Bajo N2",IF(F43=2,"✅ En N2","✔ Sobre N2")))</f>
        <v>—</v>
      </c>
    </row>
    <row r="44" customFormat="false" ht="30" hidden="false" customHeight="true" outlineLevel="0" collapsed="false">
      <c r="B44" s="21" t="n">
        <v>21</v>
      </c>
      <c r="C44" s="37" t="s">
        <v>247</v>
      </c>
      <c r="D44" s="38" t="s">
        <v>229</v>
      </c>
      <c r="E44" s="58" t="str">
        <f aca="false">IF($D$8="Mesa de Ayuda","N2 · Administrado",IF($D$8="Mesa de Soporte","N2 · Administrado","—"))</f>
        <v>—</v>
      </c>
      <c r="F44" s="53"/>
      <c r="G44" s="54"/>
      <c r="H44" s="55" t="str">
        <f aca="false">IF(AND(F44&lt;&gt;"",G44&lt;&gt;""),G44-F44,"")</f>
        <v/>
      </c>
      <c r="I44" s="56"/>
      <c r="J44" s="56"/>
      <c r="K44" s="59" t="str">
        <f aca="false">IF(F44="","—",IF(F44&lt;2,"⛔ Bajo N2",IF(F44=2,"✅ En N2","✔ Sobre N2")))</f>
        <v>—</v>
      </c>
    </row>
  </sheetData>
  <mergeCells count="17">
    <mergeCell ref="C2:J2"/>
    <mergeCell ref="C3:J3"/>
    <mergeCell ref="D5:H5"/>
    <mergeCell ref="D6:H6"/>
    <mergeCell ref="D7:H7"/>
    <mergeCell ref="D8:H8"/>
    <mergeCell ref="D9:H9"/>
    <mergeCell ref="D10:H10"/>
    <mergeCell ref="D11:H11"/>
    <mergeCell ref="D12:H12"/>
    <mergeCell ref="D13:H13"/>
    <mergeCell ref="D15:G15"/>
    <mergeCell ref="B19:J19"/>
    <mergeCell ref="B22:J22"/>
    <mergeCell ref="B27:J27"/>
    <mergeCell ref="B32:J32"/>
    <mergeCell ref="B40:J40"/>
  </mergeCells>
  <conditionalFormatting sqref="F19:F44">
    <cfRule type="expression" priority="2" aboveAverage="0" equalAverage="0" bottom="0" percent="0" rank="0" text="" dxfId="0">
      <formula>AND(F19&lt;&gt;"",$D$16&gt;0,ISNUMBER(F19),F19&lt;$D$16)</formula>
    </cfRule>
    <cfRule type="colorScale" priority="3">
      <colorScale>
        <cfvo type="num" val="0"/>
        <cfvo type="num" val="3"/>
        <cfvo type="num" val="5"/>
        <color rgb="FFF0997B"/>
        <color rgb="FFFAC775"/>
        <color rgb="FF9FE1CB"/>
      </colorScale>
    </cfRule>
  </conditionalFormatting>
  <conditionalFormatting sqref="H19:H44">
    <cfRule type="cellIs" priority="4" operator="greaterThan" aboveAverage="0" equalAverage="0" bottom="0" percent="0" rank="0" text="" dxfId="1">
      <formula>1</formula>
    </cfRule>
    <cfRule type="cellIs" priority="5" operator="lessThan" aboveAverage="0" equalAverage="0" bottom="0" percent="0" rank="0" text="" dxfId="0">
      <formula>0</formula>
    </cfRule>
  </conditionalFormatting>
  <conditionalFormatting sqref="H20:H44">
    <cfRule type="cellIs" priority="6" operator="lessThan" aboveAverage="0" equalAverage="0" bottom="0" percent="0" rank="0" text="" dxfId="2">
      <formula>0</formula>
    </cfRule>
    <cfRule type="cellIs" priority="7" operator="equal" aboveAverage="0" equalAverage="0" bottom="0" percent="0" rank="0" text="" dxfId="3">
      <formula>0</formula>
    </cfRule>
    <cfRule type="cellIs" priority="8" operator="greaterThan" aboveAverage="0" equalAverage="0" bottom="0" percent="0" rank="0" text="" dxfId="4">
      <formula>0</formula>
    </cfRule>
  </conditionalFormatting>
  <dataValidations count="1">
    <dataValidation allowBlank="true" error="Ingresa 0 (N0) a 5 (N5)" errorStyle="stop" errorTitle="Nivel inválido" operator="between" showDropDown="false" showErrorMessage="true" showInputMessage="false" sqref="F20:F44" type="list">
      <formula1>"0,1,2,3,4,5"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K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8" topLeftCell="C19" activePane="bottomRight" state="frozen"/>
      <selection pane="topLeft" activeCell="A1" activeCellId="0" sqref="A1"/>
      <selection pane="topRight" activeCell="C1" activeCellId="0" sqref="C1"/>
      <selection pane="bottomLeft" activeCell="A19" activeCellId="0" sqref="A19"/>
      <selection pane="bottomRight" activeCell="A1" activeCellId="0" sqref="A1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"/>
    <col collapsed="false" customWidth="true" hidden="false" outlineLevel="0" max="3" min="3" style="0" width="30"/>
    <col collapsed="false" customWidth="true" hidden="false" outlineLevel="0" max="4" min="4" style="0" width="20"/>
    <col collapsed="false" customWidth="true" hidden="false" outlineLevel="0" max="5" min="5" style="0" width="16"/>
    <col collapsed="false" customWidth="true" hidden="false" outlineLevel="0" max="7" min="6" style="0" width="13"/>
    <col collapsed="false" customWidth="true" hidden="false" outlineLevel="0" max="8" min="8" style="0" width="8"/>
    <col collapsed="false" customWidth="true" hidden="false" outlineLevel="0" max="9" min="9" style="0" width="40"/>
    <col collapsed="false" customWidth="true" hidden="false" outlineLevel="0" max="10" min="10" style="0" width="18"/>
    <col collapsed="false" customWidth="true" hidden="false" outlineLevel="0" max="11" min="11" style="0" width="14"/>
  </cols>
  <sheetData>
    <row r="2" customFormat="false" ht="17.25" hidden="false" customHeight="true" outlineLevel="0" collapsed="false">
      <c r="C2" s="60" t="s">
        <v>290</v>
      </c>
      <c r="D2" s="60"/>
      <c r="E2" s="60"/>
      <c r="F2" s="60"/>
      <c r="G2" s="60"/>
      <c r="H2" s="60"/>
      <c r="I2" s="60"/>
      <c r="J2" s="60"/>
    </row>
    <row r="3" customFormat="false" ht="15" hidden="false" customHeight="true" outlineLevel="0" collapsed="false">
      <c r="C3" s="10" t="s">
        <v>284</v>
      </c>
      <c r="D3" s="10"/>
      <c r="E3" s="10"/>
      <c r="F3" s="10"/>
      <c r="G3" s="10"/>
      <c r="H3" s="10"/>
      <c r="I3" s="10"/>
      <c r="J3" s="10"/>
    </row>
    <row r="5" customFormat="false" ht="15" hidden="false" customHeight="true" outlineLevel="0" collapsed="false">
      <c r="C5" s="4" t="s">
        <v>255</v>
      </c>
      <c r="D5" s="40" t="s">
        <v>291</v>
      </c>
      <c r="E5" s="40"/>
      <c r="F5" s="40"/>
      <c r="G5" s="40"/>
      <c r="H5" s="40"/>
    </row>
    <row r="6" customFormat="false" ht="15" hidden="false" customHeight="true" outlineLevel="0" collapsed="false">
      <c r="C6" s="4" t="s">
        <v>257</v>
      </c>
      <c r="D6" s="40" t="s">
        <v>72</v>
      </c>
      <c r="E6" s="40"/>
      <c r="F6" s="40"/>
      <c r="G6" s="40"/>
      <c r="H6" s="40"/>
    </row>
    <row r="7" customFormat="false" ht="15" hidden="false" customHeight="true" outlineLevel="0" collapsed="false">
      <c r="C7" s="4" t="s">
        <v>258</v>
      </c>
      <c r="D7" s="40" t="s">
        <v>64</v>
      </c>
      <c r="E7" s="40"/>
      <c r="F7" s="40"/>
      <c r="G7" s="40"/>
      <c r="H7" s="40"/>
    </row>
    <row r="8" customFormat="false" ht="15" hidden="false" customHeight="true" outlineLevel="0" collapsed="false">
      <c r="C8" s="4" t="s">
        <v>260</v>
      </c>
      <c r="D8" s="40"/>
      <c r="E8" s="40"/>
      <c r="F8" s="40"/>
      <c r="G8" s="40"/>
      <c r="H8" s="40"/>
    </row>
    <row r="9" customFormat="false" ht="15" hidden="false" customHeight="true" outlineLevel="0" collapsed="false">
      <c r="C9" s="4" t="s">
        <v>261</v>
      </c>
      <c r="D9" s="40" t="s">
        <v>73</v>
      </c>
      <c r="E9" s="40"/>
      <c r="F9" s="40"/>
      <c r="G9" s="40"/>
      <c r="H9" s="40"/>
    </row>
    <row r="10" customFormat="false" ht="15" hidden="false" customHeight="true" outlineLevel="0" collapsed="false">
      <c r="C10" s="4" t="s">
        <v>262</v>
      </c>
      <c r="D10" s="40"/>
      <c r="E10" s="40"/>
      <c r="F10" s="40"/>
      <c r="G10" s="40"/>
      <c r="H10" s="40"/>
    </row>
    <row r="11" customFormat="false" ht="15" hidden="false" customHeight="true" outlineLevel="0" collapsed="false">
      <c r="C11" s="4" t="s">
        <v>263</v>
      </c>
      <c r="D11" s="41"/>
      <c r="E11" s="41"/>
      <c r="F11" s="41"/>
      <c r="G11" s="41"/>
      <c r="H11" s="41"/>
    </row>
    <row r="12" customFormat="false" ht="15" hidden="false" customHeight="true" outlineLevel="0" collapsed="false">
      <c r="C12" s="4" t="s">
        <v>264</v>
      </c>
      <c r="D12" s="40"/>
      <c r="E12" s="40"/>
      <c r="F12" s="40"/>
      <c r="G12" s="40"/>
      <c r="H12" s="40"/>
    </row>
    <row r="13" customFormat="false" ht="15" hidden="false" customHeight="true" outlineLevel="0" collapsed="false">
      <c r="C13" s="4" t="s">
        <v>265</v>
      </c>
      <c r="D13" s="40"/>
      <c r="E13" s="40"/>
      <c r="F13" s="40"/>
      <c r="G13" s="40"/>
      <c r="H13" s="40"/>
    </row>
    <row r="15" customFormat="false" ht="15.75" hidden="false" customHeight="true" outlineLevel="0" collapsed="false">
      <c r="C15" s="42" t="s">
        <v>266</v>
      </c>
      <c r="D15" s="43" t="str">
        <f aca="false">IF(D8="Mesa de Ayuda","N2 · Administrado",IF(D8="Mesa de Soporte","N3 · Definido","— Seleccionar tipo"))</f>
        <v>— Seleccionar tipo</v>
      </c>
      <c r="E15" s="43"/>
      <c r="F15" s="43"/>
      <c r="G15" s="43"/>
      <c r="I15" s="42" t="s">
        <v>267</v>
      </c>
      <c r="J15" s="44" t="str">
        <f aca="false">IFERROR(AVERAGEIF(F20:F39,"&lt;&gt;"),"")</f>
        <v/>
      </c>
    </row>
    <row r="16" customFormat="false" ht="15" hidden="false" customHeight="true" outlineLevel="0" collapsed="false">
      <c r="C16" s="45" t="s">
        <v>268</v>
      </c>
      <c r="D16" s="46" t="n">
        <f aca="false">IF(D8="Mesa de Ayuda",2,IF(D8="Mesa de Soporte",3,0))</f>
        <v>0</v>
      </c>
    </row>
    <row r="18" customFormat="false" ht="42" hidden="false" customHeight="true" outlineLevel="0" collapsed="false">
      <c r="B18" s="14" t="s">
        <v>101</v>
      </c>
      <c r="C18" s="14" t="s">
        <v>102</v>
      </c>
      <c r="D18" s="14" t="s">
        <v>103</v>
      </c>
      <c r="E18" s="47" t="s">
        <v>269</v>
      </c>
      <c r="F18" s="48" t="s">
        <v>270</v>
      </c>
      <c r="G18" s="49" t="s">
        <v>271</v>
      </c>
      <c r="H18" s="50" t="s">
        <v>272</v>
      </c>
      <c r="I18" s="14" t="s">
        <v>273</v>
      </c>
      <c r="J18" s="14" t="s">
        <v>274</v>
      </c>
      <c r="K18" s="51" t="s">
        <v>275</v>
      </c>
    </row>
    <row r="19" customFormat="false" ht="19.5" hidden="false" customHeight="true" outlineLevel="0" collapsed="false">
      <c r="B19" s="22" t="s">
        <v>16</v>
      </c>
      <c r="C19" s="22"/>
      <c r="D19" s="22"/>
      <c r="E19" s="22"/>
      <c r="F19" s="22"/>
      <c r="G19" s="22"/>
      <c r="H19" s="22"/>
      <c r="I19" s="22"/>
      <c r="J19" s="22"/>
    </row>
    <row r="20" customFormat="false" ht="30" hidden="false" customHeight="true" outlineLevel="0" collapsed="false">
      <c r="B20" s="21" t="n">
        <v>1</v>
      </c>
      <c r="C20" s="22" t="s">
        <v>111</v>
      </c>
      <c r="D20" s="23" t="s">
        <v>112</v>
      </c>
      <c r="E20" s="52" t="str">
        <f aca="false">IF($D$8="Mesa de Ayuda","N2 · Administrado",IF($D$8="Mesa de Soporte","N3 · Definido","—"))</f>
        <v>—</v>
      </c>
      <c r="F20" s="53"/>
      <c r="G20" s="54"/>
      <c r="H20" s="55" t="str">
        <f aca="false">IF(AND(F20&lt;&gt;"",G20&lt;&gt;""),G20-F20,"")</f>
        <v/>
      </c>
      <c r="I20" s="56"/>
      <c r="J20" s="56"/>
      <c r="K20" s="57" t="str">
        <f aca="false">IF(F20="","—",IF(F20&lt;$D$16,"⛔ Bajo mínimo",IF(F20=$D$16,"✅ En mínimo","✔ Sobre mínimo")))</f>
        <v>—</v>
      </c>
    </row>
    <row r="21" customFormat="false" ht="30" hidden="false" customHeight="true" outlineLevel="0" collapsed="false">
      <c r="B21" s="21" t="n">
        <v>2</v>
      </c>
      <c r="C21" s="22" t="s">
        <v>119</v>
      </c>
      <c r="D21" s="26" t="s">
        <v>120</v>
      </c>
      <c r="E21" s="52" t="str">
        <f aca="false">IF($D$8="Mesa de Ayuda","N2 · Administrado",IF($D$8="Mesa de Soporte","N3 · Definido","—"))</f>
        <v>—</v>
      </c>
      <c r="F21" s="53"/>
      <c r="G21" s="54"/>
      <c r="H21" s="55" t="str">
        <f aca="false">IF(AND(F21&lt;&gt;"",G21&lt;&gt;""),G21-F21,"")</f>
        <v/>
      </c>
      <c r="I21" s="56"/>
      <c r="J21" s="56"/>
      <c r="K21" s="57" t="str">
        <f aca="false">IF(F21="","—",IF(F21&lt;$D$16,"⛔ Bajo mínimo",IF(F21=$D$16,"✅ En mínimo","✔ Sobre mínimo")))</f>
        <v>—</v>
      </c>
    </row>
    <row r="22" customFormat="false" ht="19.5" hidden="false" customHeight="true" outlineLevel="0" collapsed="false">
      <c r="B22" s="28" t="s">
        <v>18</v>
      </c>
      <c r="C22" s="28"/>
      <c r="D22" s="28"/>
      <c r="E22" s="28"/>
      <c r="F22" s="28"/>
      <c r="G22" s="28"/>
      <c r="H22" s="28"/>
      <c r="I22" s="28"/>
      <c r="J22" s="28"/>
    </row>
    <row r="23" customFormat="false" ht="30" hidden="false" customHeight="true" outlineLevel="0" collapsed="false">
      <c r="B23" s="21" t="n">
        <v>3</v>
      </c>
      <c r="C23" s="28" t="s">
        <v>127</v>
      </c>
      <c r="D23" s="26" t="s">
        <v>120</v>
      </c>
      <c r="E23" s="52" t="str">
        <f aca="false">IF($D$8="Mesa de Ayuda","N2 · Administrado",IF($D$8="Mesa de Soporte","N3 · Definido","—"))</f>
        <v>—</v>
      </c>
      <c r="F23" s="53"/>
      <c r="G23" s="54"/>
      <c r="H23" s="55" t="str">
        <f aca="false">IF(AND(F23&lt;&gt;"",G23&lt;&gt;""),G23-F23,"")</f>
        <v/>
      </c>
      <c r="I23" s="56"/>
      <c r="J23" s="56"/>
      <c r="K23" s="57" t="str">
        <f aca="false">IF(F23="","—",IF(F23&lt;$D$16,"⛔ Bajo mínimo",IF(F23=$D$16,"✅ En mínimo","✔ Sobre mínimo")))</f>
        <v>—</v>
      </c>
    </row>
    <row r="24" customFormat="false" ht="30" hidden="false" customHeight="true" outlineLevel="0" collapsed="false">
      <c r="B24" s="21" t="n">
        <v>4</v>
      </c>
      <c r="C24" s="28" t="s">
        <v>133</v>
      </c>
      <c r="D24" s="29" t="s">
        <v>134</v>
      </c>
      <c r="E24" s="52" t="str">
        <f aca="false">IF($D$8="Mesa de Ayuda","N2 · Administrado",IF($D$8="Mesa de Soporte","N3 · Definido","—"))</f>
        <v>—</v>
      </c>
      <c r="F24" s="53"/>
      <c r="G24" s="54"/>
      <c r="H24" s="55" t="str">
        <f aca="false">IF(AND(F24&lt;&gt;"",G24&lt;&gt;""),G24-F24,"")</f>
        <v/>
      </c>
      <c r="I24" s="56"/>
      <c r="J24" s="56"/>
      <c r="K24" s="57" t="str">
        <f aca="false">IF(F24="","—",IF(F24&lt;$D$16,"⛔ Bajo mínimo",IF(F24=$D$16,"✅ En mínimo","✔ Sobre mínimo")))</f>
        <v>—</v>
      </c>
    </row>
    <row r="25" customFormat="false" ht="30" hidden="false" customHeight="true" outlineLevel="0" collapsed="false">
      <c r="B25" s="21" t="n">
        <v>5</v>
      </c>
      <c r="C25" s="28" t="s">
        <v>141</v>
      </c>
      <c r="D25" s="23" t="s">
        <v>112</v>
      </c>
      <c r="E25" s="52" t="str">
        <f aca="false">IF($D$8="Mesa de Ayuda","N2 · Administrado",IF($D$8="Mesa de Soporte","N3 · Definido","—"))</f>
        <v>—</v>
      </c>
      <c r="F25" s="53"/>
      <c r="G25" s="54"/>
      <c r="H25" s="55" t="str">
        <f aca="false">IF(AND(F25&lt;&gt;"",G25&lt;&gt;""),G25-F25,"")</f>
        <v/>
      </c>
      <c r="I25" s="56"/>
      <c r="J25" s="56"/>
      <c r="K25" s="57" t="str">
        <f aca="false">IF(F25="","—",IF(F25&lt;$D$16,"⛔ Bajo mínimo",IF(F25=$D$16,"✅ En mínimo","✔ Sobre mínimo")))</f>
        <v>—</v>
      </c>
    </row>
    <row r="26" customFormat="false" ht="30" hidden="false" customHeight="true" outlineLevel="0" collapsed="false">
      <c r="B26" s="21" t="n">
        <v>6</v>
      </c>
      <c r="C26" s="28" t="s">
        <v>147</v>
      </c>
      <c r="D26" s="29" t="s">
        <v>134</v>
      </c>
      <c r="E26" s="52" t="str">
        <f aca="false">IF($D$8="Mesa de Ayuda","N2 · Administrado",IF($D$8="Mesa de Soporte","N3 · Definido","—"))</f>
        <v>—</v>
      </c>
      <c r="F26" s="53"/>
      <c r="G26" s="54"/>
      <c r="H26" s="55" t="str">
        <f aca="false">IF(AND(F26&lt;&gt;"",G26&lt;&gt;""),G26-F26,"")</f>
        <v/>
      </c>
      <c r="I26" s="56"/>
      <c r="J26" s="56"/>
      <c r="K26" s="57" t="str">
        <f aca="false">IF(F26="","—",IF(F26&lt;$D$16,"⛔ Bajo mínimo",IF(F26=$D$16,"✅ En mínimo","✔ Sobre mínimo")))</f>
        <v>—</v>
      </c>
    </row>
    <row r="27" customFormat="false" ht="19.5" hidden="false" customHeight="true" outlineLevel="0" collapsed="false">
      <c r="B27" s="31" t="s">
        <v>20</v>
      </c>
      <c r="C27" s="31"/>
      <c r="D27" s="31"/>
      <c r="E27" s="31"/>
      <c r="F27" s="31"/>
      <c r="G27" s="31"/>
      <c r="H27" s="31"/>
      <c r="I27" s="31"/>
      <c r="J27" s="31"/>
    </row>
    <row r="28" customFormat="false" ht="30" hidden="false" customHeight="true" outlineLevel="0" collapsed="false">
      <c r="B28" s="21" t="n">
        <v>7</v>
      </c>
      <c r="C28" s="31" t="s">
        <v>154</v>
      </c>
      <c r="D28" s="29" t="s">
        <v>134</v>
      </c>
      <c r="E28" s="52" t="str">
        <f aca="false">IF($D$8="Mesa de Ayuda","N2 · Administrado",IF($D$8="Mesa de Soporte","N3 · Definido","—"))</f>
        <v>—</v>
      </c>
      <c r="F28" s="53"/>
      <c r="G28" s="54"/>
      <c r="H28" s="55" t="str">
        <f aca="false">IF(AND(F28&lt;&gt;"",G28&lt;&gt;""),G28-F28,"")</f>
        <v/>
      </c>
      <c r="I28" s="56"/>
      <c r="J28" s="56"/>
      <c r="K28" s="57" t="str">
        <f aca="false">IF(F28="","—",IF(F28&lt;$D$16,"⛔ Bajo mínimo",IF(F28=$D$16,"✅ En mínimo","✔ Sobre mínimo")))</f>
        <v>—</v>
      </c>
    </row>
    <row r="29" customFormat="false" ht="30" hidden="false" customHeight="true" outlineLevel="0" collapsed="false">
      <c r="B29" s="21" t="n">
        <v>8</v>
      </c>
      <c r="C29" s="31" t="s">
        <v>160</v>
      </c>
      <c r="D29" s="32" t="s">
        <v>161</v>
      </c>
      <c r="E29" s="52" t="str">
        <f aca="false">IF($D$8="Mesa de Ayuda","N2 · Administrado",IF($D$8="Mesa de Soporte","N3 · Definido","—"))</f>
        <v>—</v>
      </c>
      <c r="F29" s="53"/>
      <c r="G29" s="54"/>
      <c r="H29" s="55" t="str">
        <f aca="false">IF(AND(F29&lt;&gt;"",G29&lt;&gt;""),G29-F29,"")</f>
        <v/>
      </c>
      <c r="I29" s="56"/>
      <c r="J29" s="56"/>
      <c r="K29" s="57" t="str">
        <f aca="false">IF(F29="","—",IF(F29&lt;$D$16,"⛔ Bajo mínimo",IF(F29=$D$16,"✅ En mínimo","✔ Sobre mínimo")))</f>
        <v>—</v>
      </c>
    </row>
    <row r="30" customFormat="false" ht="30" hidden="false" customHeight="true" outlineLevel="0" collapsed="false">
      <c r="B30" s="21" t="n">
        <v>9</v>
      </c>
      <c r="C30" s="31" t="s">
        <v>167</v>
      </c>
      <c r="D30" s="32" t="s">
        <v>161</v>
      </c>
      <c r="E30" s="52" t="str">
        <f aca="false">IF($D$8="Mesa de Ayuda","N2 · Administrado",IF($D$8="Mesa de Soporte","N3 · Definido","—"))</f>
        <v>—</v>
      </c>
      <c r="F30" s="53"/>
      <c r="G30" s="54"/>
      <c r="H30" s="55" t="str">
        <f aca="false">IF(AND(F30&lt;&gt;"",G30&lt;&gt;""),G30-F30,"")</f>
        <v/>
      </c>
      <c r="I30" s="56"/>
      <c r="J30" s="56"/>
      <c r="K30" s="57" t="str">
        <f aca="false">IF(F30="","—",IF(F30&lt;$D$16,"⛔ Bajo mínimo",IF(F30=$D$16,"✅ En mínimo","✔ Sobre mínimo")))</f>
        <v>—</v>
      </c>
    </row>
    <row r="31" customFormat="false" ht="30" hidden="false" customHeight="true" outlineLevel="0" collapsed="false">
      <c r="B31" s="21" t="n">
        <v>10</v>
      </c>
      <c r="C31" s="31" t="s">
        <v>173</v>
      </c>
      <c r="D31" s="23" t="s">
        <v>112</v>
      </c>
      <c r="E31" s="52" t="str">
        <f aca="false">IF($D$8="Mesa de Ayuda","N2 · Administrado",IF($D$8="Mesa de Soporte","N3 · Definido","—"))</f>
        <v>—</v>
      </c>
      <c r="F31" s="53"/>
      <c r="G31" s="54"/>
      <c r="H31" s="55" t="str">
        <f aca="false">IF(AND(F31&lt;&gt;"",G31&lt;&gt;""),G31-F31,"")</f>
        <v/>
      </c>
      <c r="I31" s="56"/>
      <c r="J31" s="56"/>
      <c r="K31" s="57" t="str">
        <f aca="false">IF(F31="","—",IF(F31&lt;$D$16,"⛔ Bajo mínimo",IF(F31=$D$16,"✅ En mínimo","✔ Sobre mínimo")))</f>
        <v>—</v>
      </c>
    </row>
    <row r="32" customFormat="false" ht="19.5" hidden="false" customHeight="true" outlineLevel="0" collapsed="false">
      <c r="B32" s="34" t="s">
        <v>22</v>
      </c>
      <c r="C32" s="34"/>
      <c r="D32" s="34"/>
      <c r="E32" s="34"/>
      <c r="F32" s="34"/>
      <c r="G32" s="34"/>
      <c r="H32" s="34"/>
      <c r="I32" s="34"/>
      <c r="J32" s="34"/>
    </row>
    <row r="33" customFormat="false" ht="30" hidden="false" customHeight="true" outlineLevel="0" collapsed="false">
      <c r="B33" s="21" t="n">
        <v>11</v>
      </c>
      <c r="C33" s="34" t="s">
        <v>181</v>
      </c>
      <c r="D33" s="29" t="s">
        <v>134</v>
      </c>
      <c r="E33" s="52" t="str">
        <f aca="false">IF($D$8="Mesa de Ayuda","N2 · Administrado",IF($D$8="Mesa de Soporte","N3 · Definido","—"))</f>
        <v>—</v>
      </c>
      <c r="F33" s="53"/>
      <c r="G33" s="54"/>
      <c r="H33" s="55" t="str">
        <f aca="false">IF(AND(F33&lt;&gt;"",G33&lt;&gt;""),G33-F33,"")</f>
        <v/>
      </c>
      <c r="I33" s="56"/>
      <c r="J33" s="56"/>
      <c r="K33" s="57" t="str">
        <f aca="false">IF(F33="","—",IF(F33&lt;$D$16,"⛔ Bajo mínimo",IF(F33=$D$16,"✅ En mínimo","✔ Sobre mínimo")))</f>
        <v>—</v>
      </c>
    </row>
    <row r="34" customFormat="false" ht="30" hidden="false" customHeight="true" outlineLevel="0" collapsed="false">
      <c r="B34" s="21" t="n">
        <v>12</v>
      </c>
      <c r="C34" s="34" t="s">
        <v>187</v>
      </c>
      <c r="D34" s="29" t="s">
        <v>134</v>
      </c>
      <c r="E34" s="52" t="str">
        <f aca="false">IF($D$8="Mesa de Ayuda","N2 · Administrado",IF($D$8="Mesa de Soporte","N3 · Definido","—"))</f>
        <v>—</v>
      </c>
      <c r="F34" s="53"/>
      <c r="G34" s="54"/>
      <c r="H34" s="55" t="str">
        <f aca="false">IF(AND(F34&lt;&gt;"",G34&lt;&gt;""),G34-F34,"")</f>
        <v/>
      </c>
      <c r="I34" s="56"/>
      <c r="J34" s="56"/>
      <c r="K34" s="57" t="str">
        <f aca="false">IF(F34="","—",IF(F34&lt;$D$16,"⛔ Bajo mínimo",IF(F34=$D$16,"✅ En mínimo","✔ Sobre mínimo")))</f>
        <v>—</v>
      </c>
    </row>
    <row r="35" customFormat="false" ht="30" hidden="false" customHeight="true" outlineLevel="0" collapsed="false">
      <c r="B35" s="21" t="n">
        <v>13</v>
      </c>
      <c r="C35" s="34" t="s">
        <v>194</v>
      </c>
      <c r="D35" s="29" t="s">
        <v>134</v>
      </c>
      <c r="E35" s="52" t="str">
        <f aca="false">IF($D$8="Mesa de Ayuda","N2 · Administrado",IF($D$8="Mesa de Soporte","N3 · Definido","—"))</f>
        <v>—</v>
      </c>
      <c r="F35" s="53"/>
      <c r="G35" s="54"/>
      <c r="H35" s="55" t="str">
        <f aca="false">IF(AND(F35&lt;&gt;"",G35&lt;&gt;""),G35-F35,"")</f>
        <v/>
      </c>
      <c r="I35" s="56"/>
      <c r="J35" s="56"/>
      <c r="K35" s="57" t="str">
        <f aca="false">IF(F35="","—",IF(F35&lt;$D$16,"⛔ Bajo mínimo",IF(F35=$D$16,"✅ En mínimo","✔ Sobre mínimo")))</f>
        <v>—</v>
      </c>
    </row>
    <row r="36" customFormat="false" ht="30" hidden="false" customHeight="true" outlineLevel="0" collapsed="false">
      <c r="B36" s="21" t="n">
        <v>14</v>
      </c>
      <c r="C36" s="34" t="s">
        <v>200</v>
      </c>
      <c r="D36" s="32" t="s">
        <v>161</v>
      </c>
      <c r="E36" s="52" t="str">
        <f aca="false">IF($D$8="Mesa de Ayuda","N2 · Administrado",IF($D$8="Mesa de Soporte","N3 · Definido","—"))</f>
        <v>—</v>
      </c>
      <c r="F36" s="53"/>
      <c r="G36" s="54"/>
      <c r="H36" s="55" t="str">
        <f aca="false">IF(AND(F36&lt;&gt;"",G36&lt;&gt;""),G36-F36,"")</f>
        <v/>
      </c>
      <c r="I36" s="56"/>
      <c r="J36" s="56"/>
      <c r="K36" s="57" t="str">
        <f aca="false">IF(F36="","—",IF(F36&lt;$D$16,"⛔ Bajo mínimo",IF(F36=$D$16,"✅ En mínimo","✔ Sobre mínimo")))</f>
        <v>—</v>
      </c>
    </row>
    <row r="37" customFormat="false" ht="30" hidden="false" customHeight="true" outlineLevel="0" collapsed="false">
      <c r="B37" s="21" t="n">
        <v>15</v>
      </c>
      <c r="C37" s="34" t="s">
        <v>206</v>
      </c>
      <c r="D37" s="32" t="s">
        <v>161</v>
      </c>
      <c r="E37" s="52" t="str">
        <f aca="false">IF($D$8="Mesa de Ayuda","N2 · Administrado",IF($D$8="Mesa de Soporte","N3 · Definido","—"))</f>
        <v>—</v>
      </c>
      <c r="F37" s="53"/>
      <c r="G37" s="54"/>
      <c r="H37" s="55" t="str">
        <f aca="false">IF(AND(F37&lt;&gt;"",G37&lt;&gt;""),G37-F37,"")</f>
        <v/>
      </c>
      <c r="I37" s="56"/>
      <c r="J37" s="56"/>
      <c r="K37" s="57" t="str">
        <f aca="false">IF(F37="","—",IF(F37&lt;$D$16,"⛔ Bajo mínimo",IF(F37=$D$16,"✅ En mínimo","✔ Sobre mínimo")))</f>
        <v>—</v>
      </c>
    </row>
    <row r="38" customFormat="false" ht="30" hidden="false" customHeight="true" outlineLevel="0" collapsed="false">
      <c r="B38" s="21" t="n">
        <v>16</v>
      </c>
      <c r="C38" s="34" t="s">
        <v>212</v>
      </c>
      <c r="D38" s="29" t="s">
        <v>213</v>
      </c>
      <c r="E38" s="52" t="str">
        <f aca="false">IF($D$8="Mesa de Ayuda","N2 · Administrado",IF($D$8="Mesa de Soporte","N3 · Definido","—"))</f>
        <v>—</v>
      </c>
      <c r="F38" s="53"/>
      <c r="G38" s="54"/>
      <c r="H38" s="55" t="str">
        <f aca="false">IF(AND(F38&lt;&gt;"",G38&lt;&gt;""),G38-F38,"")</f>
        <v/>
      </c>
      <c r="I38" s="56"/>
      <c r="J38" s="56"/>
      <c r="K38" s="57" t="str">
        <f aca="false">IF(F38="","—",IF(F38&lt;$D$16,"⛔ Bajo mínimo",IF(F38=$D$16,"✅ En mínimo","✔ Sobre mínimo")))</f>
        <v>—</v>
      </c>
    </row>
    <row r="39" customFormat="false" ht="30" hidden="false" customHeight="true" outlineLevel="0" collapsed="false">
      <c r="B39" s="21" t="n">
        <v>17</v>
      </c>
      <c r="C39" s="34" t="s">
        <v>219</v>
      </c>
      <c r="D39" s="35" t="s">
        <v>220</v>
      </c>
      <c r="E39" s="52" t="str">
        <f aca="false">IF($D$8="Mesa de Ayuda","N2 · Administrado",IF($D$8="Mesa de Soporte","N3 · Definido","—"))</f>
        <v>—</v>
      </c>
      <c r="F39" s="53"/>
      <c r="G39" s="54"/>
      <c r="H39" s="55" t="str">
        <f aca="false">IF(AND(F39&lt;&gt;"",G39&lt;&gt;""),G39-F39,"")</f>
        <v/>
      </c>
      <c r="I39" s="56"/>
      <c r="J39" s="56"/>
      <c r="K39" s="57" t="str">
        <f aca="false">IF(F39="","—",IF(F39&lt;$D$16,"⛔ Bajo mínimo",IF(F39=$D$16,"✅ En mínimo","✔ Sobre mínimo")))</f>
        <v>—</v>
      </c>
    </row>
    <row r="40" customFormat="false" ht="19.5" hidden="false" customHeight="true" outlineLevel="0" collapsed="false">
      <c r="B40" s="37" t="s">
        <v>276</v>
      </c>
      <c r="C40" s="37"/>
      <c r="D40" s="37"/>
      <c r="E40" s="37"/>
      <c r="F40" s="37"/>
      <c r="G40" s="37"/>
      <c r="H40" s="37"/>
      <c r="I40" s="37"/>
      <c r="J40" s="37"/>
    </row>
    <row r="41" customFormat="false" ht="30" hidden="false" customHeight="true" outlineLevel="0" collapsed="false">
      <c r="B41" s="21" t="n">
        <v>18</v>
      </c>
      <c r="C41" s="37" t="s">
        <v>228</v>
      </c>
      <c r="D41" s="38" t="s">
        <v>229</v>
      </c>
      <c r="E41" s="58" t="str">
        <f aca="false">IF($D$8="Mesa de Ayuda","N2 · Administrado",IF($D$8="Mesa de Soporte","N2 · Administrado","—"))</f>
        <v>—</v>
      </c>
      <c r="F41" s="53"/>
      <c r="G41" s="54"/>
      <c r="H41" s="55" t="str">
        <f aca="false">IF(AND(F41&lt;&gt;"",G41&lt;&gt;""),G41-F41,"")</f>
        <v/>
      </c>
      <c r="I41" s="56"/>
      <c r="J41" s="56"/>
      <c r="K41" s="59" t="str">
        <f aca="false">IF(F41="","—",IF(F41&lt;2,"⛔ Bajo N2",IF(F41=2,"✅ En N2","✔ Sobre N2")))</f>
        <v>—</v>
      </c>
    </row>
    <row r="42" customFormat="false" ht="30" hidden="false" customHeight="true" outlineLevel="0" collapsed="false">
      <c r="B42" s="21" t="n">
        <v>19</v>
      </c>
      <c r="C42" s="37" t="s">
        <v>235</v>
      </c>
      <c r="D42" s="38" t="s">
        <v>229</v>
      </c>
      <c r="E42" s="58" t="str">
        <f aca="false">IF($D$8="Mesa de Ayuda","N2 · Administrado",IF($D$8="Mesa de Soporte","N2 · Administrado","—"))</f>
        <v>—</v>
      </c>
      <c r="F42" s="53"/>
      <c r="G42" s="54"/>
      <c r="H42" s="55" t="str">
        <f aca="false">IF(AND(F42&lt;&gt;"",G42&lt;&gt;""),G42-F42,"")</f>
        <v/>
      </c>
      <c r="I42" s="56"/>
      <c r="J42" s="56"/>
      <c r="K42" s="59" t="str">
        <f aca="false">IF(F42="","—",IF(F42&lt;2,"⛔ Bajo N2",IF(F42=2,"✅ En N2","✔ Sobre N2")))</f>
        <v>—</v>
      </c>
    </row>
    <row r="43" customFormat="false" ht="30" hidden="false" customHeight="true" outlineLevel="0" collapsed="false">
      <c r="B43" s="21" t="n">
        <v>20</v>
      </c>
      <c r="C43" s="37" t="s">
        <v>241</v>
      </c>
      <c r="D43" s="38" t="s">
        <v>229</v>
      </c>
      <c r="E43" s="58" t="str">
        <f aca="false">IF($D$8="Mesa de Ayuda","N2 · Administrado",IF($D$8="Mesa de Soporte","N2 · Administrado","—"))</f>
        <v>—</v>
      </c>
      <c r="F43" s="53"/>
      <c r="G43" s="54"/>
      <c r="H43" s="55" t="str">
        <f aca="false">IF(AND(F43&lt;&gt;"",G43&lt;&gt;""),G43-F43,"")</f>
        <v/>
      </c>
      <c r="I43" s="56"/>
      <c r="J43" s="56"/>
      <c r="K43" s="59" t="str">
        <f aca="false">IF(F43="","—",IF(F43&lt;2,"⛔ Bajo N2",IF(F43=2,"✅ En N2","✔ Sobre N2")))</f>
        <v>—</v>
      </c>
    </row>
    <row r="44" customFormat="false" ht="30" hidden="false" customHeight="true" outlineLevel="0" collapsed="false">
      <c r="B44" s="21" t="n">
        <v>21</v>
      </c>
      <c r="C44" s="37" t="s">
        <v>247</v>
      </c>
      <c r="D44" s="38" t="s">
        <v>229</v>
      </c>
      <c r="E44" s="58" t="str">
        <f aca="false">IF($D$8="Mesa de Ayuda","N2 · Administrado",IF($D$8="Mesa de Soporte","N2 · Administrado","—"))</f>
        <v>—</v>
      </c>
      <c r="F44" s="53"/>
      <c r="G44" s="54"/>
      <c r="H44" s="55" t="str">
        <f aca="false">IF(AND(F44&lt;&gt;"",G44&lt;&gt;""),G44-F44,"")</f>
        <v/>
      </c>
      <c r="I44" s="56"/>
      <c r="J44" s="56"/>
      <c r="K44" s="59" t="str">
        <f aca="false">IF(F44="","—",IF(F44&lt;2,"⛔ Bajo N2",IF(F44=2,"✅ En N2","✔ Sobre N2")))</f>
        <v>—</v>
      </c>
    </row>
  </sheetData>
  <mergeCells count="17">
    <mergeCell ref="C2:J2"/>
    <mergeCell ref="C3:J3"/>
    <mergeCell ref="D5:H5"/>
    <mergeCell ref="D6:H6"/>
    <mergeCell ref="D7:H7"/>
    <mergeCell ref="D8:H8"/>
    <mergeCell ref="D9:H9"/>
    <mergeCell ref="D10:H10"/>
    <mergeCell ref="D11:H11"/>
    <mergeCell ref="D12:H12"/>
    <mergeCell ref="D13:H13"/>
    <mergeCell ref="D15:G15"/>
    <mergeCell ref="B19:J19"/>
    <mergeCell ref="B22:J22"/>
    <mergeCell ref="B27:J27"/>
    <mergeCell ref="B32:J32"/>
    <mergeCell ref="B40:J40"/>
  </mergeCells>
  <conditionalFormatting sqref="F19:F44">
    <cfRule type="expression" priority="2" aboveAverage="0" equalAverage="0" bottom="0" percent="0" rank="0" text="" dxfId="0">
      <formula>AND(F19&lt;&gt;"",$D$16&gt;0,ISNUMBER(F19),F19&lt;$D$16)</formula>
    </cfRule>
    <cfRule type="colorScale" priority="3">
      <colorScale>
        <cfvo type="num" val="0"/>
        <cfvo type="num" val="3"/>
        <cfvo type="num" val="5"/>
        <color rgb="FFF0997B"/>
        <color rgb="FFFAC775"/>
        <color rgb="FF9FE1CB"/>
      </colorScale>
    </cfRule>
  </conditionalFormatting>
  <conditionalFormatting sqref="H19:H44">
    <cfRule type="cellIs" priority="4" operator="greaterThan" aboveAverage="0" equalAverage="0" bottom="0" percent="0" rank="0" text="" dxfId="1">
      <formula>1</formula>
    </cfRule>
    <cfRule type="cellIs" priority="5" operator="lessThan" aboveAverage="0" equalAverage="0" bottom="0" percent="0" rank="0" text="" dxfId="0">
      <formula>0</formula>
    </cfRule>
  </conditionalFormatting>
  <conditionalFormatting sqref="H20:H44">
    <cfRule type="cellIs" priority="6" operator="lessThan" aboveAverage="0" equalAverage="0" bottom="0" percent="0" rank="0" text="" dxfId="2">
      <formula>0</formula>
    </cfRule>
    <cfRule type="cellIs" priority="7" operator="equal" aboveAverage="0" equalAverage="0" bottom="0" percent="0" rank="0" text="" dxfId="3">
      <formula>0</formula>
    </cfRule>
    <cfRule type="cellIs" priority="8" operator="greaterThan" aboveAverage="0" equalAverage="0" bottom="0" percent="0" rank="0" text="" dxfId="4">
      <formula>0</formula>
    </cfRule>
  </conditionalFormatting>
  <dataValidations count="1">
    <dataValidation allowBlank="true" error="Ingresa 0 (N0) a 5 (N5)" errorStyle="stop" errorTitle="Nivel inválido" operator="between" showDropDown="false" showErrorMessage="true" showInputMessage="false" sqref="F20:F44" type="list">
      <formula1>"0,1,2,3,4,5"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AF5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2"/>
    <col collapsed="false" customWidth="true" hidden="false" outlineLevel="0" max="4" min="3" style="0" width="14"/>
    <col collapsed="false" customWidth="true" hidden="false" outlineLevel="0" max="5" min="5" style="0" width="16"/>
    <col collapsed="false" customWidth="true" hidden="false" outlineLevel="0" max="6" min="6" style="0" width="10"/>
    <col collapsed="false" customWidth="true" hidden="false" outlineLevel="0" max="8" min="7" style="0" width="13"/>
    <col collapsed="false" customWidth="true" hidden="false" outlineLevel="0" max="29" min="9" style="0" width="11"/>
    <col collapsed="false" customWidth="true" hidden="false" outlineLevel="0" max="30" min="30" style="0" width="13"/>
  </cols>
  <sheetData>
    <row r="2" customFormat="false" ht="19.5" hidden="false" customHeight="true" outlineLevel="0" collapsed="false">
      <c r="B2" s="61" t="s">
        <v>292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</row>
    <row r="3" customFormat="false" ht="15" hidden="false" customHeight="true" outlineLevel="0" collapsed="false">
      <c r="B3" s="10" t="s">
        <v>293</v>
      </c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</row>
    <row r="5" customFormat="false" ht="60" hidden="false" customHeight="true" outlineLevel="0" collapsed="false">
      <c r="B5" s="14" t="s">
        <v>294</v>
      </c>
      <c r="C5" s="14" t="s">
        <v>57</v>
      </c>
      <c r="D5" s="14" t="s">
        <v>56</v>
      </c>
      <c r="E5" s="14" t="s">
        <v>55</v>
      </c>
      <c r="F5" s="47" t="s">
        <v>59</v>
      </c>
      <c r="G5" s="62" t="s">
        <v>295</v>
      </c>
      <c r="H5" s="49" t="s">
        <v>296</v>
      </c>
      <c r="I5" s="63" t="s">
        <v>297</v>
      </c>
      <c r="J5" s="63" t="s">
        <v>298</v>
      </c>
      <c r="K5" s="64" t="s">
        <v>299</v>
      </c>
      <c r="L5" s="64" t="s">
        <v>300</v>
      </c>
      <c r="M5" s="64" t="s">
        <v>301</v>
      </c>
      <c r="N5" s="64" t="s">
        <v>302</v>
      </c>
      <c r="O5" s="65" t="s">
        <v>303</v>
      </c>
      <c r="P5" s="65" t="s">
        <v>304</v>
      </c>
      <c r="Q5" s="65" t="s">
        <v>305</v>
      </c>
      <c r="R5" s="65" t="s">
        <v>306</v>
      </c>
      <c r="S5" s="66" t="s">
        <v>307</v>
      </c>
      <c r="T5" s="66" t="s">
        <v>308</v>
      </c>
      <c r="U5" s="66" t="s">
        <v>309</v>
      </c>
      <c r="V5" s="66" t="s">
        <v>310</v>
      </c>
      <c r="W5" s="66" t="s">
        <v>311</v>
      </c>
      <c r="X5" s="66" t="s">
        <v>312</v>
      </c>
      <c r="Y5" s="66" t="s">
        <v>313</v>
      </c>
      <c r="Z5" s="67" t="s">
        <v>314</v>
      </c>
      <c r="AA5" s="67" t="s">
        <v>315</v>
      </c>
      <c r="AB5" s="67" t="s">
        <v>316</v>
      </c>
      <c r="AC5" s="67" t="s">
        <v>317</v>
      </c>
      <c r="AF5" s="68" t="s">
        <v>318</v>
      </c>
    </row>
    <row r="6" customFormat="false" ht="21.75" hidden="false" customHeight="true" outlineLevel="0" collapsed="false">
      <c r="B6" s="69" t="s">
        <v>256</v>
      </c>
      <c r="C6" s="69" t="s">
        <v>65</v>
      </c>
      <c r="D6" s="69" t="s">
        <v>259</v>
      </c>
      <c r="E6" s="21" t="n">
        <f aca="false">SURA_Cotizadores!D8</f>
        <v>0</v>
      </c>
      <c r="F6" s="21" t="str">
        <f aca="false">SURA_Cotizadores!D9</f>
        <v>No</v>
      </c>
      <c r="G6" s="70" t="str">
        <f aca="false">IFERROR(SURA_Cotizadores!J15,"")</f>
        <v/>
      </c>
      <c r="H6" s="71" t="n">
        <f aca="false">IFERROR((SURA_Cotizadores!F41+SURA_Cotizadores!F42+SURA_Cotizadores!F43+SURA_Cotizadores!F44)/4,"")</f>
        <v>0</v>
      </c>
      <c r="I6" s="72" t="str">
        <f aca="false">IF(SURA_Cotizadores!F20&lt;&gt;"",SURA_Cotizadores!F20,"")</f>
        <v/>
      </c>
      <c r="J6" s="72" t="str">
        <f aca="false">IF(SURA_Cotizadores!F21&lt;&gt;"",SURA_Cotizadores!F21,"")</f>
        <v/>
      </c>
      <c r="K6" s="72" t="str">
        <f aca="false">IF(SURA_Cotizadores!F23&lt;&gt;"",SURA_Cotizadores!F23,"")</f>
        <v/>
      </c>
      <c r="L6" s="72" t="str">
        <f aca="false">IF(SURA_Cotizadores!F24&lt;&gt;"",SURA_Cotizadores!F24,"")</f>
        <v/>
      </c>
      <c r="M6" s="72" t="str">
        <f aca="false">IF(SURA_Cotizadores!F25&lt;&gt;"",SURA_Cotizadores!F25,"")</f>
        <v/>
      </c>
      <c r="N6" s="72" t="str">
        <f aca="false">IF(SURA_Cotizadores!F26&lt;&gt;"",SURA_Cotizadores!F26,"")</f>
        <v/>
      </c>
      <c r="O6" s="72" t="str">
        <f aca="false">IF(SURA_Cotizadores!F28&lt;&gt;"",SURA_Cotizadores!F28,"")</f>
        <v/>
      </c>
      <c r="P6" s="72" t="str">
        <f aca="false">IF(SURA_Cotizadores!F29&lt;&gt;"",SURA_Cotizadores!F29,"")</f>
        <v/>
      </c>
      <c r="Q6" s="72" t="str">
        <f aca="false">IF(SURA_Cotizadores!F30&lt;&gt;"",SURA_Cotizadores!F30,"")</f>
        <v/>
      </c>
      <c r="R6" s="72" t="str">
        <f aca="false">IF(SURA_Cotizadores!F31&lt;&gt;"",SURA_Cotizadores!F31,"")</f>
        <v/>
      </c>
      <c r="S6" s="72" t="str">
        <f aca="false">IF(SURA_Cotizadores!F33&lt;&gt;"",SURA_Cotizadores!F33,"")</f>
        <v/>
      </c>
      <c r="T6" s="72" t="str">
        <f aca="false">IF(SURA_Cotizadores!F34&lt;&gt;"",SURA_Cotizadores!F34,"")</f>
        <v/>
      </c>
      <c r="U6" s="72" t="str">
        <f aca="false">IF(SURA_Cotizadores!F35&lt;&gt;"",SURA_Cotizadores!F35,"")</f>
        <v/>
      </c>
      <c r="V6" s="72" t="str">
        <f aca="false">IF(SURA_Cotizadores!F36&lt;&gt;"",SURA_Cotizadores!F36,"")</f>
        <v/>
      </c>
      <c r="W6" s="72" t="str">
        <f aca="false">IF(SURA_Cotizadores!F37&lt;&gt;"",SURA_Cotizadores!F37,"")</f>
        <v/>
      </c>
      <c r="X6" s="72" t="str">
        <f aca="false">IF(SURA_Cotizadores!F38&lt;&gt;"",SURA_Cotizadores!F38,"")</f>
        <v/>
      </c>
      <c r="Y6" s="72" t="str">
        <f aca="false">IF(SURA_Cotizadores!F39&lt;&gt;"",SURA_Cotizadores!F39,"")</f>
        <v/>
      </c>
      <c r="Z6" s="72" t="str">
        <f aca="false">IF(SURA_Cotizadores!F41&lt;&gt;"",SURA_Cotizadores!F41,"")</f>
        <v/>
      </c>
      <c r="AA6" s="72" t="str">
        <f aca="false">IF(SURA_Cotizadores!F42&lt;&gt;"",SURA_Cotizadores!F42,"")</f>
        <v/>
      </c>
      <c r="AB6" s="72" t="str">
        <f aca="false">IF(SURA_Cotizadores!F43&lt;&gt;"",SURA_Cotizadores!F43,"")</f>
        <v/>
      </c>
      <c r="AC6" s="72" t="str">
        <f aca="false">IF(SURA_Cotizadores!F44&lt;&gt;"",SURA_Cotizadores!F44,"")</f>
        <v/>
      </c>
      <c r="AF6" s="73" t="n">
        <f aca="false">IFERROR(COUNTIF(SURA_Cotizadores!K20:K39,"*Bajo mínimo*"),"")</f>
        <v>0</v>
      </c>
    </row>
    <row r="7" customFormat="false" ht="21.75" hidden="false" customHeight="true" outlineLevel="0" collapsed="false">
      <c r="B7" s="69" t="s">
        <v>278</v>
      </c>
      <c r="C7" s="69" t="s">
        <v>65</v>
      </c>
      <c r="D7" s="69" t="s">
        <v>259</v>
      </c>
      <c r="E7" s="21" t="n">
        <f aca="false">SURA_VentaDigital!D8</f>
        <v>0</v>
      </c>
      <c r="F7" s="21" t="str">
        <f aca="false">SURA_VentaDigital!D9</f>
        <v>No</v>
      </c>
      <c r="G7" s="70" t="str">
        <f aca="false">IFERROR(SURA_VentaDigital!J15,"")</f>
        <v/>
      </c>
      <c r="H7" s="71" t="n">
        <f aca="false">IFERROR((SURA_VentaDigital!F41+SURA_VentaDigital!F42+SURA_VentaDigital!F43+SURA_VentaDigital!F44)/4,"")</f>
        <v>0</v>
      </c>
      <c r="I7" s="72" t="str">
        <f aca="false">IF(SURA_VentaDigital!F20&lt;&gt;"",SURA_VentaDigital!F20,"")</f>
        <v/>
      </c>
      <c r="J7" s="72" t="str">
        <f aca="false">IF(SURA_VentaDigital!F21&lt;&gt;"",SURA_VentaDigital!F21,"")</f>
        <v/>
      </c>
      <c r="K7" s="72" t="str">
        <f aca="false">IF(SURA_VentaDigital!F23&lt;&gt;"",SURA_VentaDigital!F23,"")</f>
        <v/>
      </c>
      <c r="L7" s="72" t="str">
        <f aca="false">IF(SURA_VentaDigital!F24&lt;&gt;"",SURA_VentaDigital!F24,"")</f>
        <v/>
      </c>
      <c r="M7" s="72" t="str">
        <f aca="false">IF(SURA_VentaDigital!F25&lt;&gt;"",SURA_VentaDigital!F25,"")</f>
        <v/>
      </c>
      <c r="N7" s="72" t="str">
        <f aca="false">IF(SURA_VentaDigital!F26&lt;&gt;"",SURA_VentaDigital!F26,"")</f>
        <v/>
      </c>
      <c r="O7" s="72" t="str">
        <f aca="false">IF(SURA_VentaDigital!F28&lt;&gt;"",SURA_VentaDigital!F28,"")</f>
        <v/>
      </c>
      <c r="P7" s="72" t="str">
        <f aca="false">IF(SURA_VentaDigital!F29&lt;&gt;"",SURA_VentaDigital!F29,"")</f>
        <v/>
      </c>
      <c r="Q7" s="72" t="str">
        <f aca="false">IF(SURA_VentaDigital!F30&lt;&gt;"",SURA_VentaDigital!F30,"")</f>
        <v/>
      </c>
      <c r="R7" s="72" t="str">
        <f aca="false">IF(SURA_VentaDigital!F31&lt;&gt;"",SURA_VentaDigital!F31,"")</f>
        <v/>
      </c>
      <c r="S7" s="72" t="str">
        <f aca="false">IF(SURA_VentaDigital!F33&lt;&gt;"",SURA_VentaDigital!F33,"")</f>
        <v/>
      </c>
      <c r="T7" s="72" t="str">
        <f aca="false">IF(SURA_VentaDigital!F34&lt;&gt;"",SURA_VentaDigital!F34,"")</f>
        <v/>
      </c>
      <c r="U7" s="72" t="str">
        <f aca="false">IF(SURA_VentaDigital!F35&lt;&gt;"",SURA_VentaDigital!F35,"")</f>
        <v/>
      </c>
      <c r="V7" s="72" t="str">
        <f aca="false">IF(SURA_VentaDigital!F36&lt;&gt;"",SURA_VentaDigital!F36,"")</f>
        <v/>
      </c>
      <c r="W7" s="72" t="str">
        <f aca="false">IF(SURA_VentaDigital!F37&lt;&gt;"",SURA_VentaDigital!F37,"")</f>
        <v/>
      </c>
      <c r="X7" s="72" t="str">
        <f aca="false">IF(SURA_VentaDigital!F38&lt;&gt;"",SURA_VentaDigital!F38,"")</f>
        <v/>
      </c>
      <c r="Y7" s="72" t="str">
        <f aca="false">IF(SURA_VentaDigital!F39&lt;&gt;"",SURA_VentaDigital!F39,"")</f>
        <v/>
      </c>
      <c r="Z7" s="72" t="str">
        <f aca="false">IF(SURA_VentaDigital!F41&lt;&gt;"",SURA_VentaDigital!F41,"")</f>
        <v/>
      </c>
      <c r="AA7" s="72" t="str">
        <f aca="false">IF(SURA_VentaDigital!F42&lt;&gt;"",SURA_VentaDigital!F42,"")</f>
        <v/>
      </c>
      <c r="AB7" s="72" t="str">
        <f aca="false">IF(SURA_VentaDigital!F43&lt;&gt;"",SURA_VentaDigital!F43,"")</f>
        <v/>
      </c>
      <c r="AC7" s="72" t="str">
        <f aca="false">IF(SURA_VentaDigital!F44&lt;&gt;"",SURA_VentaDigital!F44,"")</f>
        <v/>
      </c>
      <c r="AF7" s="74" t="n">
        <f aca="false">IFERROR(COUNTIF(SURA_VentaDigital!K20:K39,"*Bajo mínimo*"),"")</f>
        <v>0</v>
      </c>
    </row>
    <row r="8" customFormat="false" ht="21.75" hidden="false" customHeight="true" outlineLevel="0" collapsed="false">
      <c r="B8" s="69" t="s">
        <v>280</v>
      </c>
      <c r="C8" s="69" t="s">
        <v>65</v>
      </c>
      <c r="D8" s="69" t="s">
        <v>259</v>
      </c>
      <c r="E8" s="21" t="n">
        <f aca="false">SURA_TorreControl!D8</f>
        <v>0</v>
      </c>
      <c r="F8" s="21" t="str">
        <f aca="false">SURA_TorreControl!D9</f>
        <v>No</v>
      </c>
      <c r="G8" s="70" t="str">
        <f aca="false">IFERROR(SURA_TorreControl!J15,"")</f>
        <v/>
      </c>
      <c r="H8" s="71" t="n">
        <f aca="false">IFERROR((SURA_TorreControl!F41+SURA_TorreControl!F42+SURA_TorreControl!F43+SURA_TorreControl!F44)/4,"")</f>
        <v>0</v>
      </c>
      <c r="I8" s="72" t="str">
        <f aca="false">IF(SURA_TorreControl!F20&lt;&gt;"",SURA_TorreControl!F20,"")</f>
        <v/>
      </c>
      <c r="J8" s="72" t="str">
        <f aca="false">IF(SURA_TorreControl!F21&lt;&gt;"",SURA_TorreControl!F21,"")</f>
        <v/>
      </c>
      <c r="K8" s="72" t="str">
        <f aca="false">IF(SURA_TorreControl!F23&lt;&gt;"",SURA_TorreControl!F23,"")</f>
        <v/>
      </c>
      <c r="L8" s="72" t="str">
        <f aca="false">IF(SURA_TorreControl!F24&lt;&gt;"",SURA_TorreControl!F24,"")</f>
        <v/>
      </c>
      <c r="M8" s="72" t="str">
        <f aca="false">IF(SURA_TorreControl!F25&lt;&gt;"",SURA_TorreControl!F25,"")</f>
        <v/>
      </c>
      <c r="N8" s="72" t="str">
        <f aca="false">IF(SURA_TorreControl!F26&lt;&gt;"",SURA_TorreControl!F26,"")</f>
        <v/>
      </c>
      <c r="O8" s="72" t="str">
        <f aca="false">IF(SURA_TorreControl!F28&lt;&gt;"",SURA_TorreControl!F28,"")</f>
        <v/>
      </c>
      <c r="P8" s="72" t="str">
        <f aca="false">IF(SURA_TorreControl!F29&lt;&gt;"",SURA_TorreControl!F29,"")</f>
        <v/>
      </c>
      <c r="Q8" s="72" t="str">
        <f aca="false">IF(SURA_TorreControl!F30&lt;&gt;"",SURA_TorreControl!F30,"")</f>
        <v/>
      </c>
      <c r="R8" s="72" t="str">
        <f aca="false">IF(SURA_TorreControl!F31&lt;&gt;"",SURA_TorreControl!F31,"")</f>
        <v/>
      </c>
      <c r="S8" s="72" t="str">
        <f aca="false">IF(SURA_TorreControl!F33&lt;&gt;"",SURA_TorreControl!F33,"")</f>
        <v/>
      </c>
      <c r="T8" s="72" t="str">
        <f aca="false">IF(SURA_TorreControl!F34&lt;&gt;"",SURA_TorreControl!F34,"")</f>
        <v/>
      </c>
      <c r="U8" s="72" t="str">
        <f aca="false">IF(SURA_TorreControl!F35&lt;&gt;"",SURA_TorreControl!F35,"")</f>
        <v/>
      </c>
      <c r="V8" s="72" t="str">
        <f aca="false">IF(SURA_TorreControl!F36&lt;&gt;"",SURA_TorreControl!F36,"")</f>
        <v/>
      </c>
      <c r="W8" s="72" t="str">
        <f aca="false">IF(SURA_TorreControl!F37&lt;&gt;"",SURA_TorreControl!F37,"")</f>
        <v/>
      </c>
      <c r="X8" s="72" t="str">
        <f aca="false">IF(SURA_TorreControl!F38&lt;&gt;"",SURA_TorreControl!F38,"")</f>
        <v/>
      </c>
      <c r="Y8" s="72" t="str">
        <f aca="false">IF(SURA_TorreControl!F39&lt;&gt;"",SURA_TorreControl!F39,"")</f>
        <v/>
      </c>
      <c r="Z8" s="72" t="str">
        <f aca="false">IF(SURA_TorreControl!F41&lt;&gt;"",SURA_TorreControl!F41,"")</f>
        <v/>
      </c>
      <c r="AA8" s="72" t="str">
        <f aca="false">IF(SURA_TorreControl!F42&lt;&gt;"",SURA_TorreControl!F42,"")</f>
        <v/>
      </c>
      <c r="AB8" s="72" t="str">
        <f aca="false">IF(SURA_TorreControl!F43&lt;&gt;"",SURA_TorreControl!F43,"")</f>
        <v/>
      </c>
      <c r="AC8" s="72" t="str">
        <f aca="false">IF(SURA_TorreControl!F44&lt;&gt;"",SURA_TorreControl!F44,"")</f>
        <v/>
      </c>
      <c r="AF8" s="73" t="n">
        <f aca="false">IFERROR(COUNTIF(SURA_TorreControl!K20:K39,"*Bajo mínimo*"),"")</f>
        <v>0</v>
      </c>
    </row>
    <row r="9" customFormat="false" ht="21.75" hidden="false" customHeight="true" outlineLevel="0" collapsed="false">
      <c r="B9" s="69" t="s">
        <v>282</v>
      </c>
      <c r="C9" s="69" t="s">
        <v>65</v>
      </c>
      <c r="D9" s="69" t="s">
        <v>259</v>
      </c>
      <c r="E9" s="21" t="n">
        <f aca="false">SURA_Mesa4!D8</f>
        <v>0</v>
      </c>
      <c r="F9" s="21" t="str">
        <f aca="false">SURA_Mesa4!D9</f>
        <v>No</v>
      </c>
      <c r="G9" s="70" t="str">
        <f aca="false">IFERROR(SURA_Mesa4!J15,"")</f>
        <v/>
      </c>
      <c r="H9" s="71" t="n">
        <f aca="false">IFERROR((SURA_Mesa4!F41+SURA_Mesa4!F42+SURA_Mesa4!F43+SURA_Mesa4!F44)/4,"")</f>
        <v>0</v>
      </c>
      <c r="I9" s="72" t="str">
        <f aca="false">IF(SURA_Mesa4!F20&lt;&gt;"",SURA_Mesa4!F20,"")</f>
        <v/>
      </c>
      <c r="J9" s="72" t="str">
        <f aca="false">IF(SURA_Mesa4!F21&lt;&gt;"",SURA_Mesa4!F21,"")</f>
        <v/>
      </c>
      <c r="K9" s="72" t="str">
        <f aca="false">IF(SURA_Mesa4!F23&lt;&gt;"",SURA_Mesa4!F23,"")</f>
        <v/>
      </c>
      <c r="L9" s="72" t="str">
        <f aca="false">IF(SURA_Mesa4!F24&lt;&gt;"",SURA_Mesa4!F24,"")</f>
        <v/>
      </c>
      <c r="M9" s="72" t="str">
        <f aca="false">IF(SURA_Mesa4!F25&lt;&gt;"",SURA_Mesa4!F25,"")</f>
        <v/>
      </c>
      <c r="N9" s="72" t="str">
        <f aca="false">IF(SURA_Mesa4!F26&lt;&gt;"",SURA_Mesa4!F26,"")</f>
        <v/>
      </c>
      <c r="O9" s="72" t="str">
        <f aca="false">IF(SURA_Mesa4!F28&lt;&gt;"",SURA_Mesa4!F28,"")</f>
        <v/>
      </c>
      <c r="P9" s="72" t="str">
        <f aca="false">IF(SURA_Mesa4!F29&lt;&gt;"",SURA_Mesa4!F29,"")</f>
        <v/>
      </c>
      <c r="Q9" s="72" t="str">
        <f aca="false">IF(SURA_Mesa4!F30&lt;&gt;"",SURA_Mesa4!F30,"")</f>
        <v/>
      </c>
      <c r="R9" s="72" t="str">
        <f aca="false">IF(SURA_Mesa4!F31&lt;&gt;"",SURA_Mesa4!F31,"")</f>
        <v/>
      </c>
      <c r="S9" s="72" t="str">
        <f aca="false">IF(SURA_Mesa4!F33&lt;&gt;"",SURA_Mesa4!F33,"")</f>
        <v/>
      </c>
      <c r="T9" s="72" t="str">
        <f aca="false">IF(SURA_Mesa4!F34&lt;&gt;"",SURA_Mesa4!F34,"")</f>
        <v/>
      </c>
      <c r="U9" s="72" t="str">
        <f aca="false">IF(SURA_Mesa4!F35&lt;&gt;"",SURA_Mesa4!F35,"")</f>
        <v/>
      </c>
      <c r="V9" s="72" t="str">
        <f aca="false">IF(SURA_Mesa4!F36&lt;&gt;"",SURA_Mesa4!F36,"")</f>
        <v/>
      </c>
      <c r="W9" s="72" t="str">
        <f aca="false">IF(SURA_Mesa4!F37&lt;&gt;"",SURA_Mesa4!F37,"")</f>
        <v/>
      </c>
      <c r="X9" s="72" t="str">
        <f aca="false">IF(SURA_Mesa4!F38&lt;&gt;"",SURA_Mesa4!F38,"")</f>
        <v/>
      </c>
      <c r="Y9" s="72" t="str">
        <f aca="false">IF(SURA_Mesa4!F39&lt;&gt;"",SURA_Mesa4!F39,"")</f>
        <v/>
      </c>
      <c r="Z9" s="72" t="str">
        <f aca="false">IF(SURA_Mesa4!F41&lt;&gt;"",SURA_Mesa4!F41,"")</f>
        <v/>
      </c>
      <c r="AA9" s="72" t="str">
        <f aca="false">IF(SURA_Mesa4!F42&lt;&gt;"",SURA_Mesa4!F42,"")</f>
        <v/>
      </c>
      <c r="AB9" s="72" t="str">
        <f aca="false">IF(SURA_Mesa4!F43&lt;&gt;"",SURA_Mesa4!F43,"")</f>
        <v/>
      </c>
      <c r="AC9" s="72" t="str">
        <f aca="false">IF(SURA_Mesa4!F44&lt;&gt;"",SURA_Mesa4!F44,"")</f>
        <v/>
      </c>
      <c r="AF9" s="74" t="n">
        <f aca="false">IFERROR(COUNTIF(SURA_Mesa4!K20:K39,"*Bajo mínimo*"),"")</f>
        <v>0</v>
      </c>
    </row>
    <row r="10" customFormat="false" ht="21.75" hidden="false" customHeight="true" outlineLevel="0" collapsed="false">
      <c r="B10" s="69" t="s">
        <v>285</v>
      </c>
      <c r="C10" s="69" t="s">
        <v>72</v>
      </c>
      <c r="D10" s="69" t="s">
        <v>64</v>
      </c>
      <c r="E10" s="21" t="n">
        <f aca="false">BCO_GIOTI_1!D8</f>
        <v>0</v>
      </c>
      <c r="F10" s="21" t="str">
        <f aca="false">BCO_GIOTI_1!D9</f>
        <v>No</v>
      </c>
      <c r="G10" s="70" t="str">
        <f aca="false">IFERROR(BCO_GIOTI_1!J15,"")</f>
        <v/>
      </c>
      <c r="H10" s="71" t="n">
        <f aca="false">IFERROR((BCO_GIOTI_1!F41+BCO_GIOTI_1!F42+BCO_GIOTI_1!F43+BCO_GIOTI_1!F44)/4,"")</f>
        <v>0</v>
      </c>
      <c r="I10" s="72" t="str">
        <f aca="false">IF(BCO_GIOTI_1!F20&lt;&gt;"",BCO_GIOTI_1!F20,"")</f>
        <v/>
      </c>
      <c r="J10" s="72" t="str">
        <f aca="false">IF(BCO_GIOTI_1!F21&lt;&gt;"",BCO_GIOTI_1!F21,"")</f>
        <v/>
      </c>
      <c r="K10" s="72" t="str">
        <f aca="false">IF(BCO_GIOTI_1!F23&lt;&gt;"",BCO_GIOTI_1!F23,"")</f>
        <v/>
      </c>
      <c r="L10" s="72" t="str">
        <f aca="false">IF(BCO_GIOTI_1!F24&lt;&gt;"",BCO_GIOTI_1!F24,"")</f>
        <v/>
      </c>
      <c r="M10" s="72" t="str">
        <f aca="false">IF(BCO_GIOTI_1!F25&lt;&gt;"",BCO_GIOTI_1!F25,"")</f>
        <v/>
      </c>
      <c r="N10" s="72" t="str">
        <f aca="false">IF(BCO_GIOTI_1!F26&lt;&gt;"",BCO_GIOTI_1!F26,"")</f>
        <v/>
      </c>
      <c r="O10" s="72" t="str">
        <f aca="false">IF(BCO_GIOTI_1!F28&lt;&gt;"",BCO_GIOTI_1!F28,"")</f>
        <v/>
      </c>
      <c r="P10" s="72" t="str">
        <f aca="false">IF(BCO_GIOTI_1!F29&lt;&gt;"",BCO_GIOTI_1!F29,"")</f>
        <v/>
      </c>
      <c r="Q10" s="72" t="str">
        <f aca="false">IF(BCO_GIOTI_1!F30&lt;&gt;"",BCO_GIOTI_1!F30,"")</f>
        <v/>
      </c>
      <c r="R10" s="72" t="str">
        <f aca="false">IF(BCO_GIOTI_1!F31&lt;&gt;"",BCO_GIOTI_1!F31,"")</f>
        <v/>
      </c>
      <c r="S10" s="72" t="str">
        <f aca="false">IF(BCO_GIOTI_1!F33&lt;&gt;"",BCO_GIOTI_1!F33,"")</f>
        <v/>
      </c>
      <c r="T10" s="72" t="str">
        <f aca="false">IF(BCO_GIOTI_1!F34&lt;&gt;"",BCO_GIOTI_1!F34,"")</f>
        <v/>
      </c>
      <c r="U10" s="72" t="str">
        <f aca="false">IF(BCO_GIOTI_1!F35&lt;&gt;"",BCO_GIOTI_1!F35,"")</f>
        <v/>
      </c>
      <c r="V10" s="72" t="str">
        <f aca="false">IF(BCO_GIOTI_1!F36&lt;&gt;"",BCO_GIOTI_1!F36,"")</f>
        <v/>
      </c>
      <c r="W10" s="72" t="str">
        <f aca="false">IF(BCO_GIOTI_1!F37&lt;&gt;"",BCO_GIOTI_1!F37,"")</f>
        <v/>
      </c>
      <c r="X10" s="72" t="str">
        <f aca="false">IF(BCO_GIOTI_1!F38&lt;&gt;"",BCO_GIOTI_1!F38,"")</f>
        <v/>
      </c>
      <c r="Y10" s="72" t="str">
        <f aca="false">IF(BCO_GIOTI_1!F39&lt;&gt;"",BCO_GIOTI_1!F39,"")</f>
        <v/>
      </c>
      <c r="Z10" s="72" t="str">
        <f aca="false">IF(BCO_GIOTI_1!F41&lt;&gt;"",BCO_GIOTI_1!F41,"")</f>
        <v/>
      </c>
      <c r="AA10" s="72" t="str">
        <f aca="false">IF(BCO_GIOTI_1!F42&lt;&gt;"",BCO_GIOTI_1!F42,"")</f>
        <v/>
      </c>
      <c r="AB10" s="72" t="str">
        <f aca="false">IF(BCO_GIOTI_1!F43&lt;&gt;"",BCO_GIOTI_1!F43,"")</f>
        <v/>
      </c>
      <c r="AC10" s="72" t="str">
        <f aca="false">IF(BCO_GIOTI_1!F44&lt;&gt;"",BCO_GIOTI_1!F44,"")</f>
        <v/>
      </c>
      <c r="AF10" s="73" t="n">
        <f aca="false">IFERROR(COUNTIF(BCO_GIOTI_1!K20:K39,"*Bajo mínimo*"),"")</f>
        <v>0</v>
      </c>
    </row>
    <row r="11" customFormat="false" ht="21.75" hidden="false" customHeight="true" outlineLevel="0" collapsed="false">
      <c r="B11" s="69" t="s">
        <v>287</v>
      </c>
      <c r="C11" s="69" t="s">
        <v>72</v>
      </c>
      <c r="D11" s="69" t="s">
        <v>64</v>
      </c>
      <c r="E11" s="21" t="n">
        <f aca="false">BCO_GIOTI_2!D8</f>
        <v>0</v>
      </c>
      <c r="F11" s="21" t="str">
        <f aca="false">BCO_GIOTI_2!D9</f>
        <v>No</v>
      </c>
      <c r="G11" s="70" t="str">
        <f aca="false">IFERROR(BCO_GIOTI_2!J15,"")</f>
        <v/>
      </c>
      <c r="H11" s="71" t="n">
        <f aca="false">IFERROR((BCO_GIOTI_2!F41+BCO_GIOTI_2!F42+BCO_GIOTI_2!F43+BCO_GIOTI_2!F44)/4,"")</f>
        <v>0</v>
      </c>
      <c r="I11" s="72" t="str">
        <f aca="false">IF(BCO_GIOTI_2!F20&lt;&gt;"",BCO_GIOTI_2!F20,"")</f>
        <v/>
      </c>
      <c r="J11" s="72" t="str">
        <f aca="false">IF(BCO_GIOTI_2!F21&lt;&gt;"",BCO_GIOTI_2!F21,"")</f>
        <v/>
      </c>
      <c r="K11" s="72" t="str">
        <f aca="false">IF(BCO_GIOTI_2!F23&lt;&gt;"",BCO_GIOTI_2!F23,"")</f>
        <v/>
      </c>
      <c r="L11" s="72" t="str">
        <f aca="false">IF(BCO_GIOTI_2!F24&lt;&gt;"",BCO_GIOTI_2!F24,"")</f>
        <v/>
      </c>
      <c r="M11" s="72" t="str">
        <f aca="false">IF(BCO_GIOTI_2!F25&lt;&gt;"",BCO_GIOTI_2!F25,"")</f>
        <v/>
      </c>
      <c r="N11" s="72" t="str">
        <f aca="false">IF(BCO_GIOTI_2!F26&lt;&gt;"",BCO_GIOTI_2!F26,"")</f>
        <v/>
      </c>
      <c r="O11" s="72" t="str">
        <f aca="false">IF(BCO_GIOTI_2!F28&lt;&gt;"",BCO_GIOTI_2!F28,"")</f>
        <v/>
      </c>
      <c r="P11" s="72" t="str">
        <f aca="false">IF(BCO_GIOTI_2!F29&lt;&gt;"",BCO_GIOTI_2!F29,"")</f>
        <v/>
      </c>
      <c r="Q11" s="72" t="str">
        <f aca="false">IF(BCO_GIOTI_2!F30&lt;&gt;"",BCO_GIOTI_2!F30,"")</f>
        <v/>
      </c>
      <c r="R11" s="72" t="str">
        <f aca="false">IF(BCO_GIOTI_2!F31&lt;&gt;"",BCO_GIOTI_2!F31,"")</f>
        <v/>
      </c>
      <c r="S11" s="72" t="str">
        <f aca="false">IF(BCO_GIOTI_2!F33&lt;&gt;"",BCO_GIOTI_2!F33,"")</f>
        <v/>
      </c>
      <c r="T11" s="72" t="str">
        <f aca="false">IF(BCO_GIOTI_2!F34&lt;&gt;"",BCO_GIOTI_2!F34,"")</f>
        <v/>
      </c>
      <c r="U11" s="72" t="str">
        <f aca="false">IF(BCO_GIOTI_2!F35&lt;&gt;"",BCO_GIOTI_2!F35,"")</f>
        <v/>
      </c>
      <c r="V11" s="72" t="str">
        <f aca="false">IF(BCO_GIOTI_2!F36&lt;&gt;"",BCO_GIOTI_2!F36,"")</f>
        <v/>
      </c>
      <c r="W11" s="72" t="str">
        <f aca="false">IF(BCO_GIOTI_2!F37&lt;&gt;"",BCO_GIOTI_2!F37,"")</f>
        <v/>
      </c>
      <c r="X11" s="72" t="str">
        <f aca="false">IF(BCO_GIOTI_2!F38&lt;&gt;"",BCO_GIOTI_2!F38,"")</f>
        <v/>
      </c>
      <c r="Y11" s="72" t="str">
        <f aca="false">IF(BCO_GIOTI_2!F39&lt;&gt;"",BCO_GIOTI_2!F39,"")</f>
        <v/>
      </c>
      <c r="Z11" s="72" t="str">
        <f aca="false">IF(BCO_GIOTI_2!F41&lt;&gt;"",BCO_GIOTI_2!F41,"")</f>
        <v/>
      </c>
      <c r="AA11" s="72" t="str">
        <f aca="false">IF(BCO_GIOTI_2!F42&lt;&gt;"",BCO_GIOTI_2!F42,"")</f>
        <v/>
      </c>
      <c r="AB11" s="72" t="str">
        <f aca="false">IF(BCO_GIOTI_2!F43&lt;&gt;"",BCO_GIOTI_2!F43,"")</f>
        <v/>
      </c>
      <c r="AC11" s="72" t="str">
        <f aca="false">IF(BCO_GIOTI_2!F44&lt;&gt;"",BCO_GIOTI_2!F44,"")</f>
        <v/>
      </c>
      <c r="AF11" s="74" t="n">
        <f aca="false">IFERROR(COUNTIF(BCO_GIOTI_2!K20:K39,"*Bajo mínimo*"),"")</f>
        <v>0</v>
      </c>
    </row>
    <row r="12" customFormat="false" ht="21.75" hidden="false" customHeight="true" outlineLevel="0" collapsed="false">
      <c r="B12" s="69" t="s">
        <v>289</v>
      </c>
      <c r="C12" s="69" t="s">
        <v>72</v>
      </c>
      <c r="D12" s="69" t="s">
        <v>64</v>
      </c>
      <c r="E12" s="21" t="n">
        <f aca="false">BCO_GIOTI_3!D8</f>
        <v>0</v>
      </c>
      <c r="F12" s="21" t="str">
        <f aca="false">BCO_GIOTI_3!D9</f>
        <v>No</v>
      </c>
      <c r="G12" s="70" t="str">
        <f aca="false">IFERROR(BCO_GIOTI_3!J15,"")</f>
        <v/>
      </c>
      <c r="H12" s="71" t="n">
        <f aca="false">IFERROR((BCO_GIOTI_3!F41+BCO_GIOTI_3!F42+BCO_GIOTI_3!F43+BCO_GIOTI_3!F44)/4,"")</f>
        <v>0</v>
      </c>
      <c r="I12" s="72" t="str">
        <f aca="false">IF(BCO_GIOTI_3!F20&lt;&gt;"",BCO_GIOTI_3!F20,"")</f>
        <v/>
      </c>
      <c r="J12" s="72" t="str">
        <f aca="false">IF(BCO_GIOTI_3!F21&lt;&gt;"",BCO_GIOTI_3!F21,"")</f>
        <v/>
      </c>
      <c r="K12" s="72" t="str">
        <f aca="false">IF(BCO_GIOTI_3!F23&lt;&gt;"",BCO_GIOTI_3!F23,"")</f>
        <v/>
      </c>
      <c r="L12" s="72" t="str">
        <f aca="false">IF(BCO_GIOTI_3!F24&lt;&gt;"",BCO_GIOTI_3!F24,"")</f>
        <v/>
      </c>
      <c r="M12" s="72" t="str">
        <f aca="false">IF(BCO_GIOTI_3!F25&lt;&gt;"",BCO_GIOTI_3!F25,"")</f>
        <v/>
      </c>
      <c r="N12" s="72" t="str">
        <f aca="false">IF(BCO_GIOTI_3!F26&lt;&gt;"",BCO_GIOTI_3!F26,"")</f>
        <v/>
      </c>
      <c r="O12" s="72" t="str">
        <f aca="false">IF(BCO_GIOTI_3!F28&lt;&gt;"",BCO_GIOTI_3!F28,"")</f>
        <v/>
      </c>
      <c r="P12" s="72" t="str">
        <f aca="false">IF(BCO_GIOTI_3!F29&lt;&gt;"",BCO_GIOTI_3!F29,"")</f>
        <v/>
      </c>
      <c r="Q12" s="72" t="str">
        <f aca="false">IF(BCO_GIOTI_3!F30&lt;&gt;"",BCO_GIOTI_3!F30,"")</f>
        <v/>
      </c>
      <c r="R12" s="72" t="str">
        <f aca="false">IF(BCO_GIOTI_3!F31&lt;&gt;"",BCO_GIOTI_3!F31,"")</f>
        <v/>
      </c>
      <c r="S12" s="72" t="str">
        <f aca="false">IF(BCO_GIOTI_3!F33&lt;&gt;"",BCO_GIOTI_3!F33,"")</f>
        <v/>
      </c>
      <c r="T12" s="72" t="str">
        <f aca="false">IF(BCO_GIOTI_3!F34&lt;&gt;"",BCO_GIOTI_3!F34,"")</f>
        <v/>
      </c>
      <c r="U12" s="72" t="str">
        <f aca="false">IF(BCO_GIOTI_3!F35&lt;&gt;"",BCO_GIOTI_3!F35,"")</f>
        <v/>
      </c>
      <c r="V12" s="72" t="str">
        <f aca="false">IF(BCO_GIOTI_3!F36&lt;&gt;"",BCO_GIOTI_3!F36,"")</f>
        <v/>
      </c>
      <c r="W12" s="72" t="str">
        <f aca="false">IF(BCO_GIOTI_3!F37&lt;&gt;"",BCO_GIOTI_3!F37,"")</f>
        <v/>
      </c>
      <c r="X12" s="72" t="str">
        <f aca="false">IF(BCO_GIOTI_3!F38&lt;&gt;"",BCO_GIOTI_3!F38,"")</f>
        <v/>
      </c>
      <c r="Y12" s="72" t="str">
        <f aca="false">IF(BCO_GIOTI_3!F39&lt;&gt;"",BCO_GIOTI_3!F39,"")</f>
        <v/>
      </c>
      <c r="Z12" s="72" t="str">
        <f aca="false">IF(BCO_GIOTI_3!F41&lt;&gt;"",BCO_GIOTI_3!F41,"")</f>
        <v/>
      </c>
      <c r="AA12" s="72" t="str">
        <f aca="false">IF(BCO_GIOTI_3!F42&lt;&gt;"",BCO_GIOTI_3!F42,"")</f>
        <v/>
      </c>
      <c r="AB12" s="72" t="str">
        <f aca="false">IF(BCO_GIOTI_3!F43&lt;&gt;"",BCO_GIOTI_3!F43,"")</f>
        <v/>
      </c>
      <c r="AC12" s="72" t="str">
        <f aca="false">IF(BCO_GIOTI_3!F44&lt;&gt;"",BCO_GIOTI_3!F44,"")</f>
        <v/>
      </c>
      <c r="AF12" s="73" t="n">
        <f aca="false">IFERROR(COUNTIF(BCO_GIOTI_3!K20:K39,"*Bajo mínimo*"),"")</f>
        <v>0</v>
      </c>
    </row>
    <row r="13" customFormat="false" ht="21.75" hidden="false" customHeight="true" outlineLevel="0" collapsed="false">
      <c r="B13" s="69" t="s">
        <v>291</v>
      </c>
      <c r="C13" s="69" t="s">
        <v>72</v>
      </c>
      <c r="D13" s="69" t="s">
        <v>64</v>
      </c>
      <c r="E13" s="21" t="n">
        <f aca="false">BCO_GIOTI_4!D8</f>
        <v>0</v>
      </c>
      <c r="F13" s="21" t="str">
        <f aca="false">BCO_GIOTI_4!D9</f>
        <v>No</v>
      </c>
      <c r="G13" s="70" t="str">
        <f aca="false">IFERROR(BCO_GIOTI_4!J15,"")</f>
        <v/>
      </c>
      <c r="H13" s="71" t="n">
        <f aca="false">IFERROR((BCO_GIOTI_4!F41+BCO_GIOTI_4!F42+BCO_GIOTI_4!F43+BCO_GIOTI_4!F44)/4,"")</f>
        <v>0</v>
      </c>
      <c r="I13" s="72" t="str">
        <f aca="false">IF(BCO_GIOTI_4!F20&lt;&gt;"",BCO_GIOTI_4!F20,"")</f>
        <v/>
      </c>
      <c r="J13" s="72" t="str">
        <f aca="false">IF(BCO_GIOTI_4!F21&lt;&gt;"",BCO_GIOTI_4!F21,"")</f>
        <v/>
      </c>
      <c r="K13" s="72" t="str">
        <f aca="false">IF(BCO_GIOTI_4!F23&lt;&gt;"",BCO_GIOTI_4!F23,"")</f>
        <v/>
      </c>
      <c r="L13" s="72" t="str">
        <f aca="false">IF(BCO_GIOTI_4!F24&lt;&gt;"",BCO_GIOTI_4!F24,"")</f>
        <v/>
      </c>
      <c r="M13" s="72" t="str">
        <f aca="false">IF(BCO_GIOTI_4!F25&lt;&gt;"",BCO_GIOTI_4!F25,"")</f>
        <v/>
      </c>
      <c r="N13" s="72" t="str">
        <f aca="false">IF(BCO_GIOTI_4!F26&lt;&gt;"",BCO_GIOTI_4!F26,"")</f>
        <v/>
      </c>
      <c r="O13" s="72" t="str">
        <f aca="false">IF(BCO_GIOTI_4!F28&lt;&gt;"",BCO_GIOTI_4!F28,"")</f>
        <v/>
      </c>
      <c r="P13" s="72" t="str">
        <f aca="false">IF(BCO_GIOTI_4!F29&lt;&gt;"",BCO_GIOTI_4!F29,"")</f>
        <v/>
      </c>
      <c r="Q13" s="72" t="str">
        <f aca="false">IF(BCO_GIOTI_4!F30&lt;&gt;"",BCO_GIOTI_4!F30,"")</f>
        <v/>
      </c>
      <c r="R13" s="72" t="str">
        <f aca="false">IF(BCO_GIOTI_4!F31&lt;&gt;"",BCO_GIOTI_4!F31,"")</f>
        <v/>
      </c>
      <c r="S13" s="72" t="str">
        <f aca="false">IF(BCO_GIOTI_4!F33&lt;&gt;"",BCO_GIOTI_4!F33,"")</f>
        <v/>
      </c>
      <c r="T13" s="72" t="str">
        <f aca="false">IF(BCO_GIOTI_4!F34&lt;&gt;"",BCO_GIOTI_4!F34,"")</f>
        <v/>
      </c>
      <c r="U13" s="72" t="str">
        <f aca="false">IF(BCO_GIOTI_4!F35&lt;&gt;"",BCO_GIOTI_4!F35,"")</f>
        <v/>
      </c>
      <c r="V13" s="72" t="str">
        <f aca="false">IF(BCO_GIOTI_4!F36&lt;&gt;"",BCO_GIOTI_4!F36,"")</f>
        <v/>
      </c>
      <c r="W13" s="72" t="str">
        <f aca="false">IF(BCO_GIOTI_4!F37&lt;&gt;"",BCO_GIOTI_4!F37,"")</f>
        <v/>
      </c>
      <c r="X13" s="72" t="str">
        <f aca="false">IF(BCO_GIOTI_4!F38&lt;&gt;"",BCO_GIOTI_4!F38,"")</f>
        <v/>
      </c>
      <c r="Y13" s="72" t="str">
        <f aca="false">IF(BCO_GIOTI_4!F39&lt;&gt;"",BCO_GIOTI_4!F39,"")</f>
        <v/>
      </c>
      <c r="Z13" s="72" t="str">
        <f aca="false">IF(BCO_GIOTI_4!F41&lt;&gt;"",BCO_GIOTI_4!F41,"")</f>
        <v/>
      </c>
      <c r="AA13" s="72" t="str">
        <f aca="false">IF(BCO_GIOTI_4!F42&lt;&gt;"",BCO_GIOTI_4!F42,"")</f>
        <v/>
      </c>
      <c r="AB13" s="72" t="str">
        <f aca="false">IF(BCO_GIOTI_4!F43&lt;&gt;"",BCO_GIOTI_4!F43,"")</f>
        <v/>
      </c>
      <c r="AC13" s="72" t="str">
        <f aca="false">IF(BCO_GIOTI_4!F44&lt;&gt;"",BCO_GIOTI_4!F44,"")</f>
        <v/>
      </c>
      <c r="AF13" s="74" t="n">
        <f aca="false">IFERROR(COUNTIF(BCO_GIOTI_4!K20:K39,"*Bajo mínimo*"),"")</f>
        <v>0</v>
      </c>
    </row>
    <row r="27" customFormat="false" ht="15" hidden="false" customHeight="true" outlineLevel="0" collapsed="false">
      <c r="B27" s="42" t="s">
        <v>319</v>
      </c>
      <c r="I27" s="0" t="s">
        <v>320</v>
      </c>
      <c r="J27" s="0" t="s">
        <v>321</v>
      </c>
      <c r="K27" s="0" t="s">
        <v>20</v>
      </c>
      <c r="L27" s="0" t="s">
        <v>322</v>
      </c>
    </row>
    <row r="28" customFormat="false" ht="15" hidden="false" customHeight="true" outlineLevel="0" collapsed="false">
      <c r="I28" s="75" t="str">
        <f aca="false">IFERROR(AVERAGE(I6:J13),"")</f>
        <v/>
      </c>
      <c r="J28" s="75" t="str">
        <f aca="false">IFERROR(AVERAGE(K6:N13),"")</f>
        <v/>
      </c>
      <c r="K28" s="75" t="str">
        <f aca="false">IFERROR(AVERAGE(O6:R13),"")</f>
        <v/>
      </c>
      <c r="L28" s="75" t="str">
        <f aca="false">IFERROR(AVERAGE(S6:Y13),"")</f>
        <v/>
      </c>
    </row>
    <row r="30" customFormat="false" ht="15" hidden="false" customHeight="true" outlineLevel="0" collapsed="false">
      <c r="H30" s="0" t="s">
        <v>256</v>
      </c>
      <c r="I30" s="76" t="str">
        <f aca="false">IFERROR(AVERAGE(I6:J6),"")</f>
        <v/>
      </c>
      <c r="J30" s="76" t="str">
        <f aca="false">IFERROR(AVERAGE(K6:N6),"")</f>
        <v/>
      </c>
      <c r="K30" s="76" t="str">
        <f aca="false">IFERROR(AVERAGE(O6:R6),"")</f>
        <v/>
      </c>
      <c r="L30" s="76" t="str">
        <f aca="false">IFERROR(AVERAGE(S6:Y6),"")</f>
        <v/>
      </c>
    </row>
    <row r="31" customFormat="false" ht="15" hidden="false" customHeight="true" outlineLevel="0" collapsed="false">
      <c r="H31" s="0" t="s">
        <v>278</v>
      </c>
      <c r="I31" s="76" t="str">
        <f aca="false">IFERROR(AVERAGE(I7:J7),"")</f>
        <v/>
      </c>
      <c r="J31" s="76" t="str">
        <f aca="false">IFERROR(AVERAGE(K7:N7),"")</f>
        <v/>
      </c>
      <c r="K31" s="76" t="str">
        <f aca="false">IFERROR(AVERAGE(O7:R7),"")</f>
        <v/>
      </c>
      <c r="L31" s="76" t="str">
        <f aca="false">IFERROR(AVERAGE(S7:Y7),"")</f>
        <v/>
      </c>
    </row>
    <row r="32" customFormat="false" ht="15" hidden="false" customHeight="true" outlineLevel="0" collapsed="false">
      <c r="H32" s="0" t="s">
        <v>280</v>
      </c>
      <c r="I32" s="76" t="str">
        <f aca="false">IFERROR(AVERAGE(I8:J8),"")</f>
        <v/>
      </c>
      <c r="J32" s="76" t="str">
        <f aca="false">IFERROR(AVERAGE(K8:N8),"")</f>
        <v/>
      </c>
      <c r="K32" s="76" t="str">
        <f aca="false">IFERROR(AVERAGE(O8:R8),"")</f>
        <v/>
      </c>
      <c r="L32" s="76" t="str">
        <f aca="false">IFERROR(AVERAGE(S8:Y8),"")</f>
        <v/>
      </c>
    </row>
    <row r="33" customFormat="false" ht="15" hidden="false" customHeight="true" outlineLevel="0" collapsed="false">
      <c r="H33" s="0" t="s">
        <v>282</v>
      </c>
      <c r="I33" s="76" t="str">
        <f aca="false">IFERROR(AVERAGE(I9:J9),"")</f>
        <v/>
      </c>
      <c r="J33" s="76" t="str">
        <f aca="false">IFERROR(AVERAGE(K9:N9),"")</f>
        <v/>
      </c>
      <c r="K33" s="76" t="str">
        <f aca="false">IFERROR(AVERAGE(O9:R9),"")</f>
        <v/>
      </c>
      <c r="L33" s="76" t="str">
        <f aca="false">IFERROR(AVERAGE(S9:Y9),"")</f>
        <v/>
      </c>
    </row>
    <row r="34" customFormat="false" ht="15" hidden="false" customHeight="true" outlineLevel="0" collapsed="false">
      <c r="H34" s="0" t="s">
        <v>285</v>
      </c>
      <c r="I34" s="76" t="str">
        <f aca="false">IFERROR(AVERAGE(I10:J10),"")</f>
        <v/>
      </c>
      <c r="J34" s="76" t="str">
        <f aca="false">IFERROR(AVERAGE(K10:N10),"")</f>
        <v/>
      </c>
      <c r="K34" s="76" t="str">
        <f aca="false">IFERROR(AVERAGE(O10:R10),"")</f>
        <v/>
      </c>
      <c r="L34" s="76" t="str">
        <f aca="false">IFERROR(AVERAGE(S10:Y10),"")</f>
        <v/>
      </c>
    </row>
    <row r="35" customFormat="false" ht="15" hidden="false" customHeight="true" outlineLevel="0" collapsed="false">
      <c r="H35" s="0" t="s">
        <v>287</v>
      </c>
      <c r="I35" s="76" t="str">
        <f aca="false">IFERROR(AVERAGE(I11:J11),"")</f>
        <v/>
      </c>
      <c r="J35" s="76" t="str">
        <f aca="false">IFERROR(AVERAGE(K11:N11),"")</f>
        <v/>
      </c>
      <c r="K35" s="76" t="str">
        <f aca="false">IFERROR(AVERAGE(O11:R11),"")</f>
        <v/>
      </c>
      <c r="L35" s="76" t="str">
        <f aca="false">IFERROR(AVERAGE(S11:Y11),"")</f>
        <v/>
      </c>
    </row>
    <row r="36" customFormat="false" ht="15" hidden="false" customHeight="true" outlineLevel="0" collapsed="false">
      <c r="H36" s="0" t="s">
        <v>289</v>
      </c>
      <c r="I36" s="76" t="str">
        <f aca="false">IFERROR(AVERAGE(I12:J12),"")</f>
        <v/>
      </c>
      <c r="J36" s="76" t="str">
        <f aca="false">IFERROR(AVERAGE(K12:N12),"")</f>
        <v/>
      </c>
      <c r="K36" s="76" t="str">
        <f aca="false">IFERROR(AVERAGE(O12:R12),"")</f>
        <v/>
      </c>
      <c r="L36" s="76" t="str">
        <f aca="false">IFERROR(AVERAGE(S12:Y12),"")</f>
        <v/>
      </c>
    </row>
    <row r="37" customFormat="false" ht="15" hidden="false" customHeight="true" outlineLevel="0" collapsed="false">
      <c r="H37" s="0" t="s">
        <v>291</v>
      </c>
      <c r="I37" s="76" t="str">
        <f aca="false">IFERROR(AVERAGE(I13:J13),"")</f>
        <v/>
      </c>
      <c r="J37" s="76" t="str">
        <f aca="false">IFERROR(AVERAGE(K13:N13),"")</f>
        <v/>
      </c>
      <c r="K37" s="76" t="str">
        <f aca="false">IFERROR(AVERAGE(O13:R13),"")</f>
        <v/>
      </c>
      <c r="L37" s="76" t="str">
        <f aca="false">IFERROR(AVERAGE(S13:Y13),"")</f>
        <v/>
      </c>
    </row>
    <row r="40" customFormat="false" ht="21.75" hidden="false" customHeight="true" outlineLevel="0" collapsed="false">
      <c r="B40" s="77" t="s">
        <v>323</v>
      </c>
      <c r="C40" s="77"/>
      <c r="D40" s="77"/>
      <c r="E40" s="77"/>
      <c r="F40" s="77"/>
      <c r="G40" s="77"/>
      <c r="H40" s="77"/>
      <c r="I40" s="77"/>
      <c r="J40" s="77"/>
      <c r="K40" s="77"/>
    </row>
    <row r="41" customFormat="false" ht="19.5" hidden="false" customHeight="true" outlineLevel="0" collapsed="false">
      <c r="B41" s="78" t="s">
        <v>102</v>
      </c>
      <c r="C41" s="78" t="s">
        <v>256</v>
      </c>
      <c r="D41" s="78" t="s">
        <v>324</v>
      </c>
      <c r="E41" s="78" t="s">
        <v>325</v>
      </c>
      <c r="F41" s="78" t="s">
        <v>282</v>
      </c>
      <c r="G41" s="78" t="s">
        <v>285</v>
      </c>
      <c r="H41" s="78" t="s">
        <v>287</v>
      </c>
      <c r="I41" s="78" t="s">
        <v>289</v>
      </c>
      <c r="J41" s="78" t="s">
        <v>291</v>
      </c>
    </row>
    <row r="42" customFormat="false" ht="21.75" hidden="false" customHeight="true" outlineLevel="0" collapsed="false">
      <c r="B42" s="79" t="s">
        <v>326</v>
      </c>
      <c r="C42" s="80" t="n">
        <f aca="false">IFERROR(SURA_Cotizadores!J20,"")</f>
        <v>0</v>
      </c>
      <c r="D42" s="80" t="n">
        <f aca="false">IFERROR(SURA_VentaDigital!J20,"")</f>
        <v>0</v>
      </c>
      <c r="E42" s="80" t="n">
        <f aca="false">IFERROR(SURA_TorreControl!J20,"")</f>
        <v>0</v>
      </c>
      <c r="F42" s="80" t="n">
        <f aca="false">IFERROR(SURA_Mesa4!J20,"")</f>
        <v>0</v>
      </c>
      <c r="G42" s="80" t="n">
        <f aca="false">IFERROR(BCO_GIOTI_1!J20,"")</f>
        <v>0</v>
      </c>
      <c r="H42" s="80" t="n">
        <f aca="false">IFERROR(BCO_GIOTI_2!J20,"")</f>
        <v>0</v>
      </c>
      <c r="I42" s="80" t="n">
        <f aca="false">IFERROR(BCO_GIOTI_3!J20,"")</f>
        <v>0</v>
      </c>
      <c r="J42" s="80" t="n">
        <f aca="false">IFERROR(BCO_GIOTI_4!J20,"")</f>
        <v>0</v>
      </c>
    </row>
    <row r="43" customFormat="false" ht="21.75" hidden="false" customHeight="true" outlineLevel="0" collapsed="false">
      <c r="B43" s="81" t="s">
        <v>327</v>
      </c>
      <c r="C43" s="82" t="n">
        <f aca="false">IFERROR(SURA_Cotizadores!J21,"")</f>
        <v>0</v>
      </c>
      <c r="D43" s="82" t="n">
        <f aca="false">IFERROR(SURA_VentaDigital!J21,"")</f>
        <v>0</v>
      </c>
      <c r="E43" s="82" t="n">
        <f aca="false">IFERROR(SURA_TorreControl!J21,"")</f>
        <v>0</v>
      </c>
      <c r="F43" s="82" t="n">
        <f aca="false">IFERROR(SURA_Mesa4!J21,"")</f>
        <v>0</v>
      </c>
      <c r="G43" s="82" t="n">
        <f aca="false">IFERROR(BCO_GIOTI_1!J21,"")</f>
        <v>0</v>
      </c>
      <c r="H43" s="82" t="n">
        <f aca="false">IFERROR(BCO_GIOTI_2!J21,"")</f>
        <v>0</v>
      </c>
      <c r="I43" s="82" t="n">
        <f aca="false">IFERROR(BCO_GIOTI_3!J21,"")</f>
        <v>0</v>
      </c>
      <c r="J43" s="82" t="n">
        <f aca="false">IFERROR(BCO_GIOTI_4!J21,"")</f>
        <v>0</v>
      </c>
    </row>
    <row r="44" customFormat="false" ht="21.75" hidden="false" customHeight="true" outlineLevel="0" collapsed="false">
      <c r="B44" s="79" t="s">
        <v>328</v>
      </c>
      <c r="C44" s="80" t="n">
        <f aca="false">IFERROR(SURA_Cotizadores!J23,"")</f>
        <v>0</v>
      </c>
      <c r="D44" s="80" t="n">
        <f aca="false">IFERROR(SURA_VentaDigital!J23,"")</f>
        <v>0</v>
      </c>
      <c r="E44" s="80" t="n">
        <f aca="false">IFERROR(SURA_TorreControl!J23,"")</f>
        <v>0</v>
      </c>
      <c r="F44" s="80" t="n">
        <f aca="false">IFERROR(SURA_Mesa4!J23,"")</f>
        <v>0</v>
      </c>
      <c r="G44" s="80" t="n">
        <f aca="false">IFERROR(BCO_GIOTI_1!J23,"")</f>
        <v>0</v>
      </c>
      <c r="H44" s="80" t="n">
        <f aca="false">IFERROR(BCO_GIOTI_2!J23,"")</f>
        <v>0</v>
      </c>
      <c r="I44" s="80" t="n">
        <f aca="false">IFERROR(BCO_GIOTI_3!J23,"")</f>
        <v>0</v>
      </c>
      <c r="J44" s="80" t="n">
        <f aca="false">IFERROR(BCO_GIOTI_4!J23,"")</f>
        <v>0</v>
      </c>
    </row>
    <row r="45" customFormat="false" ht="21.75" hidden="false" customHeight="true" outlineLevel="0" collapsed="false">
      <c r="B45" s="81" t="s">
        <v>329</v>
      </c>
      <c r="C45" s="82" t="n">
        <f aca="false">IFERROR(SURA_Cotizadores!J24,"")</f>
        <v>0</v>
      </c>
      <c r="D45" s="82" t="n">
        <f aca="false">IFERROR(SURA_VentaDigital!J24,"")</f>
        <v>0</v>
      </c>
      <c r="E45" s="82" t="n">
        <f aca="false">IFERROR(SURA_TorreControl!J24,"")</f>
        <v>0</v>
      </c>
      <c r="F45" s="82" t="n">
        <f aca="false">IFERROR(SURA_Mesa4!J24,"")</f>
        <v>0</v>
      </c>
      <c r="G45" s="82" t="n">
        <f aca="false">IFERROR(BCO_GIOTI_1!J24,"")</f>
        <v>0</v>
      </c>
      <c r="H45" s="82" t="n">
        <f aca="false">IFERROR(BCO_GIOTI_2!J24,"")</f>
        <v>0</v>
      </c>
      <c r="I45" s="82" t="n">
        <f aca="false">IFERROR(BCO_GIOTI_3!J24,"")</f>
        <v>0</v>
      </c>
      <c r="J45" s="82" t="n">
        <f aca="false">IFERROR(BCO_GIOTI_4!J24,"")</f>
        <v>0</v>
      </c>
    </row>
    <row r="46" customFormat="false" ht="21.75" hidden="false" customHeight="true" outlineLevel="0" collapsed="false">
      <c r="B46" s="79" t="s">
        <v>330</v>
      </c>
      <c r="C46" s="80" t="n">
        <f aca="false">IFERROR(SURA_Cotizadores!J25,"")</f>
        <v>0</v>
      </c>
      <c r="D46" s="80" t="n">
        <f aca="false">IFERROR(SURA_VentaDigital!J25,"")</f>
        <v>0</v>
      </c>
      <c r="E46" s="80" t="n">
        <f aca="false">IFERROR(SURA_TorreControl!J25,"")</f>
        <v>0</v>
      </c>
      <c r="F46" s="80" t="n">
        <f aca="false">IFERROR(SURA_Mesa4!J25,"")</f>
        <v>0</v>
      </c>
      <c r="G46" s="80" t="n">
        <f aca="false">IFERROR(BCO_GIOTI_1!J25,"")</f>
        <v>0</v>
      </c>
      <c r="H46" s="80" t="n">
        <f aca="false">IFERROR(BCO_GIOTI_2!J25,"")</f>
        <v>0</v>
      </c>
      <c r="I46" s="80" t="n">
        <f aca="false">IFERROR(BCO_GIOTI_3!J25,"")</f>
        <v>0</v>
      </c>
      <c r="J46" s="80" t="n">
        <f aca="false">IFERROR(BCO_GIOTI_4!J25,"")</f>
        <v>0</v>
      </c>
    </row>
    <row r="47" customFormat="false" ht="21.75" hidden="false" customHeight="true" outlineLevel="0" collapsed="false">
      <c r="B47" s="81" t="s">
        <v>331</v>
      </c>
      <c r="C47" s="82" t="n">
        <f aca="false">IFERROR(SURA_Cotizadores!J26,"")</f>
        <v>0</v>
      </c>
      <c r="D47" s="82" t="n">
        <f aca="false">IFERROR(SURA_VentaDigital!J26,"")</f>
        <v>0</v>
      </c>
      <c r="E47" s="82" t="n">
        <f aca="false">IFERROR(SURA_TorreControl!J26,"")</f>
        <v>0</v>
      </c>
      <c r="F47" s="82" t="n">
        <f aca="false">IFERROR(SURA_Mesa4!J26,"")</f>
        <v>0</v>
      </c>
      <c r="G47" s="82" t="n">
        <f aca="false">IFERROR(BCO_GIOTI_1!J26,"")</f>
        <v>0</v>
      </c>
      <c r="H47" s="82" t="n">
        <f aca="false">IFERROR(BCO_GIOTI_2!J26,"")</f>
        <v>0</v>
      </c>
      <c r="I47" s="82" t="n">
        <f aca="false">IFERROR(BCO_GIOTI_3!J26,"")</f>
        <v>0</v>
      </c>
      <c r="J47" s="82" t="n">
        <f aca="false">IFERROR(BCO_GIOTI_4!J26,"")</f>
        <v>0</v>
      </c>
    </row>
    <row r="48" customFormat="false" ht="21.75" hidden="false" customHeight="true" outlineLevel="0" collapsed="false">
      <c r="B48" s="79" t="s">
        <v>332</v>
      </c>
      <c r="C48" s="80" t="n">
        <f aca="false">IFERROR(SURA_Cotizadores!J28,"")</f>
        <v>0</v>
      </c>
      <c r="D48" s="80" t="n">
        <f aca="false">IFERROR(SURA_VentaDigital!J28,"")</f>
        <v>0</v>
      </c>
      <c r="E48" s="80" t="n">
        <f aca="false">IFERROR(SURA_TorreControl!J28,"")</f>
        <v>0</v>
      </c>
      <c r="F48" s="80" t="n">
        <f aca="false">IFERROR(SURA_Mesa4!J28,"")</f>
        <v>0</v>
      </c>
      <c r="G48" s="80" t="n">
        <f aca="false">IFERROR(BCO_GIOTI_1!J28,"")</f>
        <v>0</v>
      </c>
      <c r="H48" s="80" t="n">
        <f aca="false">IFERROR(BCO_GIOTI_2!J28,"")</f>
        <v>0</v>
      </c>
      <c r="I48" s="80" t="n">
        <f aca="false">IFERROR(BCO_GIOTI_3!J28,"")</f>
        <v>0</v>
      </c>
      <c r="J48" s="80" t="n">
        <f aca="false">IFERROR(BCO_GIOTI_4!J28,"")</f>
        <v>0</v>
      </c>
    </row>
    <row r="49" customFormat="false" ht="21.75" hidden="false" customHeight="true" outlineLevel="0" collapsed="false">
      <c r="B49" s="81" t="s">
        <v>333</v>
      </c>
      <c r="C49" s="82" t="n">
        <f aca="false">IFERROR(SURA_Cotizadores!J29,"")</f>
        <v>0</v>
      </c>
      <c r="D49" s="82" t="n">
        <f aca="false">IFERROR(SURA_VentaDigital!J29,"")</f>
        <v>0</v>
      </c>
      <c r="E49" s="82" t="n">
        <f aca="false">IFERROR(SURA_TorreControl!J29,"")</f>
        <v>0</v>
      </c>
      <c r="F49" s="82" t="n">
        <f aca="false">IFERROR(SURA_Mesa4!J29,"")</f>
        <v>0</v>
      </c>
      <c r="G49" s="82" t="n">
        <f aca="false">IFERROR(BCO_GIOTI_1!J29,"")</f>
        <v>0</v>
      </c>
      <c r="H49" s="82" t="n">
        <f aca="false">IFERROR(BCO_GIOTI_2!J29,"")</f>
        <v>0</v>
      </c>
      <c r="I49" s="82" t="n">
        <f aca="false">IFERROR(BCO_GIOTI_3!J29,"")</f>
        <v>0</v>
      </c>
      <c r="J49" s="82" t="n">
        <f aca="false">IFERROR(BCO_GIOTI_4!J29,"")</f>
        <v>0</v>
      </c>
    </row>
    <row r="50" customFormat="false" ht="21.75" hidden="false" customHeight="true" outlineLevel="0" collapsed="false">
      <c r="B50" s="79" t="s">
        <v>334</v>
      </c>
      <c r="C50" s="80" t="n">
        <f aca="false">IFERROR(SURA_Cotizadores!J30,"")</f>
        <v>0</v>
      </c>
      <c r="D50" s="80" t="n">
        <f aca="false">IFERROR(SURA_VentaDigital!J30,"")</f>
        <v>0</v>
      </c>
      <c r="E50" s="80" t="n">
        <f aca="false">IFERROR(SURA_TorreControl!J30,"")</f>
        <v>0</v>
      </c>
      <c r="F50" s="80" t="n">
        <f aca="false">IFERROR(SURA_Mesa4!J30,"")</f>
        <v>0</v>
      </c>
      <c r="G50" s="80" t="n">
        <f aca="false">IFERROR(BCO_GIOTI_1!J30,"")</f>
        <v>0</v>
      </c>
      <c r="H50" s="80" t="n">
        <f aca="false">IFERROR(BCO_GIOTI_2!J30,"")</f>
        <v>0</v>
      </c>
      <c r="I50" s="80" t="n">
        <f aca="false">IFERROR(BCO_GIOTI_3!J30,"")</f>
        <v>0</v>
      </c>
      <c r="J50" s="80" t="n">
        <f aca="false">IFERROR(BCO_GIOTI_4!J30,"")</f>
        <v>0</v>
      </c>
    </row>
    <row r="51" customFormat="false" ht="21.75" hidden="false" customHeight="true" outlineLevel="0" collapsed="false">
      <c r="B51" s="81" t="s">
        <v>335</v>
      </c>
      <c r="C51" s="82" t="n">
        <f aca="false">IFERROR(SURA_Cotizadores!J31,"")</f>
        <v>0</v>
      </c>
      <c r="D51" s="82" t="n">
        <f aca="false">IFERROR(SURA_VentaDigital!J31,"")</f>
        <v>0</v>
      </c>
      <c r="E51" s="82" t="n">
        <f aca="false">IFERROR(SURA_TorreControl!J31,"")</f>
        <v>0</v>
      </c>
      <c r="F51" s="82" t="n">
        <f aca="false">IFERROR(SURA_Mesa4!J31,"")</f>
        <v>0</v>
      </c>
      <c r="G51" s="82" t="n">
        <f aca="false">IFERROR(BCO_GIOTI_1!J31,"")</f>
        <v>0</v>
      </c>
      <c r="H51" s="82" t="n">
        <f aca="false">IFERROR(BCO_GIOTI_2!J31,"")</f>
        <v>0</v>
      </c>
      <c r="I51" s="82" t="n">
        <f aca="false">IFERROR(BCO_GIOTI_3!J31,"")</f>
        <v>0</v>
      </c>
      <c r="J51" s="82" t="n">
        <f aca="false">IFERROR(BCO_GIOTI_4!J31,"")</f>
        <v>0</v>
      </c>
    </row>
    <row r="52" customFormat="false" ht="21.75" hidden="false" customHeight="true" outlineLevel="0" collapsed="false">
      <c r="B52" s="79" t="s">
        <v>336</v>
      </c>
      <c r="C52" s="80" t="n">
        <f aca="false">IFERROR(SURA_Cotizadores!J33,"")</f>
        <v>0</v>
      </c>
      <c r="D52" s="80" t="n">
        <f aca="false">IFERROR(SURA_VentaDigital!J33,"")</f>
        <v>0</v>
      </c>
      <c r="E52" s="80" t="n">
        <f aca="false">IFERROR(SURA_TorreControl!J33,"")</f>
        <v>0</v>
      </c>
      <c r="F52" s="80" t="n">
        <f aca="false">IFERROR(SURA_Mesa4!J33,"")</f>
        <v>0</v>
      </c>
      <c r="G52" s="80" t="n">
        <f aca="false">IFERROR(BCO_GIOTI_1!J33,"")</f>
        <v>0</v>
      </c>
      <c r="H52" s="80" t="n">
        <f aca="false">IFERROR(BCO_GIOTI_2!J33,"")</f>
        <v>0</v>
      </c>
      <c r="I52" s="80" t="n">
        <f aca="false">IFERROR(BCO_GIOTI_3!J33,"")</f>
        <v>0</v>
      </c>
      <c r="J52" s="80" t="n">
        <f aca="false">IFERROR(BCO_GIOTI_4!J33,"")</f>
        <v>0</v>
      </c>
    </row>
    <row r="53" customFormat="false" ht="21.75" hidden="false" customHeight="true" outlineLevel="0" collapsed="false">
      <c r="B53" s="81" t="s">
        <v>337</v>
      </c>
      <c r="C53" s="82" t="n">
        <f aca="false">IFERROR(SURA_Cotizadores!J34,"")</f>
        <v>0</v>
      </c>
      <c r="D53" s="82" t="n">
        <f aca="false">IFERROR(SURA_VentaDigital!J34,"")</f>
        <v>0</v>
      </c>
      <c r="E53" s="82" t="n">
        <f aca="false">IFERROR(SURA_TorreControl!J34,"")</f>
        <v>0</v>
      </c>
      <c r="F53" s="82" t="n">
        <f aca="false">IFERROR(SURA_Mesa4!J34,"")</f>
        <v>0</v>
      </c>
      <c r="G53" s="82" t="n">
        <f aca="false">IFERROR(BCO_GIOTI_1!J34,"")</f>
        <v>0</v>
      </c>
      <c r="H53" s="82" t="n">
        <f aca="false">IFERROR(BCO_GIOTI_2!J34,"")</f>
        <v>0</v>
      </c>
      <c r="I53" s="82" t="n">
        <f aca="false">IFERROR(BCO_GIOTI_3!J34,"")</f>
        <v>0</v>
      </c>
      <c r="J53" s="82" t="n">
        <f aca="false">IFERROR(BCO_GIOTI_4!J34,"")</f>
        <v>0</v>
      </c>
    </row>
    <row r="54" customFormat="false" ht="21.75" hidden="false" customHeight="true" outlineLevel="0" collapsed="false">
      <c r="B54" s="79" t="s">
        <v>338</v>
      </c>
      <c r="C54" s="80" t="n">
        <f aca="false">IFERROR(SURA_Cotizadores!J35,"")</f>
        <v>0</v>
      </c>
      <c r="D54" s="80" t="n">
        <f aca="false">IFERROR(SURA_VentaDigital!J35,"")</f>
        <v>0</v>
      </c>
      <c r="E54" s="80" t="n">
        <f aca="false">IFERROR(SURA_TorreControl!J35,"")</f>
        <v>0</v>
      </c>
      <c r="F54" s="80" t="n">
        <f aca="false">IFERROR(SURA_Mesa4!J35,"")</f>
        <v>0</v>
      </c>
      <c r="G54" s="80" t="n">
        <f aca="false">IFERROR(BCO_GIOTI_1!J35,"")</f>
        <v>0</v>
      </c>
      <c r="H54" s="80" t="n">
        <f aca="false">IFERROR(BCO_GIOTI_2!J35,"")</f>
        <v>0</v>
      </c>
      <c r="I54" s="80" t="n">
        <f aca="false">IFERROR(BCO_GIOTI_3!J35,"")</f>
        <v>0</v>
      </c>
      <c r="J54" s="80" t="n">
        <f aca="false">IFERROR(BCO_GIOTI_4!J35,"")</f>
        <v>0</v>
      </c>
    </row>
    <row r="55" customFormat="false" ht="21.75" hidden="false" customHeight="true" outlineLevel="0" collapsed="false">
      <c r="B55" s="81" t="s">
        <v>339</v>
      </c>
      <c r="C55" s="82" t="n">
        <f aca="false">IFERROR(SURA_Cotizadores!J36,"")</f>
        <v>0</v>
      </c>
      <c r="D55" s="82" t="n">
        <f aca="false">IFERROR(SURA_VentaDigital!J36,"")</f>
        <v>0</v>
      </c>
      <c r="E55" s="82" t="n">
        <f aca="false">IFERROR(SURA_TorreControl!J36,"")</f>
        <v>0</v>
      </c>
      <c r="F55" s="82" t="n">
        <f aca="false">IFERROR(SURA_Mesa4!J36,"")</f>
        <v>0</v>
      </c>
      <c r="G55" s="82" t="n">
        <f aca="false">IFERROR(BCO_GIOTI_1!J36,"")</f>
        <v>0</v>
      </c>
      <c r="H55" s="82" t="n">
        <f aca="false">IFERROR(BCO_GIOTI_2!J36,"")</f>
        <v>0</v>
      </c>
      <c r="I55" s="82" t="n">
        <f aca="false">IFERROR(BCO_GIOTI_3!J36,"")</f>
        <v>0</v>
      </c>
      <c r="J55" s="82" t="n">
        <f aca="false">IFERROR(BCO_GIOTI_4!J36,"")</f>
        <v>0</v>
      </c>
    </row>
    <row r="56" customFormat="false" ht="21.75" hidden="false" customHeight="true" outlineLevel="0" collapsed="false">
      <c r="B56" s="79" t="s">
        <v>340</v>
      </c>
      <c r="C56" s="80" t="n">
        <f aca="false">IFERROR(SURA_Cotizadores!J37,"")</f>
        <v>0</v>
      </c>
      <c r="D56" s="80" t="n">
        <f aca="false">IFERROR(SURA_VentaDigital!J37,"")</f>
        <v>0</v>
      </c>
      <c r="E56" s="80" t="n">
        <f aca="false">IFERROR(SURA_TorreControl!J37,"")</f>
        <v>0</v>
      </c>
      <c r="F56" s="80" t="n">
        <f aca="false">IFERROR(SURA_Mesa4!J37,"")</f>
        <v>0</v>
      </c>
      <c r="G56" s="80" t="n">
        <f aca="false">IFERROR(BCO_GIOTI_1!J37,"")</f>
        <v>0</v>
      </c>
      <c r="H56" s="80" t="n">
        <f aca="false">IFERROR(BCO_GIOTI_2!J37,"")</f>
        <v>0</v>
      </c>
      <c r="I56" s="80" t="n">
        <f aca="false">IFERROR(BCO_GIOTI_3!J37,"")</f>
        <v>0</v>
      </c>
      <c r="J56" s="80" t="n">
        <f aca="false">IFERROR(BCO_GIOTI_4!J37,"")</f>
        <v>0</v>
      </c>
    </row>
    <row r="57" customFormat="false" ht="21.75" hidden="false" customHeight="true" outlineLevel="0" collapsed="false">
      <c r="B57" s="81" t="s">
        <v>341</v>
      </c>
      <c r="C57" s="82" t="n">
        <f aca="false">IFERROR(SURA_Cotizadores!J38,"")</f>
        <v>0</v>
      </c>
      <c r="D57" s="82" t="n">
        <f aca="false">IFERROR(SURA_VentaDigital!J38,"")</f>
        <v>0</v>
      </c>
      <c r="E57" s="82" t="n">
        <f aca="false">IFERROR(SURA_TorreControl!J38,"")</f>
        <v>0</v>
      </c>
      <c r="F57" s="82" t="n">
        <f aca="false">IFERROR(SURA_Mesa4!J38,"")</f>
        <v>0</v>
      </c>
      <c r="G57" s="82" t="n">
        <f aca="false">IFERROR(BCO_GIOTI_1!J38,"")</f>
        <v>0</v>
      </c>
      <c r="H57" s="82" t="n">
        <f aca="false">IFERROR(BCO_GIOTI_2!J38,"")</f>
        <v>0</v>
      </c>
      <c r="I57" s="82" t="n">
        <f aca="false">IFERROR(BCO_GIOTI_3!J38,"")</f>
        <v>0</v>
      </c>
      <c r="J57" s="82" t="n">
        <f aca="false">IFERROR(BCO_GIOTI_4!J38,"")</f>
        <v>0</v>
      </c>
    </row>
    <row r="58" customFormat="false" ht="21.75" hidden="false" customHeight="true" outlineLevel="0" collapsed="false">
      <c r="B58" s="79" t="s">
        <v>342</v>
      </c>
      <c r="C58" s="80" t="n">
        <f aca="false">IFERROR(SURA_Cotizadores!J39,"")</f>
        <v>0</v>
      </c>
      <c r="D58" s="80" t="n">
        <f aca="false">IFERROR(SURA_VentaDigital!J39,"")</f>
        <v>0</v>
      </c>
      <c r="E58" s="80" t="n">
        <f aca="false">IFERROR(SURA_TorreControl!J39,"")</f>
        <v>0</v>
      </c>
      <c r="F58" s="80" t="n">
        <f aca="false">IFERROR(SURA_Mesa4!J39,"")</f>
        <v>0</v>
      </c>
      <c r="G58" s="80" t="n">
        <f aca="false">IFERROR(BCO_GIOTI_1!J39,"")</f>
        <v>0</v>
      </c>
      <c r="H58" s="80" t="n">
        <f aca="false">IFERROR(BCO_GIOTI_2!J39,"")</f>
        <v>0</v>
      </c>
      <c r="I58" s="80" t="n">
        <f aca="false">IFERROR(BCO_GIOTI_3!J39,"")</f>
        <v>0</v>
      </c>
      <c r="J58" s="80" t="n">
        <f aca="false">IFERROR(BCO_GIOTI_4!J39,"")</f>
        <v>0</v>
      </c>
    </row>
  </sheetData>
  <mergeCells count="3">
    <mergeCell ref="B2:AD2"/>
    <mergeCell ref="B3:AD3"/>
    <mergeCell ref="B40:K40"/>
  </mergeCells>
  <conditionalFormatting sqref="G6:AC13">
    <cfRule type="colorScale" priority="2">
      <colorScale>
        <cfvo type="num" val="0"/>
        <cfvo type="num" val="3"/>
        <cfvo type="num" val="5"/>
        <color rgb="FFF0997B"/>
        <color rgb="FFFAC775"/>
        <color rgb="FF9FE1C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2026-07-01T18:08:04Z</dcterms:created>
  <dc:creator>openpyxl</dc:creator>
  <dc:description/>
  <dc:language>en-US</dc:language>
  <cp:lastModifiedBy/>
  <dcterms:modified xsi:type="dcterms:W3CDTF">2026-07-03T17:07:58Z</dcterms:modified>
  <cp:revision>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