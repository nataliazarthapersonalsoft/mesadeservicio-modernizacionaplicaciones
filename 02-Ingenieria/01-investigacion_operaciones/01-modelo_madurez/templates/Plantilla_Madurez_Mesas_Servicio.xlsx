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5EEC4A-6CD2-49C4-948C-91C9A73B59DA}" xr6:coauthVersionLast="47" xr6:coauthVersionMax="47" xr10:uidLastSave="{00000000-0000-0000-0000-000000000000}"/>
  <bookViews>
    <workbookView xWindow="-110" yWindow="-110" windowWidth="19420" windowHeight="11500" tabRatio="500" firstSheet="1" activeTab="4" xr2:uid="{00000000-000D-0000-FFFF-FFFF00000000}"/>
  </bookViews>
  <sheets>
    <sheet name="Inicio" sheetId="1" r:id="rId1"/>
    <sheet name="Listas" sheetId="2" r:id="rId2"/>
    <sheet name="Rúbrica" sheetId="3" r:id="rId3"/>
    <sheet name="SURA_Cotizadores" sheetId="4" r:id="rId4"/>
    <sheet name="SURA_VentaDigital" sheetId="5" r:id="rId5"/>
    <sheet name="SURA_TorreControl" sheetId="6" r:id="rId6"/>
    <sheet name="SURA_Mesa4" sheetId="7" r:id="rId7"/>
    <sheet name="BCO_GIOTI_1" sheetId="8" r:id="rId8"/>
    <sheet name="BCO_GIOTI_2" sheetId="9" r:id="rId9"/>
    <sheet name="BCO_GIOTI_3" sheetId="10" r:id="rId10"/>
    <sheet name="BCO_GIOTI_4" sheetId="11" r:id="rId11"/>
    <sheet name="Dashboard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13" i="12" l="1"/>
  <c r="AB13" i="12"/>
  <c r="AA13" i="12"/>
  <c r="Z13" i="12"/>
  <c r="Y13" i="12"/>
  <c r="X13" i="12"/>
  <c r="W13" i="12"/>
  <c r="V13" i="12"/>
  <c r="U13" i="12"/>
  <c r="T13" i="12"/>
  <c r="S13" i="12"/>
  <c r="L37" i="12" s="1"/>
  <c r="R13" i="12"/>
  <c r="Q13" i="12"/>
  <c r="P13" i="12"/>
  <c r="O13" i="12"/>
  <c r="K37" i="12" s="1"/>
  <c r="N13" i="12"/>
  <c r="M13" i="12"/>
  <c r="L13" i="12"/>
  <c r="K13" i="12"/>
  <c r="J37" i="12" s="1"/>
  <c r="J13" i="12"/>
  <c r="I13" i="12"/>
  <c r="I37" i="12" s="1"/>
  <c r="H13" i="12"/>
  <c r="F13" i="12"/>
  <c r="E13" i="12"/>
  <c r="AC12" i="12"/>
  <c r="AB12" i="12"/>
  <c r="AA12" i="12"/>
  <c r="Z12" i="12"/>
  <c r="Y12" i="12"/>
  <c r="X12" i="12"/>
  <c r="W12" i="12"/>
  <c r="V12" i="12"/>
  <c r="U12" i="12"/>
  <c r="T12" i="12"/>
  <c r="S12" i="12"/>
  <c r="L36" i="12" s="1"/>
  <c r="R12" i="12"/>
  <c r="Q12" i="12"/>
  <c r="P12" i="12"/>
  <c r="O12" i="12"/>
  <c r="K36" i="12" s="1"/>
  <c r="N12" i="12"/>
  <c r="M12" i="12"/>
  <c r="L12" i="12"/>
  <c r="K12" i="12"/>
  <c r="J36" i="12" s="1"/>
  <c r="J12" i="12"/>
  <c r="I12" i="12"/>
  <c r="I36" i="12" s="1"/>
  <c r="H12" i="12"/>
  <c r="F12" i="12"/>
  <c r="E12" i="12"/>
  <c r="AC11" i="12"/>
  <c r="AB11" i="12"/>
  <c r="AA11" i="12"/>
  <c r="Z11" i="12"/>
  <c r="Y11" i="12"/>
  <c r="X11" i="12"/>
  <c r="W11" i="12"/>
  <c r="V11" i="12"/>
  <c r="U11" i="12"/>
  <c r="T11" i="12"/>
  <c r="S11" i="12"/>
  <c r="L35" i="12" s="1"/>
  <c r="R11" i="12"/>
  <c r="Q11" i="12"/>
  <c r="P11" i="12"/>
  <c r="O11" i="12"/>
  <c r="K35" i="12" s="1"/>
  <c r="N11" i="12"/>
  <c r="M11" i="12"/>
  <c r="L11" i="12"/>
  <c r="K11" i="12"/>
  <c r="J35" i="12" s="1"/>
  <c r="J11" i="12"/>
  <c r="I11" i="12"/>
  <c r="I35" i="12" s="1"/>
  <c r="H11" i="12"/>
  <c r="F11" i="12"/>
  <c r="E11" i="12"/>
  <c r="AC10" i="12"/>
  <c r="AB10" i="12"/>
  <c r="AA10" i="12"/>
  <c r="Z10" i="12"/>
  <c r="Y10" i="12"/>
  <c r="X10" i="12"/>
  <c r="W10" i="12"/>
  <c r="V10" i="12"/>
  <c r="U10" i="12"/>
  <c r="T10" i="12"/>
  <c r="S10" i="12"/>
  <c r="L34" i="12" s="1"/>
  <c r="R10" i="12"/>
  <c r="Q10" i="12"/>
  <c r="P10" i="12"/>
  <c r="O10" i="12"/>
  <c r="K34" i="12" s="1"/>
  <c r="N10" i="12"/>
  <c r="M10" i="12"/>
  <c r="L10" i="12"/>
  <c r="K10" i="12"/>
  <c r="J34" i="12" s="1"/>
  <c r="J10" i="12"/>
  <c r="I10" i="12"/>
  <c r="I34" i="12" s="1"/>
  <c r="H10" i="12"/>
  <c r="F10" i="12"/>
  <c r="E10" i="12"/>
  <c r="AC9" i="12"/>
  <c r="AB9" i="12"/>
  <c r="AA9" i="12"/>
  <c r="Z9" i="12"/>
  <c r="Y9" i="12"/>
  <c r="X9" i="12"/>
  <c r="W9" i="12"/>
  <c r="V9" i="12"/>
  <c r="U9" i="12"/>
  <c r="T9" i="12"/>
  <c r="S9" i="12"/>
  <c r="L33" i="12" s="1"/>
  <c r="R9" i="12"/>
  <c r="Q9" i="12"/>
  <c r="P9" i="12"/>
  <c r="O9" i="12"/>
  <c r="K33" i="12" s="1"/>
  <c r="N9" i="12"/>
  <c r="M9" i="12"/>
  <c r="L9" i="12"/>
  <c r="K9" i="12"/>
  <c r="J33" i="12" s="1"/>
  <c r="J9" i="12"/>
  <c r="I9" i="12"/>
  <c r="I33" i="12" s="1"/>
  <c r="H9" i="12"/>
  <c r="F9" i="12"/>
  <c r="E9" i="12"/>
  <c r="AC8" i="12"/>
  <c r="AB8" i="12"/>
  <c r="AA8" i="12"/>
  <c r="Z8" i="12"/>
  <c r="Y8" i="12"/>
  <c r="X8" i="12"/>
  <c r="W8" i="12"/>
  <c r="V8" i="12"/>
  <c r="U8" i="12"/>
  <c r="T8" i="12"/>
  <c r="S8" i="12"/>
  <c r="L32" i="12" s="1"/>
  <c r="R8" i="12"/>
  <c r="Q8" i="12"/>
  <c r="P8" i="12"/>
  <c r="O8" i="12"/>
  <c r="K32" i="12" s="1"/>
  <c r="N8" i="12"/>
  <c r="M8" i="12"/>
  <c r="L8" i="12"/>
  <c r="K8" i="12"/>
  <c r="J32" i="12" s="1"/>
  <c r="J8" i="12"/>
  <c r="I8" i="12"/>
  <c r="I32" i="12" s="1"/>
  <c r="H8" i="12"/>
  <c r="F8" i="12"/>
  <c r="E8" i="12"/>
  <c r="AC7" i="12"/>
  <c r="AB7" i="12"/>
  <c r="AA7" i="12"/>
  <c r="Z7" i="12"/>
  <c r="Y7" i="12"/>
  <c r="X7" i="12"/>
  <c r="W7" i="12"/>
  <c r="V7" i="12"/>
  <c r="U7" i="12"/>
  <c r="T7" i="12"/>
  <c r="S7" i="12"/>
  <c r="L31" i="12" s="1"/>
  <c r="R7" i="12"/>
  <c r="Q7" i="12"/>
  <c r="P7" i="12"/>
  <c r="O7" i="12"/>
  <c r="K31" i="12" s="1"/>
  <c r="N7" i="12"/>
  <c r="M7" i="12"/>
  <c r="L7" i="12"/>
  <c r="K7" i="12"/>
  <c r="J31" i="12" s="1"/>
  <c r="J7" i="12"/>
  <c r="I7" i="12"/>
  <c r="I31" i="12" s="1"/>
  <c r="H7" i="12"/>
  <c r="F7" i="12"/>
  <c r="E7" i="12"/>
  <c r="AC6" i="12"/>
  <c r="AB6" i="12"/>
  <c r="AA6" i="12"/>
  <c r="Z6" i="12"/>
  <c r="Y6" i="12"/>
  <c r="X6" i="12"/>
  <c r="W6" i="12"/>
  <c r="V6" i="12"/>
  <c r="U6" i="12"/>
  <c r="T6" i="12"/>
  <c r="S6" i="12"/>
  <c r="L28" i="12" s="1"/>
  <c r="R6" i="12"/>
  <c r="Q6" i="12"/>
  <c r="P6" i="12"/>
  <c r="O6" i="12"/>
  <c r="K28" i="12" s="1"/>
  <c r="N6" i="12"/>
  <c r="M6" i="12"/>
  <c r="L6" i="12"/>
  <c r="K6" i="12"/>
  <c r="J28" i="12" s="1"/>
  <c r="J6" i="12"/>
  <c r="I6" i="12"/>
  <c r="I28" i="12" s="1"/>
  <c r="H6" i="12"/>
  <c r="F6" i="12"/>
  <c r="E6" i="12"/>
  <c r="H44" i="11"/>
  <c r="H43" i="11"/>
  <c r="H42" i="11"/>
  <c r="H41" i="11"/>
  <c r="H39" i="11"/>
  <c r="E39" i="11"/>
  <c r="H38" i="11"/>
  <c r="E38" i="11"/>
  <c r="H37" i="11"/>
  <c r="E37" i="11"/>
  <c r="H36" i="11"/>
  <c r="E36" i="11"/>
  <c r="H35" i="11"/>
  <c r="E35" i="11"/>
  <c r="H34" i="11"/>
  <c r="E34" i="11"/>
  <c r="H33" i="11"/>
  <c r="E33" i="11"/>
  <c r="H31" i="11"/>
  <c r="E31" i="11"/>
  <c r="H30" i="11"/>
  <c r="E30" i="11"/>
  <c r="H29" i="11"/>
  <c r="E29" i="11"/>
  <c r="H28" i="11"/>
  <c r="E28" i="11"/>
  <c r="H26" i="11"/>
  <c r="E26" i="11"/>
  <c r="H25" i="11"/>
  <c r="E25" i="11"/>
  <c r="H24" i="11"/>
  <c r="E24" i="11"/>
  <c r="H23" i="11"/>
  <c r="E23" i="11"/>
  <c r="H21" i="11"/>
  <c r="E21" i="11"/>
  <c r="H20" i="11"/>
  <c r="E20" i="11"/>
  <c r="D16" i="11"/>
  <c r="J15" i="11"/>
  <c r="G13" i="12" s="1"/>
  <c r="D15" i="11"/>
  <c r="H44" i="10"/>
  <c r="H43" i="10"/>
  <c r="H42" i="10"/>
  <c r="H41" i="10"/>
  <c r="H39" i="10"/>
  <c r="E39" i="10"/>
  <c r="H38" i="10"/>
  <c r="E38" i="10"/>
  <c r="H37" i="10"/>
  <c r="E37" i="10"/>
  <c r="H36" i="10"/>
  <c r="E36" i="10"/>
  <c r="H35" i="10"/>
  <c r="E35" i="10"/>
  <c r="H34" i="10"/>
  <c r="E34" i="10"/>
  <c r="H33" i="10"/>
  <c r="E33" i="10"/>
  <c r="H31" i="10"/>
  <c r="E31" i="10"/>
  <c r="H30" i="10"/>
  <c r="E30" i="10"/>
  <c r="H29" i="10"/>
  <c r="E29" i="10"/>
  <c r="H28" i="10"/>
  <c r="E28" i="10"/>
  <c r="H26" i="10"/>
  <c r="E26" i="10"/>
  <c r="H25" i="10"/>
  <c r="E25" i="10"/>
  <c r="H24" i="10"/>
  <c r="E24" i="10"/>
  <c r="H23" i="10"/>
  <c r="E23" i="10"/>
  <c r="H21" i="10"/>
  <c r="E21" i="10"/>
  <c r="H20" i="10"/>
  <c r="E20" i="10"/>
  <c r="D16" i="10"/>
  <c r="J15" i="10"/>
  <c r="G12" i="12" s="1"/>
  <c r="D15" i="10"/>
  <c r="H44" i="9"/>
  <c r="H43" i="9"/>
  <c r="H42" i="9"/>
  <c r="H41" i="9"/>
  <c r="H39" i="9"/>
  <c r="E39" i="9"/>
  <c r="H38" i="9"/>
  <c r="E38" i="9"/>
  <c r="H37" i="9"/>
  <c r="E37" i="9"/>
  <c r="H36" i="9"/>
  <c r="E36" i="9"/>
  <c r="H35" i="9"/>
  <c r="E35" i="9"/>
  <c r="H34" i="9"/>
  <c r="E34" i="9"/>
  <c r="H33" i="9"/>
  <c r="E33" i="9"/>
  <c r="H31" i="9"/>
  <c r="E31" i="9"/>
  <c r="H30" i="9"/>
  <c r="E30" i="9"/>
  <c r="H29" i="9"/>
  <c r="E29" i="9"/>
  <c r="H28" i="9"/>
  <c r="E28" i="9"/>
  <c r="H26" i="9"/>
  <c r="E26" i="9"/>
  <c r="H25" i="9"/>
  <c r="E25" i="9"/>
  <c r="H24" i="9"/>
  <c r="E24" i="9"/>
  <c r="H23" i="9"/>
  <c r="E23" i="9"/>
  <c r="H21" i="9"/>
  <c r="E21" i="9"/>
  <c r="H20" i="9"/>
  <c r="E20" i="9"/>
  <c r="D16" i="9"/>
  <c r="J15" i="9"/>
  <c r="G11" i="12" s="1"/>
  <c r="D15" i="9"/>
  <c r="H44" i="8"/>
  <c r="H43" i="8"/>
  <c r="H42" i="8"/>
  <c r="H41" i="8"/>
  <c r="H39" i="8"/>
  <c r="E39" i="8"/>
  <c r="H38" i="8"/>
  <c r="E38" i="8"/>
  <c r="H37" i="8"/>
  <c r="E37" i="8"/>
  <c r="H36" i="8"/>
  <c r="E36" i="8"/>
  <c r="H35" i="8"/>
  <c r="E35" i="8"/>
  <c r="H34" i="8"/>
  <c r="E34" i="8"/>
  <c r="H33" i="8"/>
  <c r="E33" i="8"/>
  <c r="H31" i="8"/>
  <c r="E31" i="8"/>
  <c r="H30" i="8"/>
  <c r="E30" i="8"/>
  <c r="H29" i="8"/>
  <c r="E29" i="8"/>
  <c r="H28" i="8"/>
  <c r="E28" i="8"/>
  <c r="H26" i="8"/>
  <c r="E26" i="8"/>
  <c r="H25" i="8"/>
  <c r="E25" i="8"/>
  <c r="H24" i="8"/>
  <c r="E24" i="8"/>
  <c r="H23" i="8"/>
  <c r="E23" i="8"/>
  <c r="H21" i="8"/>
  <c r="E21" i="8"/>
  <c r="H20" i="8"/>
  <c r="E20" i="8"/>
  <c r="D16" i="8"/>
  <c r="J15" i="8"/>
  <c r="G10" i="12" s="1"/>
  <c r="D15" i="8"/>
  <c r="H44" i="7"/>
  <c r="H43" i="7"/>
  <c r="H42" i="7"/>
  <c r="H41" i="7"/>
  <c r="H39" i="7"/>
  <c r="E39" i="7"/>
  <c r="H38" i="7"/>
  <c r="E38" i="7"/>
  <c r="H37" i="7"/>
  <c r="E37" i="7"/>
  <c r="H36" i="7"/>
  <c r="E36" i="7"/>
  <c r="H35" i="7"/>
  <c r="E35" i="7"/>
  <c r="H34" i="7"/>
  <c r="E34" i="7"/>
  <c r="H33" i="7"/>
  <c r="E33" i="7"/>
  <c r="H31" i="7"/>
  <c r="E31" i="7"/>
  <c r="H30" i="7"/>
  <c r="E30" i="7"/>
  <c r="H29" i="7"/>
  <c r="E29" i="7"/>
  <c r="H28" i="7"/>
  <c r="E28" i="7"/>
  <c r="H26" i="7"/>
  <c r="E26" i="7"/>
  <c r="H25" i="7"/>
  <c r="E25" i="7"/>
  <c r="H24" i="7"/>
  <c r="E24" i="7"/>
  <c r="H23" i="7"/>
  <c r="E23" i="7"/>
  <c r="H21" i="7"/>
  <c r="E21" i="7"/>
  <c r="H20" i="7"/>
  <c r="E20" i="7"/>
  <c r="D16" i="7"/>
  <c r="J15" i="7"/>
  <c r="G9" i="12" s="1"/>
  <c r="D15" i="7"/>
  <c r="H44" i="6"/>
  <c r="H43" i="6"/>
  <c r="H42" i="6"/>
  <c r="H41" i="6"/>
  <c r="H39" i="6"/>
  <c r="E39" i="6"/>
  <c r="H38" i="6"/>
  <c r="E38" i="6"/>
  <c r="H37" i="6"/>
  <c r="E37" i="6"/>
  <c r="H36" i="6"/>
  <c r="E36" i="6"/>
  <c r="H35" i="6"/>
  <c r="E35" i="6"/>
  <c r="H34" i="6"/>
  <c r="E34" i="6"/>
  <c r="H33" i="6"/>
  <c r="E33" i="6"/>
  <c r="H31" i="6"/>
  <c r="E31" i="6"/>
  <c r="H30" i="6"/>
  <c r="E30" i="6"/>
  <c r="H29" i="6"/>
  <c r="E29" i="6"/>
  <c r="H28" i="6"/>
  <c r="E28" i="6"/>
  <c r="H26" i="6"/>
  <c r="E26" i="6"/>
  <c r="H25" i="6"/>
  <c r="E25" i="6"/>
  <c r="H24" i="6"/>
  <c r="E24" i="6"/>
  <c r="H23" i="6"/>
  <c r="E23" i="6"/>
  <c r="H21" i="6"/>
  <c r="E21" i="6"/>
  <c r="H20" i="6"/>
  <c r="E20" i="6"/>
  <c r="D16" i="6"/>
  <c r="J15" i="6"/>
  <c r="G8" i="12" s="1"/>
  <c r="D15" i="6"/>
  <c r="H44" i="5"/>
  <c r="H43" i="5"/>
  <c r="H42" i="5"/>
  <c r="H41" i="5"/>
  <c r="H39" i="5"/>
  <c r="E39" i="5"/>
  <c r="H38" i="5"/>
  <c r="E38" i="5"/>
  <c r="H37" i="5"/>
  <c r="E37" i="5"/>
  <c r="H36" i="5"/>
  <c r="E36" i="5"/>
  <c r="H35" i="5"/>
  <c r="E35" i="5"/>
  <c r="H34" i="5"/>
  <c r="E34" i="5"/>
  <c r="H33" i="5"/>
  <c r="E33" i="5"/>
  <c r="H31" i="5"/>
  <c r="E31" i="5"/>
  <c r="H30" i="5"/>
  <c r="E30" i="5"/>
  <c r="H29" i="5"/>
  <c r="E29" i="5"/>
  <c r="H28" i="5"/>
  <c r="E28" i="5"/>
  <c r="H26" i="5"/>
  <c r="E26" i="5"/>
  <c r="H25" i="5"/>
  <c r="E25" i="5"/>
  <c r="H24" i="5"/>
  <c r="E24" i="5"/>
  <c r="H23" i="5"/>
  <c r="E23" i="5"/>
  <c r="H21" i="5"/>
  <c r="E21" i="5"/>
  <c r="H20" i="5"/>
  <c r="E20" i="5"/>
  <c r="D16" i="5"/>
  <c r="J15" i="5"/>
  <c r="G7" i="12" s="1"/>
  <c r="D15" i="5"/>
  <c r="H44" i="4"/>
  <c r="H43" i="4"/>
  <c r="H42" i="4"/>
  <c r="H41" i="4"/>
  <c r="H39" i="4"/>
  <c r="E39" i="4"/>
  <c r="H38" i="4"/>
  <c r="E38" i="4"/>
  <c r="H37" i="4"/>
  <c r="E37" i="4"/>
  <c r="H36" i="4"/>
  <c r="E36" i="4"/>
  <c r="H35" i="4"/>
  <c r="E35" i="4"/>
  <c r="H34" i="4"/>
  <c r="E34" i="4"/>
  <c r="H33" i="4"/>
  <c r="E33" i="4"/>
  <c r="H31" i="4"/>
  <c r="E31" i="4"/>
  <c r="H30" i="4"/>
  <c r="E30" i="4"/>
  <c r="H29" i="4"/>
  <c r="E29" i="4"/>
  <c r="H28" i="4"/>
  <c r="E28" i="4"/>
  <c r="H26" i="4"/>
  <c r="E26" i="4"/>
  <c r="H25" i="4"/>
  <c r="E25" i="4"/>
  <c r="H24" i="4"/>
  <c r="E24" i="4"/>
  <c r="H23" i="4"/>
  <c r="E23" i="4"/>
  <c r="H21" i="4"/>
  <c r="E21" i="4"/>
  <c r="H20" i="4"/>
  <c r="E20" i="4"/>
  <c r="D16" i="4"/>
  <c r="J15" i="4"/>
  <c r="G6" i="12" s="1"/>
  <c r="D15" i="4"/>
  <c r="I30" i="12" l="1"/>
  <c r="J30" i="12"/>
  <c r="K30" i="12"/>
  <c r="L30" i="12"/>
</calcChain>
</file>

<file path=xl/sharedStrings.xml><?xml version="1.0" encoding="utf-8"?>
<sst xmlns="http://schemas.openxmlformats.org/spreadsheetml/2006/main" count="981" uniqueCount="321">
  <si>
    <t>Modelo de Madurez · Mesa de Servicios de Nueva Generación</t>
  </si>
  <si>
    <t>PersonalSoft · ITIL v5 · 4 Dimensiones · 17 Prácticas Operativas + 4 de Negocio · Escala N0–N5</t>
  </si>
  <si>
    <t>ESTRUCTURA DEL ARCHIVO</t>
  </si>
  <si>
    <t>Hoja</t>
  </si>
  <si>
    <t>Contenido</t>
  </si>
  <si>
    <t>Inicio</t>
  </si>
  <si>
    <t>Esta hoja — instrucciones y estructura general</t>
  </si>
  <si>
    <t>Listas</t>
  </si>
  <si>
    <t>Listas paramétricas: tipos de mesa, sectores, herramientas, prioridades, horarios</t>
  </si>
  <si>
    <t>Rúbrica</t>
  </si>
  <si>
    <t>Descripción completa de qué significa cada nivel (N0–N5) en cada práctica</t>
  </si>
  <si>
    <t>SURA_Cotizadores … BCO_GIOTI_4</t>
  </si>
  <si>
    <t>8 hojas de evaluación — una por mesa de servicio</t>
  </si>
  <si>
    <t>Dashboard</t>
  </si>
  <si>
    <t>Consolidado visual: barras de nivel global, radar por dimensión y barras comparativas</t>
  </si>
  <si>
    <t>DIMENSIONES EVALUADAS (ITIL v5) — 4 dimensiones · 17 prácticas operativas</t>
  </si>
  <si>
    <t>D1 · Organizaciones y Personas</t>
  </si>
  <si>
    <t>1. Gobierno de roles (RACI)  ·  2. Capacidad y dimensionamiento del equipo</t>
  </si>
  <si>
    <t>D2 · Información y Tecnología</t>
  </si>
  <si>
    <t>3. Herramientas y automatización  ·  4. Gestión del conocimiento (KEDB)  ·  5. Gestión de integraciones  ·  6. Monitoreo y gestión de eventos ★</t>
  </si>
  <si>
    <t>D3 · Socios y Proveedores</t>
  </si>
  <si>
    <t>7. Service Desk — punto único de contacto ★  ·  8. Catálogo de servicios  ·  9. SLA / ANS + XLA por prioridad  ·  10. Disponibilidad y cobertura horaria</t>
  </si>
  <si>
    <t>D4 · Flujos de Valor y Procesos</t>
  </si>
  <si>
    <t>11. Gestión de incidentes  ·  12. Gestión de solicitudes  ·  13. Gestión de problemas (causa raíz)  ·  14. Change Enablement ★  ·  15. Transición y onboarding  ·  16. Mejora continua ★  ·  17. CX / NPS / CSAT / XLA</t>
  </si>
  <si>
    <t>Dimensión de Negocio PS</t>
  </si>
  <si>
    <t>18. Salud financiera  ·  19. Retención y cuenta  ·  20. NPS / CSAT / XLA  ·  21. Eficiencia de costo operativo</t>
  </si>
  <si>
    <t>★ Nuevas desde ITIL v5 (2026)</t>
  </si>
  <si>
    <t>ESCALA DE MADUREZ — 6 niveles</t>
  </si>
  <si>
    <t>N0 · Autoservicio</t>
  </si>
  <si>
    <t>Portal + KEDB + IA generativa activa. Sin intervención humana.</t>
  </si>
  <si>
    <t>N1 · Inicial</t>
  </si>
  <si>
    <t>Reactivo total. Depende de personas, no de procesos. Bus factor alto.</t>
  </si>
  <si>
    <t>N2 · Administrado</t>
  </si>
  <si>
    <t>Procesos por mesa, sin estandarizar entre clientes. Nivel mínimo Mesa de Ayuda.</t>
  </si>
  <si>
    <t>N3 · Definido</t>
  </si>
  <si>
    <t>Estandarización entre mesas. Roles, RACI, catálogo y ANS documentados. Nivel mínimo Mesa de Soporte.</t>
  </si>
  <si>
    <t>N4 · Cuantitativo</t>
  </si>
  <si>
    <t>Gestión basada en datos: ANS medidos, KPIs reales, tendencias analizadas.</t>
  </si>
  <si>
    <t>N5 · Optimizado</t>
  </si>
  <si>
    <t>IA activa. Anticipación de problemas, mejora continua automatizada, AIOps.</t>
  </si>
  <si>
    <t>INSTRUCCIONES DE USO</t>
  </si>
  <si>
    <t>1.</t>
  </si>
  <si>
    <t>En la hoja de cada mesa: diligencia los datos generales y selecciona el nivel actual (N0–N5) para cada práctica usando el dropdown.</t>
  </si>
  <si>
    <t>2.</t>
  </si>
  <si>
    <t>Las celdas en ROJO indican que el nivel actual está por debajo del mínimo esperado para ese tipo de mesa (N2 para Ayuda, N3 para Soporte).</t>
  </si>
  <si>
    <t>3.</t>
  </si>
  <si>
    <t>La columna Evidencia es clave: escribe qué observaste concretamente para sustentar el nivel — no opiniones, hechos.</t>
  </si>
  <si>
    <t>4.</t>
  </si>
  <si>
    <t>El Dashboard consolida automáticamente los niveles de las 8 mesas en gráficas comparativas.</t>
  </si>
  <si>
    <t>5.</t>
  </si>
  <si>
    <t>Consulta la hoja Rúbrica para saber exactamente qué significa cada nivel en cada práctica antes de evaluar.</t>
  </si>
  <si>
    <t>6.</t>
  </si>
  <si>
    <t>La hoja Listas contiene todos los valores de los dropdowns — modifícalos allá para que se actualicen en todo el archivo.</t>
  </si>
  <si>
    <t>Listas paramétricas · Modelo de Madurez v1.0</t>
  </si>
  <si>
    <t>Modifica los valores en estas listas — se actualizan automáticamente en todo el archivo</t>
  </si>
  <si>
    <t>Tipo de mesa</t>
  </si>
  <si>
    <t>Sector</t>
  </si>
  <si>
    <t>Cliente</t>
  </si>
  <si>
    <t>Nivel de servicio</t>
  </si>
  <si>
    <t>N0 activo</t>
  </si>
  <si>
    <t>Herramienta de tickets</t>
  </si>
  <si>
    <t>Prioridad de ticket</t>
  </si>
  <si>
    <t>Horario de servicio</t>
  </si>
  <si>
    <t>Mesa de Ayuda</t>
  </si>
  <si>
    <t>Banca</t>
  </si>
  <si>
    <t>SURA</t>
  </si>
  <si>
    <t>Sí</t>
  </si>
  <si>
    <t>ServiceNow</t>
  </si>
  <si>
    <t>Crítico — PDN &lt;1h</t>
  </si>
  <si>
    <t>L-V 7:30AM–5PM</t>
  </si>
  <si>
    <t>Mesa de Soporte</t>
  </si>
  <si>
    <t>Salud (EPS)</t>
  </si>
  <si>
    <t>Bancolombia</t>
  </si>
  <si>
    <t>No</t>
  </si>
  <si>
    <t>Jira Service Management</t>
  </si>
  <si>
    <t>Alto — múltiples usuarios &lt;4h</t>
  </si>
  <si>
    <t>L-V 8AM–6PM</t>
  </si>
  <si>
    <t>Seguros</t>
  </si>
  <si>
    <t>XM</t>
  </si>
  <si>
    <t>En construcción</t>
  </si>
  <si>
    <t>Freshservice</t>
  </si>
  <si>
    <t>Medio — un usuario, workaround &lt;8h</t>
  </si>
  <si>
    <t>L-S 7AM–7PM</t>
  </si>
  <si>
    <t>Retail</t>
  </si>
  <si>
    <t>AES</t>
  </si>
  <si>
    <t>VMC (SURA)</t>
  </si>
  <si>
    <t>Bajo — consulta/mejora &lt;24h</t>
  </si>
  <si>
    <t>24x7 guardia humana</t>
  </si>
  <si>
    <t>Manufactura</t>
  </si>
  <si>
    <t>Medicarte</t>
  </si>
  <si>
    <t>Computer Associates</t>
  </si>
  <si>
    <t>24x7 N0/IA + guardia parcial</t>
  </si>
  <si>
    <t>Gobierno</t>
  </si>
  <si>
    <t>Otro</t>
  </si>
  <si>
    <t>Zendesk</t>
  </si>
  <si>
    <t>Best effort</t>
  </si>
  <si>
    <t>Azure DevOps</t>
  </si>
  <si>
    <t>Herramienta propia PS</t>
  </si>
  <si>
    <t>Sin herramienta definida</t>
  </si>
  <si>
    <t>Rúbrica de evaluación · v1.0 · 17 prácticas operativas + 4 de negocio · Escala N0–N5</t>
  </si>
  <si>
    <t>4 Dimensiones ITIL v5: D1 Organizaciones y Personas · D2 Información y Tecnología · D3 Socios y Proveedores · D4 Flujos de Valor y Procesos</t>
  </si>
  <si>
    <t>#</t>
  </si>
  <si>
    <t>Práctica</t>
  </si>
  <si>
    <t>Origen</t>
  </si>
  <si>
    <t>N0·Autoservicio</t>
  </si>
  <si>
    <t>N1·Inicial</t>
  </si>
  <si>
    <t>N2·Administrado</t>
  </si>
  <si>
    <t>N3·Definido</t>
  </si>
  <si>
    <t>N4·Cuantitativo</t>
  </si>
  <si>
    <t>N5·Optimizado</t>
  </si>
  <si>
    <t>D1 · Organizaciones y Personas — Gobierno, roles y cultura del equipo</t>
  </si>
  <si>
    <t>Gobierno de roles (RACI)</t>
  </si>
  <si>
    <t>Feedback operativo</t>
  </si>
  <si>
    <t>—</t>
  </si>
  <si>
    <t>Héroes aislados</t>
  </si>
  <si>
    <t>Roles informales</t>
  </si>
  <si>
    <t>RACI documentado: Coordinador, Líder Técnico, Especialista</t>
  </si>
  <si>
    <t>Desempeño medido por rol, RACI ajustado con datos</t>
  </si>
  <si>
    <t>IA sugiere reasignación según carga y disponibilidad</t>
  </si>
  <si>
    <t>Capacidad y dimensionamiento del equipo</t>
  </si>
  <si>
    <t>ITIL Foundation</t>
  </si>
  <si>
    <t>Cálculo a ojo</t>
  </si>
  <si>
    <t>Criterio estático que no se revisa</t>
  </si>
  <si>
    <t>Calculadora FTE basada en volumen histórico</t>
  </si>
  <si>
    <t>Se mide % GAP de tiempo muerto y se ajusta capacidad</t>
  </si>
  <si>
    <t>Dimensionamiento dinámico: IA anticipa picos</t>
  </si>
  <si>
    <t>D2 · Información y Tecnología — Herramientas, automatización y datos</t>
  </si>
  <si>
    <t>Herramientas y automatización</t>
  </si>
  <si>
    <t>Dispersas: Excel, correo, chats</t>
  </si>
  <si>
    <t>Solo como bitácora</t>
  </si>
  <si>
    <t>Flujos integrados: escalamiento y notificación automática</t>
  </si>
  <si>
    <t>Se mide % de automatización e impacto en tiempos</t>
  </si>
  <si>
    <t>Agentes IA clasifican, sugieren y resuelven tickets</t>
  </si>
  <si>
    <t>Gestión del conocimiento (KEDB)</t>
  </si>
  <si>
    <t>Monitor, Support &amp; Fulfill</t>
  </si>
  <si>
    <t>KEDB activa y accesible al usuario (base del N0)</t>
  </si>
  <si>
    <t>En la cabeza — bus factor</t>
  </si>
  <si>
    <t>Notas aisladas</t>
  </si>
  <si>
    <t>KEDB centralizada, estructurada y con dueño</t>
  </si>
  <si>
    <t>Uso correlacionado con reducción de tiempo de resolución</t>
  </si>
  <si>
    <t>Auto-sugerencia IA antes de que el humano busque</t>
  </si>
  <si>
    <t>Gestión de integraciones y entorno de aplicaciones</t>
  </si>
  <si>
    <t>Sin documentar</t>
  </si>
  <si>
    <t>Lista básica sin arquitectura</t>
  </si>
  <si>
    <t>Mapa de APIs, dependencias y owner documentado</t>
  </si>
  <si>
    <t>Alertas por criticidad de API afectada</t>
  </si>
  <si>
    <t>Monitoreo AIOps: detecta caídas antes que el usuario</t>
  </si>
  <si>
    <t>Monitoreo y gestión de eventos</t>
  </si>
  <si>
    <t>Sin monitoreo. El usuario reporta los problemas</t>
  </si>
  <si>
    <t>Alertas manuales básicas</t>
  </si>
  <si>
    <t>Monitoreo sistemático con umbrales y alertas automáticas</t>
  </si>
  <si>
    <t>Correlación de eventos para detectar patrones</t>
  </si>
  <si>
    <t>AIOps: predicción y resolución proactiva antes del impacto</t>
  </si>
  <si>
    <t>D3 · Socios y Proveedores — Niveles de servicio, contratos y límites del alcance</t>
  </si>
  <si>
    <t>Service Desk — punto único de contacto</t>
  </si>
  <si>
    <t>Sin punto único. Usuarios contactan por cualquier canal</t>
  </si>
  <si>
    <t>Mesa existe sin roles ni procesos claros</t>
  </si>
  <si>
    <t>Punto único definido: canales, horarios y escalamiento documentado</t>
  </si>
  <si>
    <t>Mesa medida como unidad de negocio: ANS, CSAT, costo/ticket</t>
  </si>
  <si>
    <t>Mesa orquestada por IA: N0 deflecta, N1 clasifica, N2/N3 solo casos complejos</t>
  </si>
  <si>
    <t>Catálogo de servicios y límites del alcance</t>
  </si>
  <si>
    <t>ITIL Service</t>
  </si>
  <si>
    <t>Informal, solo verbal</t>
  </si>
  <si>
    <t>Firmado y olvidado, desactualizado</t>
  </si>
  <si>
    <t>Catálogo vivo: el equipo lo usa como referencia real</t>
  </si>
  <si>
    <t>Costeo por servicio, identifica rentabilidad de cada módulo</t>
  </si>
  <si>
    <t>Ajuste dinámico según demanda real</t>
  </si>
  <si>
    <t>SLA / ANS + XLA por prioridad</t>
  </si>
  <si>
    <t>No medidos o aspiracionales</t>
  </si>
  <si>
    <t>Medición manual al recibir reclamo</t>
  </si>
  <si>
    <t>ANS por prioridad: Crítico &lt;1h · Alto &lt;4h · Medio &lt;8h · Bajo &lt;24h. XLA definido</t>
  </si>
  <si>
    <t>ANS con análisis de tendencia + XLA correlacionado con experiencia real</t>
  </si>
  <si>
    <t>Alertas predictivas de ANS + XLA en tiempo real</t>
  </si>
  <si>
    <t>Disponibilidad y cobertura horaria</t>
  </si>
  <si>
    <t>N0 activo = cobertura 24x7 para solicitudes frecuentes</t>
  </si>
  <si>
    <t>Best effort sin compromiso</t>
  </si>
  <si>
    <t>Horario conocido pero no contractual</t>
  </si>
  <si>
    <t>Horario pactado (ej. L-V 7:30-5PM), GAP administrativo negociado</t>
  </si>
  <si>
    <t>Cumplimiento de cobertura medido y reportado al cliente</t>
  </si>
  <si>
    <t>N0/N1 gestionado por IA fuera de horario: 24x7 efectivo</t>
  </si>
  <si>
    <t>D4 · Flujos de Valor y Procesos — Soporte, incidentes, cambios, transición y CX</t>
  </si>
  <si>
    <t>Gestión de incidentes</t>
  </si>
  <si>
    <t>Reactivo / apagar incendios, sin trazabilidad</t>
  </si>
  <si>
    <t>Registro básico, categorización inconsistente</t>
  </si>
  <si>
    <t>Proceso estándar de registro, triaje y escalamiento N1→N2→N3</t>
  </si>
  <si>
    <t>Tiempos medidos por categoría y nivel con metas claras</t>
  </si>
  <si>
    <t>Auto-resolución IA: clasifica, sugiere, escala solo si confianza baja</t>
  </si>
  <si>
    <t>Gestión de solicitudes</t>
  </si>
  <si>
    <t>Portal N0 resuelve solicitudes frecuentes sin abrir ticket</t>
  </si>
  <si>
    <t>Mezcladas con incidentes, sin distinción</t>
  </si>
  <si>
    <t>Flujo completamente manual</t>
  </si>
  <si>
    <t>Catálogo estándar con tiempos de cumplimiento por tipo</t>
  </si>
  <si>
    <t>ANS medido en tiempo real por tipo de solicitud</t>
  </si>
  <si>
    <t>Portal N0 expandido con IA: resuelve y aprende de cada interacción</t>
  </si>
  <si>
    <t>Gestión de problemas (causa raíz)</t>
  </si>
  <si>
    <t>No existe. Cada incidente se resuelve aislado</t>
  </si>
  <si>
    <t>A voluntad del analista, sin proceso formal</t>
  </si>
  <si>
    <t>Análisis formal cuando incidente se repite más de X veces</t>
  </si>
  <si>
    <t>Se mide reducción de tickets recurrentes tras resolver causa raíz</t>
  </si>
  <si>
    <t>IA detecta patrones ocultos proactivamente</t>
  </si>
  <si>
    <t>Gestión del cambio (Change Enablement)</t>
  </si>
  <si>
    <t>Cambios en producción sin control ni trazabilidad</t>
  </si>
  <si>
    <t>Registro básico sin aprobación formal</t>
  </si>
  <si>
    <t>Proceso documentado: quién solicita, aprueba y despliega (segregación de funciones)</t>
  </si>
  <si>
    <t>Se mide impacto de cambios en incidentes y se ajusta el proceso</t>
  </si>
  <si>
    <t>Cambios evaluados automáticamente por IA según riesgo calculado</t>
  </si>
  <si>
    <t>Transición y onboarding</t>
  </si>
  <si>
    <t>Improvisada, se reinventa con cada cliente</t>
  </si>
  <si>
    <t>Pasos sueltos, no replicables</t>
  </si>
  <si>
    <t>Playbook exacto: inducción, documentación, acuerdos, KEDB</t>
  </si>
  <si>
    <t>Métrica 30 días: calidad del arranque medida con datos reales</t>
  </si>
  <si>
    <t>Plantillas IA aceleran la transición (carga automática)</t>
  </si>
  <si>
    <t>Mejora continua del servicio</t>
  </si>
  <si>
    <t>Collaborate, Assure &amp; Improve</t>
  </si>
  <si>
    <t>Sin proceso de mejora. Solo se reacciona ante crisis</t>
  </si>
  <si>
    <t>Mejoras identificadas sin priorización ni seguimiento</t>
  </si>
  <si>
    <t>Backlog de mejoras activo: priorizado con owner y fecha de revisión</t>
  </si>
  <si>
    <t>Mejoras medidas: antes vs. después con datos reales</t>
  </si>
  <si>
    <t>IA detecta oportunidades de mejora a partir de patrones de operación</t>
  </si>
  <si>
    <t>Experiencia del cliente (CX / NPS / CSAT / XLA)</t>
  </si>
  <si>
    <t>ITIL Experience</t>
  </si>
  <si>
    <t>Satisfacción medida por tasa de resolución autónoma (% sin escalar)</t>
  </si>
  <si>
    <t>Cero quejas = todo OK, sin medición</t>
  </si>
  <si>
    <t>Encuesta anual esporádica sin seguimiento</t>
  </si>
  <si>
    <t>CSAT continuo por ticket + XLA: experiencia percibida medida</t>
  </si>
  <si>
    <t>Cruce operacional: CSAT/XLA correlacionado con tiempos, reincidencia y NPS</t>
  </si>
  <si>
    <t>CX en tiempo real: ajuste proactivo antes de que la insatisfacción se formalice</t>
  </si>
  <si>
    <t>Dimensión de Negocio · Éxito comercial y rentabilidad de PS</t>
  </si>
  <si>
    <t>Salud financiera del contrato</t>
  </si>
  <si>
    <t>Negocio PS</t>
  </si>
  <si>
    <t>Pérdida oculta: margen desconocido</t>
  </si>
  <si>
    <t>Rentabilidad plana, sin optimización</t>
  </si>
  <si>
    <t>Margen por FTE identificado y monitoreado</t>
  </si>
  <si>
    <t>Eficiencia de costo medida: costo/ticket</t>
  </si>
  <si>
    <t>Upselling automatizado: IA detecta oportunidades de expansión</t>
  </si>
  <si>
    <t>Retención y crecimiento de cuenta</t>
  </si>
  <si>
    <t>Riesgo de churn no detectado</t>
  </si>
  <si>
    <t>Renovación incierta, sin plan de cuenta</t>
  </si>
  <si>
    <t>Plan de cuenta activo, renovación gestionada proactivamente</t>
  </si>
  <si>
    <t>Expansión medida: servicios adicionales por cliente</t>
  </si>
  <si>
    <t>Expansión automática: modelo detecta señales de crecimiento</t>
  </si>
  <si>
    <t>NPS / CSAT / XLA del cliente final</t>
  </si>
  <si>
    <t>Cliente silencioso: no se mide lealtad</t>
  </si>
  <si>
    <t>Reactivo: solo se actúa ante queja formal</t>
  </si>
  <si>
    <t>CSAT + XLA sistemáticos, NPS periódico</t>
  </si>
  <si>
    <t>Promotor activo: cliente referencia el servicio con datos</t>
  </si>
  <si>
    <t>Predicción de churn: IA detecta señales antes de la queja</t>
  </si>
  <si>
    <t>Eficiencia de costo operativo</t>
  </si>
  <si>
    <t>Costo/ticket alto e invisible</t>
  </si>
  <si>
    <t>GAP de tiempo muerto sin medir</t>
  </si>
  <si>
    <t>Costo/ticket calculado y comparado contra línea base</t>
  </si>
  <si>
    <t>Reducción medida de costo por automatización incremental</t>
  </si>
  <si>
    <t>Automatización escala sola: costo marginal baja con cada ticket IA</t>
  </si>
  <si>
    <t>Evaluación de Madurez · Cotizadores</t>
  </si>
  <si>
    <t>PersonalSoft · SURA · Modelo de Madurez v1.0 · ITIL v5</t>
  </si>
  <si>
    <t>Nombre de la mesa:</t>
  </si>
  <si>
    <t>Cotizadores</t>
  </si>
  <si>
    <t>Cliente:</t>
  </si>
  <si>
    <t>Sector:</t>
  </si>
  <si>
    <t>Banca/Seguros</t>
  </si>
  <si>
    <t>Tipo de mesa:</t>
  </si>
  <si>
    <t>¿N0 activo?:</t>
  </si>
  <si>
    <t>Evaluador:</t>
  </si>
  <si>
    <t>Fecha de evaluación:</t>
  </si>
  <si>
    <t>Herramienta de tickets:</t>
  </si>
  <si>
    <t>Horario de servicio:</t>
  </si>
  <si>
    <t>Nivel mínimo esperado:</t>
  </si>
  <si>
    <t>Nivel global operativo (promedio):</t>
  </si>
  <si>
    <t>Nivel mínimo (número):</t>
  </si>
  <si>
    <t>Nivel mínimo
esperado</t>
  </si>
  <si>
    <t>Nivel actual
(N0–N5)</t>
  </si>
  <si>
    <t>Nivel objetivo
(N0–N5)</t>
  </si>
  <si>
    <t>Brecha</t>
  </si>
  <si>
    <t>Evidencia / observación</t>
  </si>
  <si>
    <t>Herramienta / Nota</t>
  </si>
  <si>
    <t>Dimensión de Negocio · Éxito comercial y rentabilidad PS</t>
  </si>
  <si>
    <t>Evaluación de Madurez · Venta Canal Digital</t>
  </si>
  <si>
    <t>Venta Canal Digital</t>
  </si>
  <si>
    <t>Evaluación de Madurez · Torre de Control</t>
  </si>
  <si>
    <t>Torre de Control</t>
  </si>
  <si>
    <t>Evaluación de Madurez · Mesa 4</t>
  </si>
  <si>
    <t>Mesa 4</t>
  </si>
  <si>
    <t>Evaluación de Madurez · GIOTI 1</t>
  </si>
  <si>
    <t>PersonalSoft · Bancolombia · Modelo de Madurez v1.0 · ITIL v5</t>
  </si>
  <si>
    <t>GIOTI 1</t>
  </si>
  <si>
    <t>Evaluación de Madurez · GIOTI 2</t>
  </si>
  <si>
    <t>GIOTI 2</t>
  </si>
  <si>
    <t>Evaluación de Madurez · GIOTI 3</t>
  </si>
  <si>
    <t>GIOTI 3</t>
  </si>
  <si>
    <t>Evaluación de Madurez · GIOTI 4</t>
  </si>
  <si>
    <t>GIOTI 4</t>
  </si>
  <si>
    <t>Dashboard Consolidado · Modelo de Madurez · 8 Mesas de Servicio</t>
  </si>
  <si>
    <t>PersonalSoft · ITIL v5 · 4 Dimensiones · 17 Prácticas Operativas + 4 Negocio · Escala N0–N5</t>
  </si>
  <si>
    <t>Mesa de servicio</t>
  </si>
  <si>
    <t>Nivel global
operativo</t>
  </si>
  <si>
    <t>Nivel global
negocio</t>
  </si>
  <si>
    <t xml:space="preserve">Gobierno de roles </t>
  </si>
  <si>
    <t>Capacidad y dimens</t>
  </si>
  <si>
    <t>Herramientas y aut</t>
  </si>
  <si>
    <t>Gestión del conoci</t>
  </si>
  <si>
    <t>Gestión de integra</t>
  </si>
  <si>
    <t>Monitoreo y gestió</t>
  </si>
  <si>
    <t>Service Desk — pun</t>
  </si>
  <si>
    <t>Catálogo de servic</t>
  </si>
  <si>
    <t>SLA / ANS + XLA po</t>
  </si>
  <si>
    <t>Disponibilidad y c</t>
  </si>
  <si>
    <t>Gestión de inciden</t>
  </si>
  <si>
    <t>Gestión de solicit</t>
  </si>
  <si>
    <t>Gestión de problem</t>
  </si>
  <si>
    <t>Gestión del cambio</t>
  </si>
  <si>
    <t>Transición y onboa</t>
  </si>
  <si>
    <t>Mejora continua de</t>
  </si>
  <si>
    <t>Experiencia del cl</t>
  </si>
  <si>
    <t>Salud financiera d</t>
  </si>
  <si>
    <t>Retención y crecim</t>
  </si>
  <si>
    <t>NPS / CSAT / XLA d</t>
  </si>
  <si>
    <t>Eficiencia de cost</t>
  </si>
  <si>
    <t>Promedios por dimensión (todas las mesas)</t>
  </si>
  <si>
    <t>D1 · Org. y Personas</t>
  </si>
  <si>
    <t>D2 · Info. y Tecnología</t>
  </si>
  <si>
    <t>D4 · Flujos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</si>
</sst>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47" x14ac:knownFonts="1">
    <font>
      <sz val="11"/>
      <color theme="1"/>
      <name val="Calibri"/>
      <family val="2"/>
      <charset val="1"/>
    </font>
    <font>
      <b/>
      <sz val="16"/>
      <color rgb="FF26215C"/>
      <name val="Calibri"/>
      <charset val="1"/>
    </font>
    <font>
      <i/>
      <sz val="10"/>
      <color rgb="FF5F5E5A"/>
      <name val="Calibri"/>
      <charset val="1"/>
    </font>
    <font>
      <b/>
      <sz val="11"/>
      <color rgb="FF26215C"/>
      <name val="Calibri"/>
      <charset val="1"/>
    </font>
    <font>
      <b/>
      <sz val="10"/>
      <color rgb="FF26215C"/>
      <name val="Calibri"/>
      <charset val="1"/>
    </font>
    <font>
      <sz val="10"/>
      <color rgb="FF2C2C2A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i/>
      <sz val="9"/>
      <color rgb="FF888888"/>
      <name val="Calibri"/>
      <charset val="1"/>
    </font>
    <font>
      <b/>
      <sz val="14"/>
      <color rgb="FF26215C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085041"/>
      <name val="Calibri"/>
      <charset val="1"/>
    </font>
    <font>
      <b/>
      <sz val="9"/>
      <color rgb="FF712B13"/>
      <name val="Calibri"/>
      <charset val="1"/>
    </font>
    <font>
      <b/>
      <sz val="9"/>
      <color rgb="FF633806"/>
      <name val="Calibri"/>
      <charset val="1"/>
    </font>
    <font>
      <b/>
      <sz val="9"/>
      <color rgb="FF0C447C"/>
      <name val="Calibri"/>
      <charset val="1"/>
    </font>
    <font>
      <b/>
      <sz val="9"/>
      <color rgb="FF3C3489"/>
      <name val="Calibri"/>
      <charset val="1"/>
    </font>
    <font>
      <b/>
      <sz val="11"/>
      <color rgb="FF0C447C"/>
      <name val="Calibri"/>
      <charset val="1"/>
    </font>
    <font>
      <b/>
      <sz val="10"/>
      <color rgb="FF0C447C"/>
      <name val="Calibri"/>
      <charset val="1"/>
    </font>
    <font>
      <sz val="9"/>
      <color rgb="FF712B13"/>
      <name val="Calibri"/>
      <charset val="1"/>
    </font>
    <font>
      <i/>
      <sz val="9"/>
      <color rgb="FF2C2C2A"/>
      <name val="Calibri"/>
      <charset val="1"/>
    </font>
    <font>
      <sz val="9"/>
      <color rgb="FF2C2C2A"/>
      <name val="Calibri"/>
      <charset val="1"/>
    </font>
    <font>
      <sz val="9"/>
      <color rgb="FF633806"/>
      <name val="Calibri"/>
      <charset val="1"/>
    </font>
    <font>
      <b/>
      <sz val="11"/>
      <color rgb="FF633806"/>
      <name val="Calibri"/>
      <charset val="1"/>
    </font>
    <font>
      <b/>
      <sz val="10"/>
      <color rgb="FF633806"/>
      <name val="Calibri"/>
      <charset val="1"/>
    </font>
    <font>
      <sz val="9"/>
      <color rgb="FF085041"/>
      <name val="Calibri"/>
      <charset val="1"/>
    </font>
    <font>
      <b/>
      <sz val="11"/>
      <color rgb="FF3C3489"/>
      <name val="Calibri"/>
      <charset val="1"/>
    </font>
    <font>
      <b/>
      <sz val="10"/>
      <color rgb="FF3C3489"/>
      <name val="Calibri"/>
      <charset val="1"/>
    </font>
    <font>
      <sz val="9"/>
      <color rgb="FF0C447C"/>
      <name val="Calibri"/>
      <charset val="1"/>
    </font>
    <font>
      <b/>
      <sz val="11"/>
      <color rgb="FF085041"/>
      <name val="Calibri"/>
      <charset val="1"/>
    </font>
    <font>
      <b/>
      <sz val="10"/>
      <color rgb="FF085041"/>
      <name val="Calibri"/>
      <charset val="1"/>
    </font>
    <font>
      <sz val="9"/>
      <color rgb="FF3C3489"/>
      <name val="Calibri"/>
      <charset val="1"/>
    </font>
    <font>
      <b/>
      <sz val="11"/>
      <color rgb="FFCECBF6"/>
      <name val="Calibri"/>
      <charset val="1"/>
    </font>
    <font>
      <b/>
      <sz val="10"/>
      <color rgb="FFCECBF6"/>
      <name val="Calibri"/>
      <charset val="1"/>
    </font>
    <font>
      <sz val="9"/>
      <color rgb="FFCECBF6"/>
      <name val="Calibri"/>
      <charset val="1"/>
    </font>
    <font>
      <b/>
      <sz val="14"/>
      <color rgb="FF712B13"/>
      <name val="Calibri"/>
      <charset val="1"/>
    </font>
    <font>
      <b/>
      <sz val="11"/>
      <color rgb="FF1D9E75"/>
      <name val="Calibri"/>
      <charset val="1"/>
    </font>
    <font>
      <b/>
      <sz val="13"/>
      <color rgb="FF1D9E75"/>
      <name val="Calibri"/>
      <charset val="1"/>
    </font>
    <font>
      <sz val="9"/>
      <color rgb="FF888780"/>
      <name val="Calibri"/>
      <charset val="1"/>
    </font>
    <font>
      <sz val="9"/>
      <color rgb="FF1D9E75"/>
      <name val="Calibri"/>
      <charset val="1"/>
    </font>
    <font>
      <b/>
      <sz val="11"/>
      <color rgb="FF2C2C2A"/>
      <name val="Calibri"/>
      <charset val="1"/>
    </font>
    <font>
      <b/>
      <sz val="14"/>
      <color rgb="FF0C447C"/>
      <name val="Calibri"/>
      <charset val="1"/>
    </font>
    <font>
      <b/>
      <sz val="8"/>
      <color rgb="FF0C447C"/>
      <name val="Calibri"/>
      <charset val="1"/>
    </font>
    <font>
      <b/>
      <sz val="8"/>
      <color rgb="FF633806"/>
      <name val="Calibri"/>
      <charset val="1"/>
    </font>
    <font>
      <b/>
      <sz val="8"/>
      <color rgb="FF3C3489"/>
      <name val="Calibri"/>
      <charset val="1"/>
    </font>
    <font>
      <b/>
      <sz val="8"/>
      <color rgb="FF085041"/>
      <name val="Calibri"/>
      <charset val="1"/>
    </font>
    <font>
      <b/>
      <sz val="8"/>
      <color rgb="FFCECBF6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E6F1FB"/>
        <bgColor rgb="FFEEEDFE"/>
      </patternFill>
    </fill>
    <fill>
      <patternFill patternType="solid">
        <fgColor rgb="FF26215C"/>
        <bgColor rgb="FF2C2C2A"/>
      </patternFill>
    </fill>
    <fill>
      <patternFill patternType="solid">
        <fgColor rgb="FFF8F7F4"/>
        <bgColor rgb="FFF0F8FF"/>
      </patternFill>
    </fill>
    <fill>
      <patternFill patternType="solid">
        <fgColor rgb="FFFFFFFF"/>
        <bgColor rgb="FFF8F7F4"/>
      </patternFill>
    </fill>
    <fill>
      <patternFill patternType="solid">
        <fgColor rgb="FFE1F5EE"/>
        <bgColor rgb="FFE6F1FB"/>
      </patternFill>
    </fill>
    <fill>
      <patternFill patternType="solid">
        <fgColor rgb="FFFAECE7"/>
        <bgColor rgb="FFFAEEDA"/>
      </patternFill>
    </fill>
    <fill>
      <patternFill patternType="solid">
        <fgColor rgb="FFFAEEDA"/>
        <bgColor rgb="FFFAECE7"/>
      </patternFill>
    </fill>
    <fill>
      <patternFill patternType="solid">
        <fgColor rgb="FFEEEDFE"/>
        <bgColor rgb="FFE6F1FB"/>
      </patternFill>
    </fill>
    <fill>
      <patternFill patternType="solid">
        <fgColor rgb="FF3C3489"/>
        <bgColor rgb="FF4C395F"/>
      </patternFill>
    </fill>
    <fill>
      <patternFill patternType="solid">
        <fgColor rgb="FFFFF8CC"/>
        <bgColor rgb="FFFAEEDA"/>
      </patternFill>
    </fill>
    <fill>
      <patternFill patternType="solid">
        <fgColor rgb="FF085041"/>
        <bgColor rgb="FF0C447C"/>
      </patternFill>
    </fill>
    <fill>
      <patternFill patternType="solid">
        <fgColor rgb="FF712B13"/>
        <bgColor rgb="FF633806"/>
      </patternFill>
    </fill>
    <fill>
      <patternFill patternType="solid">
        <fgColor rgb="FFF0F8FF"/>
        <bgColor rgb="FFF8F7F4"/>
      </patternFill>
    </fill>
    <fill>
      <patternFill patternType="solid">
        <fgColor rgb="FF1D9E75"/>
        <bgColor rgb="FF4592A6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6" fillId="6" borderId="1" xfId="0" applyFon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35" fillId="0" borderId="0" xfId="0" applyFont="1"/>
    <xf numFmtId="0" fontId="32" fillId="3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9" fillId="0" borderId="0" xfId="0" applyFont="1"/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34" fillId="10" borderId="1" xfId="0" applyFont="1" applyFill="1" applyBorder="1" applyAlignment="1">
      <alignment horizontal="left" vertical="center" wrapText="1"/>
    </xf>
    <xf numFmtId="0" fontId="4" fillId="0" borderId="0" xfId="0" applyFont="1"/>
    <xf numFmtId="0" fontId="37" fillId="6" borderId="1" xfId="0" applyFont="1" applyFill="1" applyBorder="1" applyAlignment="1">
      <alignment horizontal="center" vertical="center" wrapText="1"/>
    </xf>
    <xf numFmtId="0" fontId="38" fillId="0" borderId="0" xfId="0" applyFont="1"/>
    <xf numFmtId="0" fontId="38" fillId="0" borderId="1" xfId="0" applyFont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36" fillId="6" borderId="1" xfId="0" applyNumberFormat="1" applyFont="1" applyFill="1" applyBorder="1" applyAlignment="1">
      <alignment horizontal="center" vertical="center" wrapText="1"/>
    </xf>
    <xf numFmtId="165" fontId="32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0" xfId="0" applyNumberFormat="1"/>
    <xf numFmtId="0" fontId="18" fillId="2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41" fillId="0" borderId="0" xfId="0" applyFont="1"/>
    <xf numFmtId="0" fontId="1" fillId="0" borderId="0" xfId="0" applyFont="1"/>
  </cellXfs>
  <cellStyles count="1">
    <cellStyle name="Normal" xfId="0" builtinId="0"/>
  </cellStyles>
  <dxfs count="24"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  <dxf>
      <fill>
        <patternFill>
          <bgColor rgb="FFFFD0CC"/>
        </patternFill>
      </fill>
    </dxf>
    <dxf>
      <fill>
        <patternFill>
          <bgColor rgb="FFE1F5EE"/>
        </patternFill>
      </fill>
    </dxf>
    <dxf>
      <fill>
        <patternFill>
          <bgColor rgb="FFFFD0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888888"/>
      <rgbColor rgb="FF7F9651"/>
      <rgbColor rgb="FFEEEDFE"/>
      <rgbColor rgb="FFFAECE7"/>
      <rgbColor rgb="FF847F9E"/>
      <rgbColor rgb="FFAFC5DA"/>
      <rgbColor rgb="FF935831"/>
      <rgbColor rgb="FF5C6F33"/>
      <rgbColor rgb="FF26215C"/>
      <rgbColor rgb="FF6E853F"/>
      <rgbColor rgb="FF5B4773"/>
      <rgbColor rgb="FF327689"/>
      <rgbColor rgb="FFB3B3B3"/>
      <rgbColor rgb="FF8C857F"/>
      <rgbColor rgb="FFA5A8C8"/>
      <rgbColor rgb="FF843533"/>
      <rgbColor rgb="FFFFF8CC"/>
      <rgbColor rgb="FFE1F5EE"/>
      <rgbColor rgb="FF4C395F"/>
      <rgbColor rgb="FFF09F6B"/>
      <rgbColor rgb="FF375C87"/>
      <rgbColor rgb="FFCECBF6"/>
      <rgbColor rgb="FF2C526E"/>
      <rgbColor rgb="FFC0938B"/>
      <rgbColor rgb="FFD9D9D9"/>
      <rgbColor rgb="FF7393B0"/>
      <rgbColor rgb="FF5F5E5A"/>
      <rgbColor rgb="FFB06B31"/>
      <rgbColor rgb="FF436A97"/>
      <rgbColor rgb="FFF8F7F4"/>
      <rgbColor rgb="FF4592A6"/>
      <rgbColor rgb="FFE6F1FB"/>
      <rgbColor rgb="FFF0F8FF"/>
      <rgbColor rgb="FFFAEEDA"/>
      <rgbColor rgb="FF99CCFF"/>
      <rgbColor rgb="FFF2B799"/>
      <rgbColor rgb="FFDBBCBB"/>
      <rgbColor rgb="FFFFD0CC"/>
      <rgbColor rgb="FF4B7BB4"/>
      <rgbColor rgb="FF76A6C7"/>
      <rgbColor rgb="FF9AB563"/>
      <rgbColor rgb="FFD3D1C7"/>
      <rgbColor rgb="FFE48B40"/>
      <rgbColor rgb="FFC6774D"/>
      <rgbColor rgb="FF6F598A"/>
      <rgbColor rgb="FF909A90"/>
      <rgbColor rgb="FF0C447C"/>
      <rgbColor rgb="FF1D9E75"/>
      <rgbColor rgb="FF085041"/>
      <rgbColor rgb="FF633806"/>
      <rgbColor rgb="FF712B13"/>
      <rgbColor rgb="FFA94642"/>
      <rgbColor rgb="FF3C348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Nivel global operativo por mesa (N0–N5)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Dashboard!$G$5</c:f>
              <c:strCache>
                <c:ptCount val="1"/>
                <c:pt idx="0">
                  <c:v>Nivel global
operativo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Dashboard!$B$6:$B$13</c:f>
              <c:strCache>
                <c:ptCount val="8"/>
                <c:pt idx="0">
                  <c:v>Cotizadores</c:v>
                </c:pt>
                <c:pt idx="1">
                  <c:v>Venta Canal Digital</c:v>
                </c:pt>
                <c:pt idx="2">
                  <c:v>Torre de Control</c:v>
                </c:pt>
                <c:pt idx="3">
                  <c:v>Mesa 4</c:v>
                </c:pt>
                <c:pt idx="4">
                  <c:v>GIOTI 1</c:v>
                </c:pt>
                <c:pt idx="5">
                  <c:v>GIOTI 2</c:v>
                </c:pt>
                <c:pt idx="6">
                  <c:v>GIOTI 3</c:v>
                </c:pt>
                <c:pt idx="7">
                  <c:v>GIOTI 4</c:v>
                </c:pt>
              </c:strCache>
            </c:strRef>
          </c:cat>
          <c:val>
            <c:numRef>
              <c:f>Dashboard!$G$6:$G$13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3-4591-942E-76D97D41F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53241"/>
        <c:axId val="66449949"/>
      </c:barChart>
      <c:catAx>
        <c:axId val="13753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6449949"/>
        <c:crosses val="autoZero"/>
        <c:auto val="1"/>
        <c:lblAlgn val="ctr"/>
        <c:lblOffset val="100"/>
        <c:noMultiLvlLbl val="0"/>
      </c:catAx>
      <c:valAx>
        <c:axId val="66449949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Nivel (N0=0 … N5=5)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3753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Perfil de madurez por dimensión ITIL v5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Cotizadores</c:v>
          </c:tx>
          <c:spPr>
            <a:gradFill>
              <a:gsLst>
                <a:gs pos="0">
                  <a:srgbClr val="2B4667"/>
                </a:gs>
                <a:gs pos="80000">
                  <a:srgbClr val="385C86"/>
                </a:gs>
                <a:gs pos="100000">
                  <a:srgbClr val="385C87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Dashboard!$I$30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4-4D3C-BAF3-09E627B46F0F}"/>
            </c:ext>
          </c:extLst>
        </c:ser>
        <c:ser>
          <c:idx val="1"/>
          <c:order val="1"/>
          <c:tx>
            <c:v>Venta Canal Digital</c:v>
          </c:tx>
          <c:spPr>
            <a:gradFill>
              <a:gsLst>
                <a:gs pos="0">
                  <a:srgbClr val="692C29"/>
                </a:gs>
                <a:gs pos="80000">
                  <a:srgbClr val="893936"/>
                </a:gs>
                <a:gs pos="100000">
                  <a:srgbClr val="8A3936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Dashboard!$J$30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4-4D3C-BAF3-09E627B46F0F}"/>
            </c:ext>
          </c:extLst>
        </c:ser>
        <c:ser>
          <c:idx val="2"/>
          <c:order val="2"/>
          <c:tx>
            <c:v>Torre de Control</c:v>
          </c:tx>
          <c:spPr>
            <a:gradFill>
              <a:gsLst>
                <a:gs pos="0">
                  <a:srgbClr val="556630"/>
                </a:gs>
                <a:gs pos="80000">
                  <a:srgbClr val="6E853E"/>
                </a:gs>
                <a:gs pos="100000">
                  <a:srgbClr val="6E863F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Dashboard!$K$30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04-4D3C-BAF3-09E627B46F0F}"/>
            </c:ext>
          </c:extLst>
        </c:ser>
        <c:ser>
          <c:idx val="3"/>
          <c:order val="3"/>
          <c:tx>
            <c:v>Mesa 4</c:v>
          </c:tx>
          <c:spPr>
            <a:gradFill>
              <a:gsLst>
                <a:gs pos="0">
                  <a:srgbClr val="463658"/>
                </a:gs>
                <a:gs pos="80000">
                  <a:srgbClr val="5B4673"/>
                </a:gs>
                <a:gs pos="100000">
                  <a:srgbClr val="5B4773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Dashboard!$L$30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04-4D3C-BAF3-09E627B46F0F}"/>
            </c:ext>
          </c:extLst>
        </c:ser>
        <c:ser>
          <c:idx val="4"/>
          <c:order val="4"/>
          <c:tx>
            <c:v>GIOTI 1</c:v>
          </c:tx>
          <c:spPr>
            <a:gradFill>
              <a:gsLst>
                <a:gs pos="0">
                  <a:srgbClr val="295E6C"/>
                </a:gs>
                <a:gs pos="80000">
                  <a:srgbClr val="357B8D"/>
                </a:gs>
                <a:gs pos="100000">
                  <a:srgbClr val="357B8E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Dashboard!$I$31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04-4D3C-BAF3-09E627B46F0F}"/>
            </c:ext>
          </c:extLst>
        </c:ser>
        <c:ser>
          <c:idx val="5"/>
          <c:order val="5"/>
          <c:tx>
            <c:v>GIOTI 2</c:v>
          </c:tx>
          <c:spPr>
            <a:gradFill>
              <a:gsLst>
                <a:gs pos="0">
                  <a:srgbClr val="875226"/>
                </a:gs>
                <a:gs pos="80000">
                  <a:srgbClr val="B06A31"/>
                </a:gs>
                <a:gs pos="100000">
                  <a:srgbClr val="B16B31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Dashboard!$J$31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04-4D3C-BAF3-09E627B46F0F}"/>
            </c:ext>
          </c:extLst>
        </c:ser>
        <c:ser>
          <c:idx val="6"/>
          <c:order val="6"/>
          <c:tx>
            <c:v>GIOTI 3</c:v>
          </c:tx>
          <c:spPr>
            <a:gradFill>
              <a:gsLst>
                <a:gs pos="0">
                  <a:srgbClr val="315278"/>
                </a:gs>
                <a:gs pos="80000">
                  <a:srgbClr val="406A9B"/>
                </a:gs>
                <a:gs pos="100000">
                  <a:srgbClr val="416B9C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Dashboard!$K$31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04-4D3C-BAF3-09E627B46F0F}"/>
            </c:ext>
          </c:extLst>
        </c:ser>
        <c:ser>
          <c:idx val="7"/>
          <c:order val="7"/>
          <c:tx>
            <c:v>GIOTI 4</c:v>
          </c:tx>
          <c:spPr>
            <a:gradFill>
              <a:gsLst>
                <a:gs pos="0">
                  <a:srgbClr val="7A3230"/>
                </a:gs>
                <a:gs pos="80000">
                  <a:srgbClr val="9E413E"/>
                </a:gs>
                <a:gs pos="100000">
                  <a:srgbClr val="9F423F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Dashboard!$L$31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04-4D3C-BAF3-09E627B46F0F}"/>
            </c:ext>
          </c:extLst>
        </c:ser>
        <c:ser>
          <c:idx val="8"/>
          <c:order val="8"/>
          <c:spPr>
            <a:gradFill>
              <a:gsLst>
                <a:gs pos="0">
                  <a:srgbClr val="627738"/>
                </a:gs>
                <a:gs pos="80000">
                  <a:srgbClr val="7F9B49"/>
                </a:gs>
                <a:gs pos="100000">
                  <a:srgbClr val="809B49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04-4D3C-BAF3-09E627B46F0F}"/>
            </c:ext>
          </c:extLst>
        </c:ser>
        <c:ser>
          <c:idx val="9"/>
          <c:order val="9"/>
          <c:spPr>
            <a:gradFill>
              <a:gsLst>
                <a:gs pos="0">
                  <a:srgbClr val="513F66"/>
                </a:gs>
                <a:gs pos="80000">
                  <a:srgbClr val="695285"/>
                </a:gs>
                <a:gs pos="100000">
                  <a:srgbClr val="6A5286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04-4D3C-BAF3-09E627B46F0F}"/>
            </c:ext>
          </c:extLst>
        </c:ser>
        <c:ser>
          <c:idx val="10"/>
          <c:order val="10"/>
          <c:spPr>
            <a:gradFill>
              <a:gsLst>
                <a:gs pos="0">
                  <a:srgbClr val="2F6D7E"/>
                </a:gs>
                <a:gs pos="80000">
                  <a:srgbClr val="3E8EA3"/>
                </a:gs>
                <a:gs pos="100000">
                  <a:srgbClr val="3E8FA4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04-4D3C-BAF3-09E627B46F0F}"/>
            </c:ext>
          </c:extLst>
        </c:ser>
        <c:ser>
          <c:idx val="11"/>
          <c:order val="11"/>
          <c:spPr>
            <a:gradFill>
              <a:gsLst>
                <a:gs pos="0">
                  <a:srgbClr val="9D5F2C"/>
                </a:gs>
                <a:gs pos="80000">
                  <a:srgbClr val="CC7C39"/>
                </a:gs>
                <a:gs pos="100000">
                  <a:srgbClr val="CD7C39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04-4D3C-BAF3-09E627B46F0F}"/>
            </c:ext>
          </c:extLst>
        </c:ser>
        <c:ser>
          <c:idx val="12"/>
          <c:order val="12"/>
          <c:spPr>
            <a:gradFill>
              <a:gsLst>
                <a:gs pos="0">
                  <a:srgbClr val="375B86"/>
                </a:gs>
                <a:gs pos="80000">
                  <a:srgbClr val="4877AE"/>
                </a:gs>
                <a:gs pos="100000">
                  <a:srgbClr val="4977AF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04-4D3C-BAF3-09E627B46F0F}"/>
            </c:ext>
          </c:extLst>
        </c:ser>
        <c:ser>
          <c:idx val="13"/>
          <c:order val="13"/>
          <c:spPr>
            <a:gradFill>
              <a:gsLst>
                <a:gs pos="0">
                  <a:srgbClr val="883836"/>
                </a:gs>
                <a:gs pos="80000">
                  <a:srgbClr val="B14946"/>
                </a:gs>
                <a:gs pos="100000">
                  <a:srgbClr val="B24947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04-4D3C-BAF3-09E627B46F0F}"/>
            </c:ext>
          </c:extLst>
        </c:ser>
        <c:ser>
          <c:idx val="14"/>
          <c:order val="14"/>
          <c:spPr>
            <a:gradFill>
              <a:gsLst>
                <a:gs pos="0">
                  <a:srgbClr val="6E843F"/>
                </a:gs>
                <a:gs pos="80000">
                  <a:srgbClr val="8FAC52"/>
                </a:gs>
                <a:gs pos="100000">
                  <a:srgbClr val="90AD52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404-4D3C-BAF3-09E627B46F0F}"/>
            </c:ext>
          </c:extLst>
        </c:ser>
        <c:ser>
          <c:idx val="15"/>
          <c:order val="15"/>
          <c:spPr>
            <a:gradFill>
              <a:gsLst>
                <a:gs pos="0">
                  <a:srgbClr val="5B4672"/>
                </a:gs>
                <a:gs pos="80000">
                  <a:srgbClr val="765C95"/>
                </a:gs>
                <a:gs pos="100000">
                  <a:srgbClr val="765C95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404-4D3C-BAF3-09E627B46F0F}"/>
            </c:ext>
          </c:extLst>
        </c:ser>
        <c:ser>
          <c:idx val="16"/>
          <c:order val="16"/>
          <c:spPr>
            <a:gradFill>
              <a:gsLst>
                <a:gs pos="0">
                  <a:srgbClr val="347A8D"/>
                </a:gs>
                <a:gs pos="80000">
                  <a:srgbClr val="449EB7"/>
                </a:gs>
                <a:gs pos="100000">
                  <a:srgbClr val="459FB7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404-4D3C-BAF3-09E627B46F0F}"/>
            </c:ext>
          </c:extLst>
        </c:ser>
        <c:ser>
          <c:idx val="17"/>
          <c:order val="17"/>
          <c:spPr>
            <a:gradFill>
              <a:gsLst>
                <a:gs pos="0">
                  <a:srgbClr val="AF6A31"/>
                </a:gs>
                <a:gs pos="80000">
                  <a:srgbClr val="E38A3F"/>
                </a:gs>
                <a:gs pos="100000">
                  <a:srgbClr val="E48B40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404-4D3C-BAF3-09E627B46F0F}"/>
            </c:ext>
          </c:extLst>
        </c:ser>
        <c:ser>
          <c:idx val="18"/>
          <c:order val="18"/>
          <c:spPr>
            <a:gradFill>
              <a:gsLst>
                <a:gs pos="0">
                  <a:srgbClr val="556E92"/>
                </a:gs>
                <a:gs pos="80000">
                  <a:srgbClr val="6F8FBD"/>
                </a:gs>
                <a:gs pos="100000">
                  <a:srgbClr val="6F90BE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404-4D3C-BAF3-09E627B46F0F}"/>
            </c:ext>
          </c:extLst>
        </c:ser>
        <c:ser>
          <c:idx val="19"/>
          <c:order val="19"/>
          <c:spPr>
            <a:gradFill>
              <a:gsLst>
                <a:gs pos="0">
                  <a:srgbClr val="945555"/>
                </a:gs>
                <a:gs pos="80000">
                  <a:srgbClr val="C06F6E"/>
                </a:gs>
                <a:gs pos="100000">
                  <a:srgbClr val="C16F6E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404-4D3C-BAF3-09E627B46F0F}"/>
            </c:ext>
          </c:extLst>
        </c:ser>
        <c:ser>
          <c:idx val="20"/>
          <c:order val="20"/>
          <c:spPr>
            <a:gradFill>
              <a:gsLst>
                <a:gs pos="0">
                  <a:srgbClr val="7D9159"/>
                </a:gs>
                <a:gs pos="80000">
                  <a:srgbClr val="A2BC74"/>
                </a:gs>
                <a:gs pos="100000">
                  <a:srgbClr val="A3BD74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Dashboard!$I$35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404-4D3C-BAF3-09E627B46F0F}"/>
            </c:ext>
          </c:extLst>
        </c:ser>
        <c:ser>
          <c:idx val="21"/>
          <c:order val="21"/>
          <c:spPr>
            <a:gradFill>
              <a:gsLst>
                <a:gs pos="0">
                  <a:srgbClr val="6D5E81"/>
                </a:gs>
                <a:gs pos="80000">
                  <a:srgbClr val="8E7BA8"/>
                </a:gs>
                <a:gs pos="100000">
                  <a:srgbClr val="8F7BA9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Dashboard!$J$35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404-4D3C-BAF3-09E627B46F0F}"/>
            </c:ext>
          </c:extLst>
        </c:ser>
        <c:ser>
          <c:idx val="22"/>
          <c:order val="22"/>
          <c:spPr>
            <a:gradFill>
              <a:gsLst>
                <a:gs pos="0">
                  <a:srgbClr val="548798"/>
                </a:gs>
                <a:gs pos="80000">
                  <a:srgbClr val="6DB0C5"/>
                </a:gs>
                <a:gs pos="100000">
                  <a:srgbClr val="6DB1C6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Dashboard!$K$35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404-4D3C-BAF3-09E627B46F0F}"/>
            </c:ext>
          </c:extLst>
        </c:ser>
        <c:ser>
          <c:idx val="23"/>
          <c:order val="23"/>
          <c:spPr>
            <a:gradFill>
              <a:gsLst>
                <a:gs pos="0">
                  <a:srgbClr val="B87A52"/>
                </a:gs>
                <a:gs pos="80000">
                  <a:srgbClr val="EF9E6A"/>
                </a:gs>
                <a:gs pos="100000">
                  <a:srgbClr val="F09F6B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Dashboard!$L$35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404-4D3C-BAF3-09E627B46F0F}"/>
            </c:ext>
          </c:extLst>
        </c:ser>
        <c:ser>
          <c:idx val="24"/>
          <c:order val="24"/>
          <c:spPr>
            <a:gradFill>
              <a:gsLst>
                <a:gs pos="0">
                  <a:srgbClr val="78859D"/>
                </a:gs>
                <a:gs pos="80000">
                  <a:srgbClr val="9BADCC"/>
                </a:gs>
                <a:gs pos="100000">
                  <a:srgbClr val="9CAECD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404-4D3C-BAF3-09E627B46F0F}"/>
            </c:ext>
          </c:extLst>
        </c:ser>
        <c:ser>
          <c:idx val="25"/>
          <c:order val="25"/>
          <c:spPr>
            <a:gradFill>
              <a:gsLst>
                <a:gs pos="0">
                  <a:srgbClr val="9E7877"/>
                </a:gs>
                <a:gs pos="80000">
                  <a:srgbClr val="CE9B9B"/>
                </a:gs>
                <a:gs pos="100000">
                  <a:srgbClr val="CF9C9B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404-4D3C-BAF3-09E627B46F0F}"/>
            </c:ext>
          </c:extLst>
        </c:ser>
        <c:ser>
          <c:idx val="26"/>
          <c:order val="26"/>
          <c:spPr>
            <a:gradFill>
              <a:gsLst>
                <a:gs pos="0">
                  <a:srgbClr val="8F9C79"/>
                </a:gs>
                <a:gs pos="80000">
                  <a:srgbClr val="BACB9D"/>
                </a:gs>
                <a:gs pos="100000">
                  <a:srgbClr val="BACC9E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404-4D3C-BAF3-09E627B46F0F}"/>
            </c:ext>
          </c:extLst>
        </c:ser>
        <c:ser>
          <c:idx val="27"/>
          <c:order val="27"/>
          <c:spPr>
            <a:gradFill>
              <a:gsLst>
                <a:gs pos="0">
                  <a:srgbClr val="857C92"/>
                </a:gs>
                <a:gs pos="80000">
                  <a:srgbClr val="ADA1BD"/>
                </a:gs>
                <a:gs pos="100000">
                  <a:srgbClr val="AEA2BE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Dashboard!$L$36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404-4D3C-BAF3-09E627B46F0F}"/>
            </c:ext>
          </c:extLst>
        </c:ser>
        <c:ser>
          <c:idx val="28"/>
          <c:order val="28"/>
          <c:spPr>
            <a:gradFill>
              <a:gsLst>
                <a:gs pos="0">
                  <a:srgbClr val="7695A1"/>
                </a:gs>
                <a:gs pos="80000">
                  <a:srgbClr val="9AC2D2"/>
                </a:gs>
                <a:gs pos="100000">
                  <a:srgbClr val="9AC3D3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Dashboard!$I$37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404-4D3C-BAF3-09E627B46F0F}"/>
            </c:ext>
          </c:extLst>
        </c:ser>
        <c:ser>
          <c:idx val="29"/>
          <c:order val="29"/>
          <c:spPr>
            <a:gradFill>
              <a:gsLst>
                <a:gs pos="0">
                  <a:srgbClr val="B98D75"/>
                </a:gs>
                <a:gs pos="80000">
                  <a:srgbClr val="F1B799"/>
                </a:gs>
                <a:gs pos="100000">
                  <a:srgbClr val="F2B799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Dashboard!$J$37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404-4D3C-BAF3-09E627B46F0F}"/>
            </c:ext>
          </c:extLst>
        </c:ser>
        <c:ser>
          <c:idx val="30"/>
          <c:order val="30"/>
          <c:spPr>
            <a:gradFill>
              <a:gsLst>
                <a:gs pos="0">
                  <a:srgbClr val="9098A7"/>
                </a:gs>
                <a:gs pos="80000">
                  <a:srgbClr val="BBC5DA"/>
                </a:gs>
                <a:gs pos="100000">
                  <a:srgbClr val="BCC6DB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Dashboard!$K$37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404-4D3C-BAF3-09E627B46F0F}"/>
            </c:ext>
          </c:extLst>
        </c:ser>
        <c:ser>
          <c:idx val="31"/>
          <c:order val="31"/>
          <c:spPr>
            <a:gradFill>
              <a:gsLst>
                <a:gs pos="0">
                  <a:srgbClr val="A89090"/>
                </a:gs>
                <a:gs pos="80000">
                  <a:srgbClr val="DABBBB"/>
                </a:gs>
                <a:gs pos="100000">
                  <a:srgbClr val="DBBCBB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Dashboard!$I$27:$L$27</c:f>
              <c:strCache>
                <c:ptCount val="4"/>
                <c:pt idx="0">
                  <c:v>D1 · Org. y Personas</c:v>
                </c:pt>
                <c:pt idx="1">
                  <c:v>D2 · Info. y Tecnología</c:v>
                </c:pt>
                <c:pt idx="2">
                  <c:v>D3 · Socios y Proveedores</c:v>
                </c:pt>
                <c:pt idx="3">
                  <c:v>D4 · Flujos de Valor</c:v>
                </c:pt>
              </c:strCache>
            </c:strRef>
          </c:cat>
          <c:val>
            <c:numRef>
              <c:f>Dashboard!$L$37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404-4D3C-BAF3-09E627B46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11424"/>
        <c:axId val="81903933"/>
      </c:radarChart>
      <c:catAx>
        <c:axId val="59811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1903933"/>
        <c:crosses val="autoZero"/>
        <c:auto val="1"/>
        <c:lblAlgn val="ctr"/>
        <c:lblOffset val="100"/>
        <c:noMultiLvlLbl val="0"/>
      </c:catAx>
      <c:valAx>
        <c:axId val="819039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98114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Nivel por dimensión — comparativo entre mesas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D1 · Org. y Personas</c:v>
          </c:tx>
          <c:spPr>
            <a:solidFill>
              <a:srgbClr val="3E659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Dashboard!$H$30:$H$37</c:f>
              <c:strCache>
                <c:ptCount val="8"/>
                <c:pt idx="0">
                  <c:v>Cotizadores</c:v>
                </c:pt>
                <c:pt idx="1">
                  <c:v>Venta Canal Digital</c:v>
                </c:pt>
                <c:pt idx="2">
                  <c:v>Torre de Control</c:v>
                </c:pt>
                <c:pt idx="3">
                  <c:v>Mesa 4</c:v>
                </c:pt>
                <c:pt idx="4">
                  <c:v>GIOTI 1</c:v>
                </c:pt>
                <c:pt idx="5">
                  <c:v>GIOTI 2</c:v>
                </c:pt>
                <c:pt idx="6">
                  <c:v>GIOTI 3</c:v>
                </c:pt>
                <c:pt idx="7">
                  <c:v>GIOTI 4</c:v>
                </c:pt>
              </c:strCache>
            </c:strRef>
          </c:cat>
          <c:val>
            <c:numRef>
              <c:f>Dashboard!$I$30:$I$37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C-4A32-A1D3-6CEBE9EA9664}"/>
            </c:ext>
          </c:extLst>
        </c:ser>
        <c:ser>
          <c:idx val="1"/>
          <c:order val="1"/>
          <c:tx>
            <c:v>D2 · Info. y Tecnología</c:v>
          </c:tx>
          <c:spPr>
            <a:solidFill>
              <a:srgbClr val="4978B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Dashboard!$H$30:$H$37</c:f>
              <c:strCache>
                <c:ptCount val="8"/>
                <c:pt idx="0">
                  <c:v>Cotizadores</c:v>
                </c:pt>
                <c:pt idx="1">
                  <c:v>Venta Canal Digital</c:v>
                </c:pt>
                <c:pt idx="2">
                  <c:v>Torre de Control</c:v>
                </c:pt>
                <c:pt idx="3">
                  <c:v>Mesa 4</c:v>
                </c:pt>
                <c:pt idx="4">
                  <c:v>GIOTI 1</c:v>
                </c:pt>
                <c:pt idx="5">
                  <c:v>GIOTI 2</c:v>
                </c:pt>
                <c:pt idx="6">
                  <c:v>GIOTI 3</c:v>
                </c:pt>
                <c:pt idx="7">
                  <c:v>GIOTI 4</c:v>
                </c:pt>
              </c:strCache>
            </c:strRef>
          </c:cat>
          <c:val>
            <c:numRef>
              <c:f>Dashboard!$J$30:$J$37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C-4A32-A1D3-6CEBE9EA9664}"/>
            </c:ext>
          </c:extLst>
        </c:ser>
        <c:ser>
          <c:idx val="2"/>
          <c:order val="2"/>
          <c:tx>
            <c:v>D3 · Socios y Proveedores</c:v>
          </c:tx>
          <c:spPr>
            <a:solidFill>
              <a:srgbClr val="7E9BC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Dashboard!$H$30:$H$37</c:f>
              <c:strCache>
                <c:ptCount val="8"/>
                <c:pt idx="0">
                  <c:v>Cotizadores</c:v>
                </c:pt>
                <c:pt idx="1">
                  <c:v>Venta Canal Digital</c:v>
                </c:pt>
                <c:pt idx="2">
                  <c:v>Torre de Control</c:v>
                </c:pt>
                <c:pt idx="3">
                  <c:v>Mesa 4</c:v>
                </c:pt>
                <c:pt idx="4">
                  <c:v>GIOTI 1</c:v>
                </c:pt>
                <c:pt idx="5">
                  <c:v>GIOTI 2</c:v>
                </c:pt>
                <c:pt idx="6">
                  <c:v>GIOTI 3</c:v>
                </c:pt>
                <c:pt idx="7">
                  <c:v>GIOTI 4</c:v>
                </c:pt>
              </c:strCache>
            </c:strRef>
          </c:cat>
          <c:val>
            <c:numRef>
              <c:f>Dashboard!$K$30:$K$37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C-4A32-A1D3-6CEBE9EA9664}"/>
            </c:ext>
          </c:extLst>
        </c:ser>
        <c:ser>
          <c:idx val="3"/>
          <c:order val="3"/>
          <c:tx>
            <c:v>D4 · Flujos de Valor</c:v>
          </c:tx>
          <c:spPr>
            <a:solidFill>
              <a:srgbClr val="B5C3D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Dashboard!$H$30:$H$37</c:f>
              <c:strCache>
                <c:ptCount val="8"/>
                <c:pt idx="0">
                  <c:v>Cotizadores</c:v>
                </c:pt>
                <c:pt idx="1">
                  <c:v>Venta Canal Digital</c:v>
                </c:pt>
                <c:pt idx="2">
                  <c:v>Torre de Control</c:v>
                </c:pt>
                <c:pt idx="3">
                  <c:v>Mesa 4</c:v>
                </c:pt>
                <c:pt idx="4">
                  <c:v>GIOTI 1</c:v>
                </c:pt>
                <c:pt idx="5">
                  <c:v>GIOTI 2</c:v>
                </c:pt>
                <c:pt idx="6">
                  <c:v>GIOTI 3</c:v>
                </c:pt>
                <c:pt idx="7">
                  <c:v>GIOTI 4</c:v>
                </c:pt>
              </c:strCache>
            </c:strRef>
          </c:cat>
          <c:val>
            <c:numRef>
              <c:f>Dashboard!$L$30:$L$37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C-4A32-A1D3-6CEBE9EA9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12051"/>
        <c:axId val="81520263"/>
      </c:barChart>
      <c:catAx>
        <c:axId val="3631205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1520263"/>
        <c:crosses val="autoZero"/>
        <c:auto val="1"/>
        <c:lblAlgn val="ctr"/>
        <c:lblOffset val="100"/>
        <c:noMultiLvlLbl val="0"/>
      </c:catAx>
      <c:valAx>
        <c:axId val="8152026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63120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8</xdr:col>
      <xdr:colOff>729360</xdr:colOff>
      <xdr:row>41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7</xdr:col>
      <xdr:colOff>205560</xdr:colOff>
      <xdr:row>60</xdr:row>
      <xdr:rowOff>85680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15</xdr:row>
      <xdr:rowOff>0</xdr:rowOff>
    </xdr:from>
    <xdr:to>
      <xdr:col>33</xdr:col>
      <xdr:colOff>515880</xdr:colOff>
      <xdr:row>41</xdr:row>
      <xdr:rowOff>85680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4"/>
  <sheetViews>
    <sheetView showGridLines="0" topLeftCell="A7" zoomScaleNormal="100" workbookViewId="0">
      <selection activeCell="C36" sqref="C36"/>
    </sheetView>
  </sheetViews>
  <sheetFormatPr baseColWidth="10" defaultColWidth="8.6328125" defaultRowHeight="14.5" x14ac:dyDescent="0.35"/>
  <cols>
    <col min="1" max="1" width="2" customWidth="1"/>
    <col min="2" max="2" width="30" customWidth="1"/>
    <col min="3" max="3" width="90" customWidth="1"/>
    <col min="4" max="4" width="2" customWidth="1"/>
  </cols>
  <sheetData>
    <row r="2" spans="2:3" ht="20.25" customHeight="1" x14ac:dyDescent="0.35">
      <c r="B2" s="14" t="s">
        <v>0</v>
      </c>
      <c r="C2" s="14"/>
    </row>
    <row r="3" spans="2:3" ht="15" customHeight="1" x14ac:dyDescent="0.35">
      <c r="B3" s="13" t="s">
        <v>1</v>
      </c>
      <c r="C3" s="13"/>
    </row>
    <row r="5" spans="2:3" ht="21.75" customHeight="1" x14ac:dyDescent="0.35">
      <c r="B5" s="12" t="s">
        <v>2</v>
      </c>
      <c r="C5" s="12"/>
    </row>
    <row r="6" spans="2:3" ht="18" customHeight="1" x14ac:dyDescent="0.35">
      <c r="B6" s="15" t="s">
        <v>3</v>
      </c>
      <c r="C6" s="16" t="s">
        <v>4</v>
      </c>
    </row>
    <row r="7" spans="2:3" ht="18" customHeight="1" x14ac:dyDescent="0.35">
      <c r="B7" s="15" t="s">
        <v>5</v>
      </c>
      <c r="C7" s="16" t="s">
        <v>6</v>
      </c>
    </row>
    <row r="8" spans="2:3" ht="18" customHeight="1" x14ac:dyDescent="0.35">
      <c r="B8" s="15" t="s">
        <v>7</v>
      </c>
      <c r="C8" s="16" t="s">
        <v>8</v>
      </c>
    </row>
    <row r="9" spans="2:3" ht="18" customHeight="1" x14ac:dyDescent="0.35">
      <c r="B9" s="15" t="s">
        <v>9</v>
      </c>
      <c r="C9" s="16" t="s">
        <v>10</v>
      </c>
    </row>
    <row r="10" spans="2:3" ht="18" customHeight="1" x14ac:dyDescent="0.35">
      <c r="B10" s="15" t="s">
        <v>11</v>
      </c>
      <c r="C10" s="16" t="s">
        <v>12</v>
      </c>
    </row>
    <row r="11" spans="2:3" ht="18" customHeight="1" x14ac:dyDescent="0.35">
      <c r="B11" s="15" t="s">
        <v>13</v>
      </c>
      <c r="C11" s="16" t="s">
        <v>14</v>
      </c>
    </row>
    <row r="13" spans="2:3" ht="21.75" customHeight="1" x14ac:dyDescent="0.35">
      <c r="B13" s="12" t="s">
        <v>15</v>
      </c>
      <c r="C13" s="12"/>
    </row>
    <row r="14" spans="2:3" ht="30" customHeight="1" x14ac:dyDescent="0.35">
      <c r="B14" s="17" t="s">
        <v>16</v>
      </c>
      <c r="C14" s="18" t="s">
        <v>17</v>
      </c>
    </row>
    <row r="15" spans="2:3" ht="30" customHeight="1" x14ac:dyDescent="0.35">
      <c r="B15" s="17" t="s">
        <v>18</v>
      </c>
      <c r="C15" s="18" t="s">
        <v>19</v>
      </c>
    </row>
    <row r="16" spans="2:3" ht="30" customHeight="1" x14ac:dyDescent="0.35">
      <c r="B16" s="17" t="s">
        <v>20</v>
      </c>
      <c r="C16" s="18" t="s">
        <v>21</v>
      </c>
    </row>
    <row r="17" spans="2:3" ht="30" customHeight="1" x14ac:dyDescent="0.35">
      <c r="B17" s="17" t="s">
        <v>22</v>
      </c>
      <c r="C17" s="18" t="s">
        <v>23</v>
      </c>
    </row>
    <row r="18" spans="2:3" ht="30" customHeight="1" x14ac:dyDescent="0.35">
      <c r="B18" s="17" t="s">
        <v>24</v>
      </c>
      <c r="C18" s="18" t="s">
        <v>25</v>
      </c>
    </row>
    <row r="19" spans="2:3" x14ac:dyDescent="0.35">
      <c r="B19" s="19" t="s">
        <v>26</v>
      </c>
    </row>
    <row r="20" spans="2:3" ht="21.75" customHeight="1" x14ac:dyDescent="0.35">
      <c r="B20" s="12" t="s">
        <v>27</v>
      </c>
      <c r="C20" s="12"/>
    </row>
    <row r="21" spans="2:3" ht="18" customHeight="1" x14ac:dyDescent="0.35">
      <c r="B21" s="15" t="s">
        <v>28</v>
      </c>
      <c r="C21" s="16" t="s">
        <v>29</v>
      </c>
    </row>
    <row r="22" spans="2:3" ht="18" customHeight="1" x14ac:dyDescent="0.35">
      <c r="B22" s="15" t="s">
        <v>30</v>
      </c>
      <c r="C22" s="16" t="s">
        <v>31</v>
      </c>
    </row>
    <row r="23" spans="2:3" ht="18" customHeight="1" x14ac:dyDescent="0.35">
      <c r="B23" s="15" t="s">
        <v>32</v>
      </c>
      <c r="C23" s="16" t="s">
        <v>33</v>
      </c>
    </row>
    <row r="24" spans="2:3" ht="18" customHeight="1" x14ac:dyDescent="0.35">
      <c r="B24" s="15" t="s">
        <v>34</v>
      </c>
      <c r="C24" s="16" t="s">
        <v>35</v>
      </c>
    </row>
    <row r="25" spans="2:3" ht="18" customHeight="1" x14ac:dyDescent="0.35">
      <c r="B25" s="15" t="s">
        <v>36</v>
      </c>
      <c r="C25" s="16" t="s">
        <v>37</v>
      </c>
    </row>
    <row r="26" spans="2:3" ht="18" customHeight="1" x14ac:dyDescent="0.35">
      <c r="B26" s="15" t="s">
        <v>38</v>
      </c>
      <c r="C26" s="16" t="s">
        <v>39</v>
      </c>
    </row>
    <row r="28" spans="2:3" ht="21.75" customHeight="1" x14ac:dyDescent="0.35">
      <c r="B28" s="12" t="s">
        <v>40</v>
      </c>
      <c r="C28" s="12"/>
    </row>
    <row r="29" spans="2:3" ht="27.5" customHeight="1" x14ac:dyDescent="0.35">
      <c r="B29" s="15" t="s">
        <v>41</v>
      </c>
      <c r="C29" s="16" t="s">
        <v>42</v>
      </c>
    </row>
    <row r="30" spans="2:3" ht="29" customHeight="1" x14ac:dyDescent="0.35">
      <c r="B30" s="15" t="s">
        <v>43</v>
      </c>
      <c r="C30" s="16" t="s">
        <v>44</v>
      </c>
    </row>
    <row r="31" spans="2:3" ht="30" customHeight="1" x14ac:dyDescent="0.35">
      <c r="B31" s="15" t="s">
        <v>45</v>
      </c>
      <c r="C31" s="16" t="s">
        <v>46</v>
      </c>
    </row>
    <row r="32" spans="2:3" ht="28" customHeight="1" x14ac:dyDescent="0.35">
      <c r="B32" s="15" t="s">
        <v>47</v>
      </c>
      <c r="C32" s="16" t="s">
        <v>48</v>
      </c>
    </row>
    <row r="33" spans="2:3" ht="18" customHeight="1" x14ac:dyDescent="0.35">
      <c r="B33" s="15" t="s">
        <v>49</v>
      </c>
      <c r="C33" s="16" t="s">
        <v>50</v>
      </c>
    </row>
    <row r="34" spans="2:3" ht="30" customHeight="1" x14ac:dyDescent="0.35">
      <c r="B34" s="15" t="s">
        <v>51</v>
      </c>
      <c r="C34" s="16" t="s">
        <v>52</v>
      </c>
    </row>
  </sheetData>
  <mergeCells count="6">
    <mergeCell ref="B28:C28"/>
    <mergeCell ref="B2:C2"/>
    <mergeCell ref="B3:C3"/>
    <mergeCell ref="B5:C5"/>
    <mergeCell ref="B13:C13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showGridLines="0" topLeftCell="B1" zoomScaleNormal="100" workbookViewId="0"/>
  </sheetViews>
  <sheetFormatPr baseColWidth="10" defaultColWidth="8.6328125" defaultRowHeight="14.5" x14ac:dyDescent="0.35"/>
  <cols>
    <col min="1" max="1" width="3" customWidth="1"/>
    <col min="2" max="8" width="22" customWidth="1"/>
    <col min="9" max="9" width="14.08984375" customWidth="1"/>
  </cols>
  <sheetData>
    <row r="2" spans="2:9" ht="17.25" customHeight="1" x14ac:dyDescent="0.45">
      <c r="B2" s="11" t="s">
        <v>53</v>
      </c>
      <c r="C2" s="11"/>
      <c r="D2" s="11"/>
      <c r="E2" s="11"/>
      <c r="F2" s="11"/>
      <c r="G2" s="11"/>
      <c r="H2" s="11"/>
    </row>
    <row r="3" spans="2:9" ht="15" customHeight="1" x14ac:dyDescent="0.35">
      <c r="B3" s="10" t="s">
        <v>54</v>
      </c>
      <c r="C3" s="10"/>
      <c r="D3" s="10"/>
      <c r="E3" s="10"/>
      <c r="F3" s="10"/>
      <c r="G3" s="10"/>
      <c r="H3" s="10"/>
    </row>
    <row r="5" spans="2:9" ht="21.75" customHeight="1" x14ac:dyDescent="0.35">
      <c r="B5" s="20" t="s">
        <v>55</v>
      </c>
      <c r="C5" s="20" t="s">
        <v>56</v>
      </c>
      <c r="D5" s="20" t="s">
        <v>57</v>
      </c>
      <c r="E5" s="20" t="s">
        <v>58</v>
      </c>
      <c r="F5" s="20" t="s">
        <v>59</v>
      </c>
      <c r="G5" s="20" t="s">
        <v>60</v>
      </c>
      <c r="H5" s="20" t="s">
        <v>61</v>
      </c>
      <c r="I5" s="20" t="s">
        <v>62</v>
      </c>
    </row>
    <row r="6" spans="2:9" ht="34.5" customHeight="1" x14ac:dyDescent="0.35">
      <c r="B6" s="21" t="s">
        <v>63</v>
      </c>
      <c r="C6" s="21" t="s">
        <v>64</v>
      </c>
      <c r="D6" s="21" t="s">
        <v>65</v>
      </c>
      <c r="E6" s="21" t="s">
        <v>28</v>
      </c>
      <c r="F6" s="21" t="s">
        <v>66</v>
      </c>
      <c r="G6" s="21" t="s">
        <v>67</v>
      </c>
      <c r="H6" s="21" t="s">
        <v>68</v>
      </c>
      <c r="I6" s="21" t="s">
        <v>69</v>
      </c>
    </row>
    <row r="7" spans="2:9" ht="23.25" customHeight="1" x14ac:dyDescent="0.35">
      <c r="B7" s="22" t="s">
        <v>70</v>
      </c>
      <c r="C7" s="22" t="s">
        <v>71</v>
      </c>
      <c r="D7" s="22" t="s">
        <v>72</v>
      </c>
      <c r="E7" s="22" t="s">
        <v>30</v>
      </c>
      <c r="F7" s="22" t="s">
        <v>73</v>
      </c>
      <c r="G7" s="22" t="s">
        <v>74</v>
      </c>
      <c r="H7" s="22" t="s">
        <v>75</v>
      </c>
      <c r="I7" s="22" t="s">
        <v>76</v>
      </c>
    </row>
    <row r="8" spans="2:9" ht="23.25" customHeight="1" x14ac:dyDescent="0.35">
      <c r="C8" s="21" t="s">
        <v>77</v>
      </c>
      <c r="D8" s="21" t="s">
        <v>78</v>
      </c>
      <c r="E8" s="21" t="s">
        <v>32</v>
      </c>
      <c r="F8" s="21" t="s">
        <v>79</v>
      </c>
      <c r="G8" s="21" t="s">
        <v>80</v>
      </c>
      <c r="H8" s="21" t="s">
        <v>81</v>
      </c>
      <c r="I8" s="21" t="s">
        <v>82</v>
      </c>
    </row>
    <row r="9" spans="2:9" ht="34.5" customHeight="1" x14ac:dyDescent="0.35">
      <c r="C9" s="22" t="s">
        <v>83</v>
      </c>
      <c r="D9" s="22" t="s">
        <v>84</v>
      </c>
      <c r="E9" s="22" t="s">
        <v>34</v>
      </c>
      <c r="G9" s="22" t="s">
        <v>85</v>
      </c>
      <c r="H9" s="22" t="s">
        <v>86</v>
      </c>
      <c r="I9" s="22" t="s">
        <v>87</v>
      </c>
    </row>
    <row r="10" spans="2:9" ht="45.75" customHeight="1" x14ac:dyDescent="0.35">
      <c r="C10" s="21" t="s">
        <v>88</v>
      </c>
      <c r="D10" s="21" t="s">
        <v>89</v>
      </c>
      <c r="E10" s="21" t="s">
        <v>36</v>
      </c>
      <c r="G10" s="21" t="s">
        <v>90</v>
      </c>
      <c r="I10" s="21" t="s">
        <v>91</v>
      </c>
    </row>
    <row r="11" spans="2:9" ht="15" customHeight="1" x14ac:dyDescent="0.35">
      <c r="C11" s="22" t="s">
        <v>92</v>
      </c>
      <c r="D11" s="22" t="s">
        <v>93</v>
      </c>
      <c r="E11" s="22" t="s">
        <v>38</v>
      </c>
      <c r="G11" s="22" t="s">
        <v>94</v>
      </c>
      <c r="I11" s="22" t="s">
        <v>95</v>
      </c>
    </row>
    <row r="12" spans="2:9" ht="15" customHeight="1" x14ac:dyDescent="0.35">
      <c r="C12" s="21" t="s">
        <v>93</v>
      </c>
      <c r="G12" s="21" t="s">
        <v>96</v>
      </c>
    </row>
    <row r="13" spans="2:9" ht="15" customHeight="1" x14ac:dyDescent="0.35">
      <c r="G13" s="22" t="s">
        <v>97</v>
      </c>
    </row>
    <row r="14" spans="2:9" ht="15" customHeight="1" x14ac:dyDescent="0.35">
      <c r="G14" s="21" t="s">
        <v>98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31"/>
  <sheetViews>
    <sheetView showGridLines="0" zoomScaleNormal="100" workbookViewId="0">
      <pane xSplit="4" ySplit="5" topLeftCell="E21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3" customWidth="1"/>
    <col min="2" max="2" width="4" customWidth="1"/>
    <col min="3" max="3" width="32" customWidth="1"/>
    <col min="4" max="4" width="22" customWidth="1"/>
    <col min="5" max="6" width="24" customWidth="1"/>
    <col min="7" max="10" width="28" customWidth="1"/>
  </cols>
  <sheetData>
    <row r="2" spans="2:11" ht="17.25" customHeight="1" x14ac:dyDescent="0.45">
      <c r="B2" s="11" t="s">
        <v>99</v>
      </c>
      <c r="C2" s="11"/>
      <c r="D2" s="11"/>
      <c r="E2" s="11"/>
      <c r="F2" s="11"/>
      <c r="G2" s="11"/>
      <c r="H2" s="11"/>
      <c r="I2" s="11"/>
      <c r="J2" s="11"/>
    </row>
    <row r="3" spans="2:11" ht="15" customHeight="1" x14ac:dyDescent="0.35">
      <c r="B3" s="10" t="s">
        <v>100</v>
      </c>
      <c r="C3" s="10"/>
      <c r="D3" s="10"/>
      <c r="E3" s="10"/>
      <c r="F3" s="10"/>
      <c r="G3" s="10"/>
      <c r="H3" s="10"/>
      <c r="I3" s="10"/>
      <c r="J3" s="10"/>
    </row>
    <row r="5" spans="2:11" ht="27.75" customHeight="1" x14ac:dyDescent="0.35">
      <c r="B5" s="23" t="s">
        <v>101</v>
      </c>
      <c r="C5" s="23" t="s">
        <v>102</v>
      </c>
      <c r="D5" s="23" t="s">
        <v>103</v>
      </c>
      <c r="E5" s="24" t="s">
        <v>104</v>
      </c>
      <c r="F5" s="25" t="s">
        <v>105</v>
      </c>
      <c r="G5" s="26" t="s">
        <v>106</v>
      </c>
      <c r="H5" s="27" t="s">
        <v>107</v>
      </c>
      <c r="I5" s="28" t="s">
        <v>108</v>
      </c>
      <c r="J5" s="24" t="s">
        <v>109</v>
      </c>
    </row>
    <row r="6" spans="2:11" ht="21.75" customHeight="1" x14ac:dyDescent="0.35">
      <c r="B6" s="9" t="s">
        <v>110</v>
      </c>
      <c r="C6" s="9"/>
      <c r="D6" s="9"/>
      <c r="E6" s="9"/>
      <c r="F6" s="9"/>
      <c r="G6" s="9"/>
      <c r="H6" s="9"/>
      <c r="I6" s="9"/>
      <c r="J6" s="9"/>
      <c r="K6" s="9"/>
    </row>
    <row r="7" spans="2:11" ht="60" customHeight="1" x14ac:dyDescent="0.35">
      <c r="B7" s="29">
        <v>1</v>
      </c>
      <c r="C7" s="30" t="s">
        <v>111</v>
      </c>
      <c r="D7" s="31" t="s">
        <v>112</v>
      </c>
      <c r="E7" s="32" t="s">
        <v>113</v>
      </c>
      <c r="F7" s="33" t="s">
        <v>114</v>
      </c>
      <c r="G7" s="33" t="s">
        <v>115</v>
      </c>
      <c r="H7" s="33" t="s">
        <v>116</v>
      </c>
      <c r="I7" s="33" t="s">
        <v>117</v>
      </c>
      <c r="J7" s="33" t="s">
        <v>118</v>
      </c>
    </row>
    <row r="8" spans="2:11" ht="60" customHeight="1" x14ac:dyDescent="0.35">
      <c r="B8" s="29">
        <v>2</v>
      </c>
      <c r="C8" s="30" t="s">
        <v>119</v>
      </c>
      <c r="D8" s="34" t="s">
        <v>120</v>
      </c>
      <c r="E8" s="32" t="s">
        <v>113</v>
      </c>
      <c r="F8" s="33" t="s">
        <v>121</v>
      </c>
      <c r="G8" s="33" t="s">
        <v>122</v>
      </c>
      <c r="H8" s="33" t="s">
        <v>123</v>
      </c>
      <c r="I8" s="33" t="s">
        <v>124</v>
      </c>
      <c r="J8" s="33" t="s">
        <v>125</v>
      </c>
    </row>
    <row r="9" spans="2:11" ht="21.75" customHeight="1" x14ac:dyDescent="0.35">
      <c r="B9" s="8" t="s">
        <v>126</v>
      </c>
      <c r="C9" s="8"/>
      <c r="D9" s="8"/>
      <c r="E9" s="8"/>
      <c r="F9" s="8"/>
      <c r="G9" s="8"/>
      <c r="H9" s="8"/>
      <c r="I9" s="8"/>
      <c r="J9" s="8"/>
      <c r="K9" s="8"/>
    </row>
    <row r="10" spans="2:11" ht="60" customHeight="1" x14ac:dyDescent="0.35">
      <c r="B10" s="29">
        <v>3</v>
      </c>
      <c r="C10" s="35" t="s">
        <v>127</v>
      </c>
      <c r="D10" s="34" t="s">
        <v>120</v>
      </c>
      <c r="E10" s="32" t="s">
        <v>113</v>
      </c>
      <c r="F10" s="33" t="s">
        <v>128</v>
      </c>
      <c r="G10" s="33" t="s">
        <v>129</v>
      </c>
      <c r="H10" s="33" t="s">
        <v>130</v>
      </c>
      <c r="I10" s="33" t="s">
        <v>131</v>
      </c>
      <c r="J10" s="33" t="s">
        <v>132</v>
      </c>
    </row>
    <row r="11" spans="2:11" ht="60" customHeight="1" x14ac:dyDescent="0.35">
      <c r="B11" s="29">
        <v>4</v>
      </c>
      <c r="C11" s="35" t="s">
        <v>133</v>
      </c>
      <c r="D11" s="36" t="s">
        <v>134</v>
      </c>
      <c r="E11" s="32" t="s">
        <v>135</v>
      </c>
      <c r="F11" s="33" t="s">
        <v>136</v>
      </c>
      <c r="G11" s="33" t="s">
        <v>137</v>
      </c>
      <c r="H11" s="33" t="s">
        <v>138</v>
      </c>
      <c r="I11" s="33" t="s">
        <v>139</v>
      </c>
      <c r="J11" s="33" t="s">
        <v>140</v>
      </c>
    </row>
    <row r="12" spans="2:11" ht="60" customHeight="1" x14ac:dyDescent="0.35">
      <c r="B12" s="29">
        <v>5</v>
      </c>
      <c r="C12" s="35" t="s">
        <v>141</v>
      </c>
      <c r="D12" s="31" t="s">
        <v>112</v>
      </c>
      <c r="E12" s="32" t="s">
        <v>113</v>
      </c>
      <c r="F12" s="33" t="s">
        <v>142</v>
      </c>
      <c r="G12" s="33" t="s">
        <v>143</v>
      </c>
      <c r="H12" s="33" t="s">
        <v>144</v>
      </c>
      <c r="I12" s="33" t="s">
        <v>145</v>
      </c>
      <c r="J12" s="33" t="s">
        <v>146</v>
      </c>
    </row>
    <row r="13" spans="2:11" ht="60" customHeight="1" x14ac:dyDescent="0.35">
      <c r="B13" s="29">
        <v>6</v>
      </c>
      <c r="C13" s="35" t="s">
        <v>147</v>
      </c>
      <c r="D13" s="36" t="s">
        <v>134</v>
      </c>
      <c r="E13" s="32" t="s">
        <v>113</v>
      </c>
      <c r="F13" s="33" t="s">
        <v>148</v>
      </c>
      <c r="G13" s="33" t="s">
        <v>149</v>
      </c>
      <c r="H13" s="33" t="s">
        <v>150</v>
      </c>
      <c r="I13" s="33" t="s">
        <v>151</v>
      </c>
      <c r="J13" s="33" t="s">
        <v>152</v>
      </c>
    </row>
    <row r="14" spans="2:11" ht="21.75" customHeight="1" x14ac:dyDescent="0.35">
      <c r="B14" s="7" t="s">
        <v>153</v>
      </c>
      <c r="C14" s="7"/>
      <c r="D14" s="7"/>
      <c r="E14" s="7"/>
      <c r="F14" s="7"/>
      <c r="G14" s="7"/>
      <c r="H14" s="7"/>
      <c r="I14" s="7"/>
      <c r="J14" s="7"/>
      <c r="K14" s="7"/>
    </row>
    <row r="15" spans="2:11" ht="60" customHeight="1" x14ac:dyDescent="0.35">
      <c r="B15" s="29">
        <v>7</v>
      </c>
      <c r="C15" s="37" t="s">
        <v>154</v>
      </c>
      <c r="D15" s="36" t="s">
        <v>134</v>
      </c>
      <c r="E15" s="32" t="s">
        <v>113</v>
      </c>
      <c r="F15" s="33" t="s">
        <v>155</v>
      </c>
      <c r="G15" s="33" t="s">
        <v>156</v>
      </c>
      <c r="H15" s="33" t="s">
        <v>157</v>
      </c>
      <c r="I15" s="33" t="s">
        <v>158</v>
      </c>
      <c r="J15" s="33" t="s">
        <v>159</v>
      </c>
    </row>
    <row r="16" spans="2:11" ht="60" customHeight="1" x14ac:dyDescent="0.35">
      <c r="B16" s="29">
        <v>8</v>
      </c>
      <c r="C16" s="37" t="s">
        <v>160</v>
      </c>
      <c r="D16" s="38" t="s">
        <v>161</v>
      </c>
      <c r="E16" s="32" t="s">
        <v>113</v>
      </c>
      <c r="F16" s="33" t="s">
        <v>162</v>
      </c>
      <c r="G16" s="33" t="s">
        <v>163</v>
      </c>
      <c r="H16" s="33" t="s">
        <v>164</v>
      </c>
      <c r="I16" s="33" t="s">
        <v>165</v>
      </c>
      <c r="J16" s="33" t="s">
        <v>166</v>
      </c>
    </row>
    <row r="17" spans="2:11" ht="60" customHeight="1" x14ac:dyDescent="0.35">
      <c r="B17" s="29">
        <v>9</v>
      </c>
      <c r="C17" s="37" t="s">
        <v>167</v>
      </c>
      <c r="D17" s="38" t="s">
        <v>161</v>
      </c>
      <c r="E17" s="32" t="s">
        <v>113</v>
      </c>
      <c r="F17" s="33" t="s">
        <v>168</v>
      </c>
      <c r="G17" s="33" t="s">
        <v>169</v>
      </c>
      <c r="H17" s="33" t="s">
        <v>170</v>
      </c>
      <c r="I17" s="33" t="s">
        <v>171</v>
      </c>
      <c r="J17" s="33" t="s">
        <v>172</v>
      </c>
    </row>
    <row r="18" spans="2:11" ht="60" customHeight="1" x14ac:dyDescent="0.35">
      <c r="B18" s="29">
        <v>10</v>
      </c>
      <c r="C18" s="37" t="s">
        <v>173</v>
      </c>
      <c r="D18" s="31" t="s">
        <v>112</v>
      </c>
      <c r="E18" s="32" t="s">
        <v>174</v>
      </c>
      <c r="F18" s="33" t="s">
        <v>175</v>
      </c>
      <c r="G18" s="33" t="s">
        <v>176</v>
      </c>
      <c r="H18" s="33" t="s">
        <v>177</v>
      </c>
      <c r="I18" s="33" t="s">
        <v>178</v>
      </c>
      <c r="J18" s="33" t="s">
        <v>179</v>
      </c>
    </row>
    <row r="19" spans="2:11" ht="21.75" customHeight="1" x14ac:dyDescent="0.35">
      <c r="B19" s="6" t="s">
        <v>180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60" customHeight="1" x14ac:dyDescent="0.35">
      <c r="B20" s="29">
        <v>11</v>
      </c>
      <c r="C20" s="39" t="s">
        <v>181</v>
      </c>
      <c r="D20" s="36" t="s">
        <v>134</v>
      </c>
      <c r="E20" s="32" t="s">
        <v>113</v>
      </c>
      <c r="F20" s="33" t="s">
        <v>182</v>
      </c>
      <c r="G20" s="33" t="s">
        <v>183</v>
      </c>
      <c r="H20" s="33" t="s">
        <v>184</v>
      </c>
      <c r="I20" s="33" t="s">
        <v>185</v>
      </c>
      <c r="J20" s="33" t="s">
        <v>186</v>
      </c>
    </row>
    <row r="21" spans="2:11" ht="60" customHeight="1" x14ac:dyDescent="0.35">
      <c r="B21" s="29">
        <v>12</v>
      </c>
      <c r="C21" s="39" t="s">
        <v>187</v>
      </c>
      <c r="D21" s="36" t="s">
        <v>134</v>
      </c>
      <c r="E21" s="32" t="s">
        <v>188</v>
      </c>
      <c r="F21" s="33" t="s">
        <v>189</v>
      </c>
      <c r="G21" s="33" t="s">
        <v>190</v>
      </c>
      <c r="H21" s="33" t="s">
        <v>191</v>
      </c>
      <c r="I21" s="33" t="s">
        <v>192</v>
      </c>
      <c r="J21" s="33" t="s">
        <v>193</v>
      </c>
    </row>
    <row r="22" spans="2:11" ht="60" customHeight="1" x14ac:dyDescent="0.35">
      <c r="B22" s="29">
        <v>13</v>
      </c>
      <c r="C22" s="39" t="s">
        <v>194</v>
      </c>
      <c r="D22" s="36" t="s">
        <v>134</v>
      </c>
      <c r="E22" s="32" t="s">
        <v>113</v>
      </c>
      <c r="F22" s="33" t="s">
        <v>195</v>
      </c>
      <c r="G22" s="33" t="s">
        <v>196</v>
      </c>
      <c r="H22" s="33" t="s">
        <v>197</v>
      </c>
      <c r="I22" s="33" t="s">
        <v>198</v>
      </c>
      <c r="J22" s="33" t="s">
        <v>199</v>
      </c>
    </row>
    <row r="23" spans="2:11" ht="60" customHeight="1" x14ac:dyDescent="0.35">
      <c r="B23" s="29">
        <v>14</v>
      </c>
      <c r="C23" s="39" t="s">
        <v>200</v>
      </c>
      <c r="D23" s="38" t="s">
        <v>161</v>
      </c>
      <c r="E23" s="32" t="s">
        <v>113</v>
      </c>
      <c r="F23" s="33" t="s">
        <v>201</v>
      </c>
      <c r="G23" s="33" t="s">
        <v>202</v>
      </c>
      <c r="H23" s="33" t="s">
        <v>203</v>
      </c>
      <c r="I23" s="33" t="s">
        <v>204</v>
      </c>
      <c r="J23" s="33" t="s">
        <v>205</v>
      </c>
    </row>
    <row r="24" spans="2:11" ht="60" customHeight="1" x14ac:dyDescent="0.35">
      <c r="B24" s="29">
        <v>15</v>
      </c>
      <c r="C24" s="39" t="s">
        <v>206</v>
      </c>
      <c r="D24" s="38" t="s">
        <v>161</v>
      </c>
      <c r="E24" s="32" t="s">
        <v>113</v>
      </c>
      <c r="F24" s="33" t="s">
        <v>207</v>
      </c>
      <c r="G24" s="33" t="s">
        <v>208</v>
      </c>
      <c r="H24" s="33" t="s">
        <v>209</v>
      </c>
      <c r="I24" s="33" t="s">
        <v>210</v>
      </c>
      <c r="J24" s="33" t="s">
        <v>211</v>
      </c>
    </row>
    <row r="25" spans="2:11" ht="60" customHeight="1" x14ac:dyDescent="0.35">
      <c r="B25" s="29">
        <v>16</v>
      </c>
      <c r="C25" s="39" t="s">
        <v>212</v>
      </c>
      <c r="D25" s="36" t="s">
        <v>213</v>
      </c>
      <c r="E25" s="32" t="s">
        <v>113</v>
      </c>
      <c r="F25" s="33" t="s">
        <v>214</v>
      </c>
      <c r="G25" s="33" t="s">
        <v>215</v>
      </c>
      <c r="H25" s="33" t="s">
        <v>216</v>
      </c>
      <c r="I25" s="33" t="s">
        <v>217</v>
      </c>
      <c r="J25" s="33" t="s">
        <v>218</v>
      </c>
    </row>
    <row r="26" spans="2:11" ht="60" customHeight="1" x14ac:dyDescent="0.35">
      <c r="B26" s="29">
        <v>17</v>
      </c>
      <c r="C26" s="39" t="s">
        <v>219</v>
      </c>
      <c r="D26" s="40" t="s">
        <v>220</v>
      </c>
      <c r="E26" s="32" t="s">
        <v>221</v>
      </c>
      <c r="F26" s="33" t="s">
        <v>222</v>
      </c>
      <c r="G26" s="33" t="s">
        <v>223</v>
      </c>
      <c r="H26" s="33" t="s">
        <v>224</v>
      </c>
      <c r="I26" s="33" t="s">
        <v>225</v>
      </c>
      <c r="J26" s="33" t="s">
        <v>226</v>
      </c>
    </row>
    <row r="27" spans="2:11" ht="21.75" customHeight="1" x14ac:dyDescent="0.35">
      <c r="B27" s="5" t="s">
        <v>227</v>
      </c>
      <c r="C27" s="5"/>
      <c r="D27" s="5"/>
      <c r="E27" s="5"/>
      <c r="F27" s="5"/>
      <c r="G27" s="5"/>
      <c r="H27" s="5"/>
      <c r="I27" s="5"/>
      <c r="J27" s="5"/>
      <c r="K27" s="5"/>
    </row>
    <row r="28" spans="2:11" ht="60" customHeight="1" x14ac:dyDescent="0.35">
      <c r="B28" s="29">
        <v>18</v>
      </c>
      <c r="C28" s="41" t="s">
        <v>228</v>
      </c>
      <c r="D28" s="42" t="s">
        <v>229</v>
      </c>
      <c r="E28" s="32" t="s">
        <v>113</v>
      </c>
      <c r="F28" s="33" t="s">
        <v>230</v>
      </c>
      <c r="G28" s="33" t="s">
        <v>231</v>
      </c>
      <c r="H28" s="33" t="s">
        <v>232</v>
      </c>
      <c r="I28" s="33" t="s">
        <v>233</v>
      </c>
      <c r="J28" s="33" t="s">
        <v>234</v>
      </c>
    </row>
    <row r="29" spans="2:11" ht="60" customHeight="1" x14ac:dyDescent="0.35">
      <c r="B29" s="29">
        <v>19</v>
      </c>
      <c r="C29" s="41" t="s">
        <v>235</v>
      </c>
      <c r="D29" s="42" t="s">
        <v>229</v>
      </c>
      <c r="E29" s="32" t="s">
        <v>113</v>
      </c>
      <c r="F29" s="33" t="s">
        <v>236</v>
      </c>
      <c r="G29" s="33" t="s">
        <v>237</v>
      </c>
      <c r="H29" s="33" t="s">
        <v>238</v>
      </c>
      <c r="I29" s="33" t="s">
        <v>239</v>
      </c>
      <c r="J29" s="33" t="s">
        <v>240</v>
      </c>
    </row>
    <row r="30" spans="2:11" ht="60" customHeight="1" x14ac:dyDescent="0.35">
      <c r="B30" s="29">
        <v>20</v>
      </c>
      <c r="C30" s="41" t="s">
        <v>241</v>
      </c>
      <c r="D30" s="42" t="s">
        <v>229</v>
      </c>
      <c r="E30" s="32" t="s">
        <v>113</v>
      </c>
      <c r="F30" s="33" t="s">
        <v>242</v>
      </c>
      <c r="G30" s="33" t="s">
        <v>243</v>
      </c>
      <c r="H30" s="33" t="s">
        <v>244</v>
      </c>
      <c r="I30" s="33" t="s">
        <v>245</v>
      </c>
      <c r="J30" s="33" t="s">
        <v>246</v>
      </c>
    </row>
    <row r="31" spans="2:11" ht="60" customHeight="1" x14ac:dyDescent="0.35">
      <c r="B31" s="29">
        <v>21</v>
      </c>
      <c r="C31" s="41" t="s">
        <v>247</v>
      </c>
      <c r="D31" s="42" t="s">
        <v>229</v>
      </c>
      <c r="E31" s="32" t="s">
        <v>113</v>
      </c>
      <c r="F31" s="33" t="s">
        <v>248</v>
      </c>
      <c r="G31" s="33" t="s">
        <v>249</v>
      </c>
      <c r="H31" s="33" t="s">
        <v>250</v>
      </c>
      <c r="I31" s="33" t="s">
        <v>251</v>
      </c>
      <c r="J31" s="33" t="s">
        <v>252</v>
      </c>
    </row>
  </sheetData>
  <mergeCells count="7">
    <mergeCell ref="B19:K19"/>
    <mergeCell ref="B27:K27"/>
    <mergeCell ref="B2:J2"/>
    <mergeCell ref="B3:J3"/>
    <mergeCell ref="B6:K6"/>
    <mergeCell ref="B9:K9"/>
    <mergeCell ref="B14:K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4"/>
  <sheetViews>
    <sheetView showGridLines="0" zoomScaleNormal="100" workbookViewId="0">
      <pane xSplit="2" ySplit="18" topLeftCell="C28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4" t="s">
        <v>253</v>
      </c>
      <c r="D2" s="4"/>
      <c r="E2" s="4"/>
      <c r="F2" s="4"/>
      <c r="G2" s="4"/>
      <c r="H2" s="4"/>
      <c r="I2" s="4"/>
      <c r="J2" s="4"/>
    </row>
    <row r="3" spans="3:10" ht="15" customHeight="1" x14ac:dyDescent="0.35">
      <c r="C3" s="10" t="s">
        <v>254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256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65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259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23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22" priority="4" operator="greaterThan">
      <formula>1</formula>
    </cfRule>
    <cfRule type="cellIs" dxfId="21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3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3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3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3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3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44"/>
  <sheetViews>
    <sheetView showGridLines="0" tabSelected="1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4" t="s">
        <v>276</v>
      </c>
      <c r="D2" s="4"/>
      <c r="E2" s="4"/>
      <c r="F2" s="4"/>
      <c r="G2" s="4"/>
      <c r="H2" s="4"/>
      <c r="I2" s="4"/>
      <c r="J2" s="4"/>
    </row>
    <row r="3" spans="3:10" ht="15" customHeight="1" x14ac:dyDescent="0.35">
      <c r="C3" s="10" t="s">
        <v>254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277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65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259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20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19" priority="4" operator="greaterThan">
      <formula>1</formula>
    </cfRule>
    <cfRule type="cellIs" dxfId="18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4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4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4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4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44"/>
  <sheetViews>
    <sheetView showGridLines="0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4" t="s">
        <v>278</v>
      </c>
      <c r="D2" s="4"/>
      <c r="E2" s="4"/>
      <c r="F2" s="4"/>
      <c r="G2" s="4"/>
      <c r="H2" s="4"/>
      <c r="I2" s="4"/>
      <c r="J2" s="4"/>
    </row>
    <row r="3" spans="3:10" ht="15" customHeight="1" x14ac:dyDescent="0.35">
      <c r="C3" s="10" t="s">
        <v>254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279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65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259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17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16" priority="4" operator="greaterThan">
      <formula>1</formula>
    </cfRule>
    <cfRule type="cellIs" dxfId="15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5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5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5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5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5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44"/>
  <sheetViews>
    <sheetView showGridLines="0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4" t="s">
        <v>280</v>
      </c>
      <c r="D2" s="4"/>
      <c r="E2" s="4"/>
      <c r="F2" s="4"/>
      <c r="G2" s="4"/>
      <c r="H2" s="4"/>
      <c r="I2" s="4"/>
      <c r="J2" s="4"/>
    </row>
    <row r="3" spans="3:10" ht="15" customHeight="1" x14ac:dyDescent="0.35">
      <c r="C3" s="10" t="s">
        <v>254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281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65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259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14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13" priority="4" operator="greaterThan">
      <formula>1</formula>
    </cfRule>
    <cfRule type="cellIs" dxfId="12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6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6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6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6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6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4"/>
  <sheetViews>
    <sheetView showGridLines="0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72" t="s">
        <v>282</v>
      </c>
      <c r="D2" s="72"/>
      <c r="E2" s="72"/>
      <c r="F2" s="72"/>
      <c r="G2" s="72"/>
      <c r="H2" s="72"/>
      <c r="I2" s="72"/>
      <c r="J2" s="72"/>
    </row>
    <row r="3" spans="3:10" ht="15" customHeight="1" x14ac:dyDescent="0.35">
      <c r="C3" s="10" t="s">
        <v>283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284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72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64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11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10" priority="4" operator="greaterThan">
      <formula>1</formula>
    </cfRule>
    <cfRule type="cellIs" dxfId="9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7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7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7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7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7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44"/>
  <sheetViews>
    <sheetView showGridLines="0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72" t="s">
        <v>285</v>
      </c>
      <c r="D2" s="72"/>
      <c r="E2" s="72"/>
      <c r="F2" s="72"/>
      <c r="G2" s="72"/>
      <c r="H2" s="72"/>
      <c r="I2" s="72"/>
      <c r="J2" s="72"/>
    </row>
    <row r="3" spans="3:10" ht="15" customHeight="1" x14ac:dyDescent="0.35">
      <c r="C3" s="10" t="s">
        <v>283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286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72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64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8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7" priority="4" operator="greaterThan">
      <formula>1</formula>
    </cfRule>
    <cfRule type="cellIs" dxfId="6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8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8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8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8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8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44"/>
  <sheetViews>
    <sheetView showGridLines="0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72" t="s">
        <v>287</v>
      </c>
      <c r="D2" s="72"/>
      <c r="E2" s="72"/>
      <c r="F2" s="72"/>
      <c r="G2" s="72"/>
      <c r="H2" s="72"/>
      <c r="I2" s="72"/>
      <c r="J2" s="72"/>
    </row>
    <row r="3" spans="3:10" ht="15" customHeight="1" x14ac:dyDescent="0.35">
      <c r="C3" s="10" t="s">
        <v>283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288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72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64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5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4" priority="4" operator="greaterThan">
      <formula>1</formula>
    </cfRule>
    <cfRule type="cellIs" dxfId="3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9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9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9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9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9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44"/>
  <sheetViews>
    <sheetView showGridLines="0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4" customWidth="1"/>
    <col min="3" max="3" width="30" customWidth="1"/>
    <col min="4" max="4" width="20" customWidth="1"/>
    <col min="5" max="5" width="16" customWidth="1"/>
    <col min="6" max="7" width="13" customWidth="1"/>
    <col min="8" max="8" width="8" customWidth="1"/>
    <col min="9" max="9" width="40" customWidth="1"/>
    <col min="10" max="10" width="18" customWidth="1"/>
  </cols>
  <sheetData>
    <row r="2" spans="3:10" ht="17.25" customHeight="1" x14ac:dyDescent="0.45">
      <c r="C2" s="72" t="s">
        <v>289</v>
      </c>
      <c r="D2" s="72"/>
      <c r="E2" s="72"/>
      <c r="F2" s="72"/>
      <c r="G2" s="72"/>
      <c r="H2" s="72"/>
      <c r="I2" s="72"/>
      <c r="J2" s="72"/>
    </row>
    <row r="3" spans="3:10" ht="15" customHeight="1" x14ac:dyDescent="0.35">
      <c r="C3" s="10" t="s">
        <v>283</v>
      </c>
      <c r="D3" s="10"/>
      <c r="E3" s="10"/>
      <c r="F3" s="10"/>
      <c r="G3" s="10"/>
      <c r="H3" s="10"/>
      <c r="I3" s="10"/>
      <c r="J3" s="10"/>
    </row>
    <row r="5" spans="3:10" ht="15" customHeight="1" x14ac:dyDescent="0.35">
      <c r="C5" s="15" t="s">
        <v>255</v>
      </c>
      <c r="D5" s="3" t="s">
        <v>290</v>
      </c>
      <c r="E5" s="3"/>
      <c r="F5" s="3"/>
      <c r="G5" s="3"/>
      <c r="H5" s="3"/>
    </row>
    <row r="6" spans="3:10" ht="15" customHeight="1" x14ac:dyDescent="0.35">
      <c r="C6" s="15" t="s">
        <v>257</v>
      </c>
      <c r="D6" s="3" t="s">
        <v>72</v>
      </c>
      <c r="E6" s="3"/>
      <c r="F6" s="3"/>
      <c r="G6" s="3"/>
      <c r="H6" s="3"/>
    </row>
    <row r="7" spans="3:10" ht="15" customHeight="1" x14ac:dyDescent="0.35">
      <c r="C7" s="15" t="s">
        <v>258</v>
      </c>
      <c r="D7" s="3" t="s">
        <v>64</v>
      </c>
      <c r="E7" s="3"/>
      <c r="F7" s="3"/>
      <c r="G7" s="3"/>
      <c r="H7" s="3"/>
    </row>
    <row r="8" spans="3:10" ht="15" customHeight="1" x14ac:dyDescent="0.35">
      <c r="C8" s="15" t="s">
        <v>260</v>
      </c>
      <c r="D8" s="3"/>
      <c r="E8" s="3"/>
      <c r="F8" s="3"/>
      <c r="G8" s="3"/>
      <c r="H8" s="3"/>
    </row>
    <row r="9" spans="3:10" ht="15" customHeight="1" x14ac:dyDescent="0.35">
      <c r="C9" s="15" t="s">
        <v>261</v>
      </c>
      <c r="D9" s="3" t="s">
        <v>73</v>
      </c>
      <c r="E9" s="3"/>
      <c r="F9" s="3"/>
      <c r="G9" s="3"/>
      <c r="H9" s="3"/>
    </row>
    <row r="10" spans="3:10" ht="15" customHeight="1" x14ac:dyDescent="0.35">
      <c r="C10" s="15" t="s">
        <v>262</v>
      </c>
      <c r="D10" s="3"/>
      <c r="E10" s="3"/>
      <c r="F10" s="3"/>
      <c r="G10" s="3"/>
      <c r="H10" s="3"/>
    </row>
    <row r="11" spans="3:10" ht="15" customHeight="1" x14ac:dyDescent="0.35">
      <c r="C11" s="15" t="s">
        <v>263</v>
      </c>
      <c r="D11" s="2"/>
      <c r="E11" s="2"/>
      <c r="F11" s="2"/>
      <c r="G11" s="2"/>
      <c r="H11" s="2"/>
    </row>
    <row r="12" spans="3:10" ht="15" customHeight="1" x14ac:dyDescent="0.35">
      <c r="C12" s="15" t="s">
        <v>264</v>
      </c>
      <c r="D12" s="3"/>
      <c r="E12" s="3"/>
      <c r="F12" s="3"/>
      <c r="G12" s="3"/>
      <c r="H12" s="3"/>
    </row>
    <row r="13" spans="3:10" ht="15" customHeight="1" x14ac:dyDescent="0.35">
      <c r="C13" s="15" t="s">
        <v>265</v>
      </c>
      <c r="D13" s="3"/>
      <c r="E13" s="3"/>
      <c r="F13" s="3"/>
      <c r="G13" s="3"/>
      <c r="H13" s="3"/>
    </row>
    <row r="15" spans="3:10" ht="15.75" customHeight="1" x14ac:dyDescent="0.35">
      <c r="C15" s="43" t="s">
        <v>266</v>
      </c>
      <c r="D15" s="1" t="str">
        <f>IF(D8="Mesa de Ayuda","N2 · Administrado",IF(D8="Mesa de Soporte","N3 · Definido","— Seleccionar tipo"))</f>
        <v>— Seleccionar tipo</v>
      </c>
      <c r="E15" s="1"/>
      <c r="F15" s="1"/>
      <c r="G15" s="1"/>
      <c r="I15" s="43" t="s">
        <v>267</v>
      </c>
      <c r="J15" s="44" t="str">
        <f>IFERROR(AVERAGEIF(F20:F39,"&lt;&gt;"),"")</f>
        <v/>
      </c>
    </row>
    <row r="16" spans="3:10" ht="15" customHeight="1" x14ac:dyDescent="0.35">
      <c r="C16" s="45" t="s">
        <v>268</v>
      </c>
      <c r="D16" s="46">
        <f>IF(D8="Mesa de Ayuda",2,IF(D8="Mesa de Soporte",3,0))</f>
        <v>0</v>
      </c>
    </row>
    <row r="18" spans="2:10" ht="36" customHeight="1" x14ac:dyDescent="0.35">
      <c r="B18" s="23" t="s">
        <v>101</v>
      </c>
      <c r="C18" s="23" t="s">
        <v>102</v>
      </c>
      <c r="D18" s="23" t="s">
        <v>103</v>
      </c>
      <c r="E18" s="47" t="s">
        <v>269</v>
      </c>
      <c r="F18" s="47" t="s">
        <v>270</v>
      </c>
      <c r="G18" s="48" t="s">
        <v>271</v>
      </c>
      <c r="H18" s="49" t="s">
        <v>272</v>
      </c>
      <c r="I18" s="23" t="s">
        <v>273</v>
      </c>
      <c r="J18" s="23" t="s">
        <v>274</v>
      </c>
    </row>
    <row r="19" spans="2:10" ht="19.5" customHeight="1" x14ac:dyDescent="0.35">
      <c r="B19" s="67" t="s">
        <v>16</v>
      </c>
      <c r="C19" s="67"/>
      <c r="D19" s="67"/>
      <c r="E19" s="67"/>
      <c r="F19" s="67"/>
      <c r="G19" s="67"/>
      <c r="H19" s="67"/>
      <c r="I19" s="67"/>
      <c r="J19" s="67"/>
    </row>
    <row r="20" spans="2:10" ht="30" customHeight="1" x14ac:dyDescent="0.35">
      <c r="B20" s="29">
        <v>1</v>
      </c>
      <c r="C20" s="30" t="s">
        <v>111</v>
      </c>
      <c r="D20" s="31" t="s">
        <v>112</v>
      </c>
      <c r="E20" s="50" t="str">
        <f>IF($D$8="Mesa de Ayuda","N2 · Administrado",IF($D$8="Mesa de Soporte","N3 · Definido","—"))</f>
        <v>—</v>
      </c>
      <c r="F20" s="51"/>
      <c r="G20" s="52"/>
      <c r="H20" s="53" t="str">
        <f>IF(AND(F20&lt;&gt;"",G20&lt;&gt;""),G20-F20,"")</f>
        <v/>
      </c>
      <c r="I20" s="54"/>
      <c r="J20" s="54"/>
    </row>
    <row r="21" spans="2:10" ht="30" customHeight="1" x14ac:dyDescent="0.35">
      <c r="B21" s="29">
        <v>2</v>
      </c>
      <c r="C21" s="30" t="s">
        <v>119</v>
      </c>
      <c r="D21" s="34" t="s">
        <v>120</v>
      </c>
      <c r="E21" s="50" t="str">
        <f>IF($D$8="Mesa de Ayuda","N2 · Administrado",IF($D$8="Mesa de Soporte","N3 · Definido","—"))</f>
        <v>—</v>
      </c>
      <c r="F21" s="51"/>
      <c r="G21" s="52"/>
      <c r="H21" s="53" t="str">
        <f>IF(AND(F21&lt;&gt;"",G21&lt;&gt;""),G21-F21,"")</f>
        <v/>
      </c>
      <c r="I21" s="54"/>
      <c r="J21" s="54"/>
    </row>
    <row r="22" spans="2:10" ht="19.5" customHeight="1" x14ac:dyDescent="0.35">
      <c r="B22" s="68" t="s">
        <v>18</v>
      </c>
      <c r="C22" s="68"/>
      <c r="D22" s="68"/>
      <c r="E22" s="68"/>
      <c r="F22" s="68"/>
      <c r="G22" s="68"/>
      <c r="H22" s="68"/>
      <c r="I22" s="68"/>
      <c r="J22" s="68"/>
    </row>
    <row r="23" spans="2:10" ht="30" customHeight="1" x14ac:dyDescent="0.35">
      <c r="B23" s="29">
        <v>3</v>
      </c>
      <c r="C23" s="35" t="s">
        <v>127</v>
      </c>
      <c r="D23" s="34" t="s">
        <v>120</v>
      </c>
      <c r="E23" s="50" t="str">
        <f>IF($D$8="Mesa de Ayuda","N2 · Administrado",IF($D$8="Mesa de Soporte","N3 · Definido","—"))</f>
        <v>—</v>
      </c>
      <c r="F23" s="51"/>
      <c r="G23" s="52"/>
      <c r="H23" s="53" t="str">
        <f>IF(AND(F23&lt;&gt;"",G23&lt;&gt;""),G23-F23,"")</f>
        <v/>
      </c>
      <c r="I23" s="54"/>
      <c r="J23" s="54"/>
    </row>
    <row r="24" spans="2:10" ht="30" customHeight="1" x14ac:dyDescent="0.35">
      <c r="B24" s="29">
        <v>4</v>
      </c>
      <c r="C24" s="35" t="s">
        <v>133</v>
      </c>
      <c r="D24" s="36" t="s">
        <v>134</v>
      </c>
      <c r="E24" s="50" t="str">
        <f>IF($D$8="Mesa de Ayuda","N2 · Administrado",IF($D$8="Mesa de Soporte","N3 · Definido","—"))</f>
        <v>—</v>
      </c>
      <c r="F24" s="51"/>
      <c r="G24" s="52"/>
      <c r="H24" s="53" t="str">
        <f>IF(AND(F24&lt;&gt;"",G24&lt;&gt;""),G24-F24,"")</f>
        <v/>
      </c>
      <c r="I24" s="54"/>
      <c r="J24" s="54"/>
    </row>
    <row r="25" spans="2:10" ht="30" customHeight="1" x14ac:dyDescent="0.35">
      <c r="B25" s="29">
        <v>5</v>
      </c>
      <c r="C25" s="35" t="s">
        <v>141</v>
      </c>
      <c r="D25" s="31" t="s">
        <v>112</v>
      </c>
      <c r="E25" s="50" t="str">
        <f>IF($D$8="Mesa de Ayuda","N2 · Administrado",IF($D$8="Mesa de Soporte","N3 · Definido","—"))</f>
        <v>—</v>
      </c>
      <c r="F25" s="51"/>
      <c r="G25" s="52"/>
      <c r="H25" s="53" t="str">
        <f>IF(AND(F25&lt;&gt;"",G25&lt;&gt;""),G25-F25,"")</f>
        <v/>
      </c>
      <c r="I25" s="54"/>
      <c r="J25" s="54"/>
    </row>
    <row r="26" spans="2:10" ht="30" customHeight="1" x14ac:dyDescent="0.35">
      <c r="B26" s="29">
        <v>6</v>
      </c>
      <c r="C26" s="35" t="s">
        <v>147</v>
      </c>
      <c r="D26" s="36" t="s">
        <v>134</v>
      </c>
      <c r="E26" s="50" t="str">
        <f>IF($D$8="Mesa de Ayuda","N2 · Administrado",IF($D$8="Mesa de Soporte","N3 · Definido","—"))</f>
        <v>—</v>
      </c>
      <c r="F26" s="51"/>
      <c r="G26" s="52"/>
      <c r="H26" s="53" t="str">
        <f>IF(AND(F26&lt;&gt;"",G26&lt;&gt;""),G26-F26,"")</f>
        <v/>
      </c>
      <c r="I26" s="54"/>
      <c r="J26" s="54"/>
    </row>
    <row r="27" spans="2:10" ht="19.5" customHeight="1" x14ac:dyDescent="0.35">
      <c r="B27" s="69" t="s">
        <v>20</v>
      </c>
      <c r="C27" s="69"/>
      <c r="D27" s="69"/>
      <c r="E27" s="69"/>
      <c r="F27" s="69"/>
      <c r="G27" s="69"/>
      <c r="H27" s="69"/>
      <c r="I27" s="69"/>
      <c r="J27" s="69"/>
    </row>
    <row r="28" spans="2:10" ht="30" customHeight="1" x14ac:dyDescent="0.35">
      <c r="B28" s="29">
        <v>7</v>
      </c>
      <c r="C28" s="37" t="s">
        <v>154</v>
      </c>
      <c r="D28" s="36" t="s">
        <v>134</v>
      </c>
      <c r="E28" s="50" t="str">
        <f>IF($D$8="Mesa de Ayuda","N2 · Administrado",IF($D$8="Mesa de Soporte","N3 · Definido","—"))</f>
        <v>—</v>
      </c>
      <c r="F28" s="51"/>
      <c r="G28" s="52"/>
      <c r="H28" s="53" t="str">
        <f>IF(AND(F28&lt;&gt;"",G28&lt;&gt;""),G28-F28,"")</f>
        <v/>
      </c>
      <c r="I28" s="54"/>
      <c r="J28" s="54"/>
    </row>
    <row r="29" spans="2:10" ht="30" customHeight="1" x14ac:dyDescent="0.35">
      <c r="B29" s="29">
        <v>8</v>
      </c>
      <c r="C29" s="37" t="s">
        <v>160</v>
      </c>
      <c r="D29" s="38" t="s">
        <v>161</v>
      </c>
      <c r="E29" s="50" t="str">
        <f>IF($D$8="Mesa de Ayuda","N2 · Administrado",IF($D$8="Mesa de Soporte","N3 · Definido","—"))</f>
        <v>—</v>
      </c>
      <c r="F29" s="51"/>
      <c r="G29" s="52"/>
      <c r="H29" s="53" t="str">
        <f>IF(AND(F29&lt;&gt;"",G29&lt;&gt;""),G29-F29,"")</f>
        <v/>
      </c>
      <c r="I29" s="54"/>
      <c r="J29" s="54"/>
    </row>
    <row r="30" spans="2:10" ht="30" customHeight="1" x14ac:dyDescent="0.35">
      <c r="B30" s="29">
        <v>9</v>
      </c>
      <c r="C30" s="37" t="s">
        <v>167</v>
      </c>
      <c r="D30" s="38" t="s">
        <v>161</v>
      </c>
      <c r="E30" s="50" t="str">
        <f>IF($D$8="Mesa de Ayuda","N2 · Administrado",IF($D$8="Mesa de Soporte","N3 · Definido","—"))</f>
        <v>—</v>
      </c>
      <c r="F30" s="51"/>
      <c r="G30" s="52"/>
      <c r="H30" s="53" t="str">
        <f>IF(AND(F30&lt;&gt;"",G30&lt;&gt;""),G30-F30,"")</f>
        <v/>
      </c>
      <c r="I30" s="54"/>
      <c r="J30" s="54"/>
    </row>
    <row r="31" spans="2:10" ht="30" customHeight="1" x14ac:dyDescent="0.35">
      <c r="B31" s="29">
        <v>10</v>
      </c>
      <c r="C31" s="37" t="s">
        <v>173</v>
      </c>
      <c r="D31" s="31" t="s">
        <v>112</v>
      </c>
      <c r="E31" s="50" t="str">
        <f>IF($D$8="Mesa de Ayuda","N2 · Administrado",IF($D$8="Mesa de Soporte","N3 · Definido","—"))</f>
        <v>—</v>
      </c>
      <c r="F31" s="51"/>
      <c r="G31" s="52"/>
      <c r="H31" s="53" t="str">
        <f>IF(AND(F31&lt;&gt;"",G31&lt;&gt;""),G31-F31,"")</f>
        <v/>
      </c>
      <c r="I31" s="54"/>
      <c r="J31" s="54"/>
    </row>
    <row r="32" spans="2:10" ht="19.5" customHeight="1" x14ac:dyDescent="0.35">
      <c r="B32" s="70" t="s">
        <v>22</v>
      </c>
      <c r="C32" s="70"/>
      <c r="D32" s="70"/>
      <c r="E32" s="70"/>
      <c r="F32" s="70"/>
      <c r="G32" s="70"/>
      <c r="H32" s="70"/>
      <c r="I32" s="70"/>
      <c r="J32" s="70"/>
    </row>
    <row r="33" spans="2:10" ht="30" customHeight="1" x14ac:dyDescent="0.35">
      <c r="B33" s="29">
        <v>11</v>
      </c>
      <c r="C33" s="39" t="s">
        <v>181</v>
      </c>
      <c r="D33" s="36" t="s">
        <v>134</v>
      </c>
      <c r="E33" s="50" t="str">
        <f t="shared" ref="E33:E39" si="0">IF($D$8="Mesa de Ayuda","N2 · Administrado",IF($D$8="Mesa de Soporte","N3 · Definido","—"))</f>
        <v>—</v>
      </c>
      <c r="F33" s="51"/>
      <c r="G33" s="52"/>
      <c r="H33" s="53" t="str">
        <f t="shared" ref="H33:H39" si="1">IF(AND(F33&lt;&gt;"",G33&lt;&gt;""),G33-F33,"")</f>
        <v/>
      </c>
      <c r="I33" s="54"/>
      <c r="J33" s="54"/>
    </row>
    <row r="34" spans="2:10" ht="30" customHeight="1" x14ac:dyDescent="0.35">
      <c r="B34" s="29">
        <v>12</v>
      </c>
      <c r="C34" s="39" t="s">
        <v>187</v>
      </c>
      <c r="D34" s="36" t="s">
        <v>134</v>
      </c>
      <c r="E34" s="50" t="str">
        <f t="shared" si="0"/>
        <v>—</v>
      </c>
      <c r="F34" s="51"/>
      <c r="G34" s="52"/>
      <c r="H34" s="53" t="str">
        <f t="shared" si="1"/>
        <v/>
      </c>
      <c r="I34" s="54"/>
      <c r="J34" s="54"/>
    </row>
    <row r="35" spans="2:10" ht="30" customHeight="1" x14ac:dyDescent="0.35">
      <c r="B35" s="29">
        <v>13</v>
      </c>
      <c r="C35" s="39" t="s">
        <v>194</v>
      </c>
      <c r="D35" s="36" t="s">
        <v>134</v>
      </c>
      <c r="E35" s="50" t="str">
        <f t="shared" si="0"/>
        <v>—</v>
      </c>
      <c r="F35" s="51"/>
      <c r="G35" s="52"/>
      <c r="H35" s="53" t="str">
        <f t="shared" si="1"/>
        <v/>
      </c>
      <c r="I35" s="54"/>
      <c r="J35" s="54"/>
    </row>
    <row r="36" spans="2:10" ht="30" customHeight="1" x14ac:dyDescent="0.35">
      <c r="B36" s="29">
        <v>14</v>
      </c>
      <c r="C36" s="39" t="s">
        <v>200</v>
      </c>
      <c r="D36" s="38" t="s">
        <v>161</v>
      </c>
      <c r="E36" s="50" t="str">
        <f t="shared" si="0"/>
        <v>—</v>
      </c>
      <c r="F36" s="51"/>
      <c r="G36" s="52"/>
      <c r="H36" s="53" t="str">
        <f t="shared" si="1"/>
        <v/>
      </c>
      <c r="I36" s="54"/>
      <c r="J36" s="54"/>
    </row>
    <row r="37" spans="2:10" ht="30" customHeight="1" x14ac:dyDescent="0.35">
      <c r="B37" s="29">
        <v>15</v>
      </c>
      <c r="C37" s="39" t="s">
        <v>206</v>
      </c>
      <c r="D37" s="38" t="s">
        <v>161</v>
      </c>
      <c r="E37" s="50" t="str">
        <f t="shared" si="0"/>
        <v>—</v>
      </c>
      <c r="F37" s="51"/>
      <c r="G37" s="52"/>
      <c r="H37" s="53" t="str">
        <f t="shared" si="1"/>
        <v/>
      </c>
      <c r="I37" s="54"/>
      <c r="J37" s="54"/>
    </row>
    <row r="38" spans="2:10" ht="30" customHeight="1" x14ac:dyDescent="0.35">
      <c r="B38" s="29">
        <v>16</v>
      </c>
      <c r="C38" s="39" t="s">
        <v>212</v>
      </c>
      <c r="D38" s="36" t="s">
        <v>213</v>
      </c>
      <c r="E38" s="50" t="str">
        <f t="shared" si="0"/>
        <v>—</v>
      </c>
      <c r="F38" s="51"/>
      <c r="G38" s="52"/>
      <c r="H38" s="53" t="str">
        <f t="shared" si="1"/>
        <v/>
      </c>
      <c r="I38" s="54"/>
      <c r="J38" s="54"/>
    </row>
    <row r="39" spans="2:10" ht="30" customHeight="1" x14ac:dyDescent="0.35">
      <c r="B39" s="29">
        <v>17</v>
      </c>
      <c r="C39" s="39" t="s">
        <v>219</v>
      </c>
      <c r="D39" s="40" t="s">
        <v>220</v>
      </c>
      <c r="E39" s="50" t="str">
        <f t="shared" si="0"/>
        <v>—</v>
      </c>
      <c r="F39" s="51"/>
      <c r="G39" s="52"/>
      <c r="H39" s="53" t="str">
        <f t="shared" si="1"/>
        <v/>
      </c>
      <c r="I39" s="54"/>
      <c r="J39" s="54"/>
    </row>
    <row r="40" spans="2:10" ht="19.5" customHeight="1" x14ac:dyDescent="0.35">
      <c r="B40" s="71" t="s">
        <v>275</v>
      </c>
      <c r="C40" s="71"/>
      <c r="D40" s="71"/>
      <c r="E40" s="71"/>
      <c r="F40" s="71"/>
      <c r="G40" s="71"/>
      <c r="H40" s="71"/>
      <c r="I40" s="71"/>
      <c r="J40" s="71"/>
    </row>
    <row r="41" spans="2:10" ht="30" customHeight="1" x14ac:dyDescent="0.35">
      <c r="B41" s="29">
        <v>18</v>
      </c>
      <c r="C41" s="41" t="s">
        <v>228</v>
      </c>
      <c r="D41" s="42" t="s">
        <v>229</v>
      </c>
      <c r="E41" s="29" t="s">
        <v>113</v>
      </c>
      <c r="F41" s="51"/>
      <c r="G41" s="52"/>
      <c r="H41" s="53" t="str">
        <f>IF(AND(F41&lt;&gt;"",G41&lt;&gt;""),G41-F41,"")</f>
        <v/>
      </c>
      <c r="I41" s="54"/>
      <c r="J41" s="54"/>
    </row>
    <row r="42" spans="2:10" ht="30" customHeight="1" x14ac:dyDescent="0.35">
      <c r="B42" s="29">
        <v>19</v>
      </c>
      <c r="C42" s="41" t="s">
        <v>235</v>
      </c>
      <c r="D42" s="42" t="s">
        <v>229</v>
      </c>
      <c r="E42" s="29" t="s">
        <v>113</v>
      </c>
      <c r="F42" s="51"/>
      <c r="G42" s="52"/>
      <c r="H42" s="53" t="str">
        <f>IF(AND(F42&lt;&gt;"",G42&lt;&gt;""),G42-F42,"")</f>
        <v/>
      </c>
      <c r="I42" s="54"/>
      <c r="J42" s="54"/>
    </row>
    <row r="43" spans="2:10" ht="30" customHeight="1" x14ac:dyDescent="0.35">
      <c r="B43" s="29">
        <v>20</v>
      </c>
      <c r="C43" s="41" t="s">
        <v>241</v>
      </c>
      <c r="D43" s="42" t="s">
        <v>229</v>
      </c>
      <c r="E43" s="29" t="s">
        <v>113</v>
      </c>
      <c r="F43" s="51"/>
      <c r="G43" s="52"/>
      <c r="H43" s="53" t="str">
        <f>IF(AND(F43&lt;&gt;"",G43&lt;&gt;""),G43-F43,"")</f>
        <v/>
      </c>
      <c r="I43" s="54"/>
      <c r="J43" s="54"/>
    </row>
    <row r="44" spans="2:10" ht="30" customHeight="1" x14ac:dyDescent="0.35">
      <c r="B44" s="29">
        <v>21</v>
      </c>
      <c r="C44" s="41" t="s">
        <v>247</v>
      </c>
      <c r="D44" s="42" t="s">
        <v>229</v>
      </c>
      <c r="E44" s="29" t="s">
        <v>113</v>
      </c>
      <c r="F44" s="51"/>
      <c r="G44" s="52"/>
      <c r="H44" s="53" t="str">
        <f>IF(AND(F44&lt;&gt;"",G44&lt;&gt;""),G44-F44,"")</f>
        <v/>
      </c>
      <c r="I44" s="54"/>
      <c r="J44" s="54"/>
    </row>
  </sheetData>
  <mergeCells count="17">
    <mergeCell ref="B32:J32"/>
    <mergeCell ref="B40:J40"/>
    <mergeCell ref="D13:H13"/>
    <mergeCell ref="D15:G15"/>
    <mergeCell ref="B19:J19"/>
    <mergeCell ref="B22:J22"/>
    <mergeCell ref="B27:J27"/>
    <mergeCell ref="D8:H8"/>
    <mergeCell ref="D9:H9"/>
    <mergeCell ref="D10:H10"/>
    <mergeCell ref="D11:H11"/>
    <mergeCell ref="D12:H12"/>
    <mergeCell ref="C2:J2"/>
    <mergeCell ref="C3:J3"/>
    <mergeCell ref="D5:H5"/>
    <mergeCell ref="D6:H6"/>
    <mergeCell ref="D7:H7"/>
  </mergeCells>
  <conditionalFormatting sqref="F19:F44">
    <cfRule type="expression" dxfId="2" priority="2">
      <formula>AND(F19&lt;&gt;"",$D$16&gt;0,ISNUMBER(F19),F19&lt;$D$16)</formula>
    </cfRule>
    <cfRule type="colorScale" priority="3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conditionalFormatting sqref="H19:H44">
    <cfRule type="cellIs" dxfId="1" priority="4" operator="greaterThan">
      <formula>1</formula>
    </cfRule>
    <cfRule type="cellIs" dxfId="0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A00-000000000000}">
          <x14:formula1>
            <xm:f>Listas!$B$6:$B$7</xm:f>
          </x14:formula1>
          <x14:formula2>
            <xm:f>0</xm:f>
          </x14:formula2>
          <xm:sqref>D8</xm:sqref>
        </x14:dataValidation>
        <x14:dataValidation type="list" allowBlank="1" xr:uid="{00000000-0002-0000-0A00-000001000000}">
          <x14:formula1>
            <xm:f>Listas!$F$6:$F$8</xm:f>
          </x14:formula1>
          <x14:formula2>
            <xm:f>0</xm:f>
          </x14:formula2>
          <xm:sqref>D9</xm:sqref>
        </x14:dataValidation>
        <x14:dataValidation type="list" allowBlank="1" xr:uid="{00000000-0002-0000-0A00-000002000000}">
          <x14:formula1>
            <xm:f>Listas!$G$6:$G$14</xm:f>
          </x14:formula1>
          <x14:formula2>
            <xm:f>0</xm:f>
          </x14:formula2>
          <xm:sqref>D12</xm:sqref>
        </x14:dataValidation>
        <x14:dataValidation type="list" allowBlank="1" xr:uid="{00000000-0002-0000-0A00-000003000000}">
          <x14:formula1>
            <xm:f>Listas!$H$6:$H$11</xm:f>
          </x14:formula1>
          <x14:formula2>
            <xm:f>0</xm:f>
          </x14:formula2>
          <xm:sqref>D13</xm:sqref>
        </x14:dataValidation>
        <x14:dataValidation type="list" allowBlank="1" xr:uid="{00000000-0002-0000-0A00-000004000000}">
          <x14:formula1>
            <xm:f>Listas!$D$6:$D$11</xm:f>
          </x14:formula1>
          <x14:formula2>
            <xm:f>0</xm:f>
          </x14:formula2>
          <xm:sqref>F20:G21 F23:G26 F28:G31 F33:G39 F41:G44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D37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2" customWidth="1"/>
    <col min="2" max="2" width="22" customWidth="1"/>
    <col min="3" max="4" width="14" customWidth="1"/>
    <col min="5" max="5" width="16" customWidth="1"/>
    <col min="6" max="6" width="10" customWidth="1"/>
    <col min="7" max="8" width="13" customWidth="1"/>
    <col min="9" max="29" width="11" customWidth="1"/>
    <col min="30" max="30" width="13" customWidth="1"/>
  </cols>
  <sheetData>
    <row r="2" spans="2:30" ht="19.5" customHeight="1" x14ac:dyDescent="0.5">
      <c r="B2" s="73" t="s">
        <v>291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spans="2:30" ht="15" customHeight="1" x14ac:dyDescent="0.35">
      <c r="B3" s="10" t="s">
        <v>292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5" spans="2:30" ht="60" customHeight="1" x14ac:dyDescent="0.35">
      <c r="B5" s="23" t="s">
        <v>293</v>
      </c>
      <c r="C5" s="23" t="s">
        <v>57</v>
      </c>
      <c r="D5" s="23" t="s">
        <v>56</v>
      </c>
      <c r="E5" s="23" t="s">
        <v>55</v>
      </c>
      <c r="F5" s="47" t="s">
        <v>59</v>
      </c>
      <c r="G5" s="55" t="s">
        <v>294</v>
      </c>
      <c r="H5" s="48" t="s">
        <v>295</v>
      </c>
      <c r="I5" s="56" t="s">
        <v>296</v>
      </c>
      <c r="J5" s="56" t="s">
        <v>297</v>
      </c>
      <c r="K5" s="57" t="s">
        <v>298</v>
      </c>
      <c r="L5" s="57" t="s">
        <v>299</v>
      </c>
      <c r="M5" s="57" t="s">
        <v>300</v>
      </c>
      <c r="N5" s="57" t="s">
        <v>301</v>
      </c>
      <c r="O5" s="58" t="s">
        <v>302</v>
      </c>
      <c r="P5" s="58" t="s">
        <v>303</v>
      </c>
      <c r="Q5" s="58" t="s">
        <v>304</v>
      </c>
      <c r="R5" s="58" t="s">
        <v>305</v>
      </c>
      <c r="S5" s="59" t="s">
        <v>306</v>
      </c>
      <c r="T5" s="59" t="s">
        <v>307</v>
      </c>
      <c r="U5" s="59" t="s">
        <v>308</v>
      </c>
      <c r="V5" s="59" t="s">
        <v>309</v>
      </c>
      <c r="W5" s="59" t="s">
        <v>310</v>
      </c>
      <c r="X5" s="59" t="s">
        <v>311</v>
      </c>
      <c r="Y5" s="59" t="s">
        <v>312</v>
      </c>
      <c r="Z5" s="60" t="s">
        <v>313</v>
      </c>
      <c r="AA5" s="60" t="s">
        <v>314</v>
      </c>
      <c r="AB5" s="60" t="s">
        <v>315</v>
      </c>
      <c r="AC5" s="60" t="s">
        <v>316</v>
      </c>
    </row>
    <row r="6" spans="2:30" ht="21.75" customHeight="1" x14ac:dyDescent="0.35">
      <c r="B6" s="61" t="s">
        <v>256</v>
      </c>
      <c r="C6" s="61" t="s">
        <v>65</v>
      </c>
      <c r="D6" s="61" t="s">
        <v>259</v>
      </c>
      <c r="E6" s="29">
        <f>SURA_Cotizadores!D8</f>
        <v>0</v>
      </c>
      <c r="F6" s="29" t="str">
        <f>SURA_Cotizadores!D9</f>
        <v>No</v>
      </c>
      <c r="G6" s="62" t="str">
        <f>IFERROR(SURA_Cotizadores!J15,"")</f>
        <v/>
      </c>
      <c r="H6" s="63">
        <f>IFERROR((SURA_Cotizadores!F41+SURA_Cotizadores!F42+SURA_Cotizadores!F43+SURA_Cotizadores!F44)/4,"")</f>
        <v>0</v>
      </c>
      <c r="I6" s="64" t="str">
        <f>IF(SURA_Cotizadores!F20&lt;&gt;"",SURA_Cotizadores!F20,"")</f>
        <v/>
      </c>
      <c r="J6" s="64" t="str">
        <f>IF(SURA_Cotizadores!F21&lt;&gt;"",SURA_Cotizadores!F21,"")</f>
        <v/>
      </c>
      <c r="K6" s="64" t="str">
        <f>IF(SURA_Cotizadores!F23&lt;&gt;"",SURA_Cotizadores!F23,"")</f>
        <v/>
      </c>
      <c r="L6" s="64" t="str">
        <f>IF(SURA_Cotizadores!F24&lt;&gt;"",SURA_Cotizadores!F24,"")</f>
        <v/>
      </c>
      <c r="M6" s="64" t="str">
        <f>IF(SURA_Cotizadores!F25&lt;&gt;"",SURA_Cotizadores!F25,"")</f>
        <v/>
      </c>
      <c r="N6" s="64" t="str">
        <f>IF(SURA_Cotizadores!F26&lt;&gt;"",SURA_Cotizadores!F26,"")</f>
        <v/>
      </c>
      <c r="O6" s="64" t="str">
        <f>IF(SURA_Cotizadores!F28&lt;&gt;"",SURA_Cotizadores!F28,"")</f>
        <v/>
      </c>
      <c r="P6" s="64" t="str">
        <f>IF(SURA_Cotizadores!F29&lt;&gt;"",SURA_Cotizadores!F29,"")</f>
        <v/>
      </c>
      <c r="Q6" s="64" t="str">
        <f>IF(SURA_Cotizadores!F30&lt;&gt;"",SURA_Cotizadores!F30,"")</f>
        <v/>
      </c>
      <c r="R6" s="64" t="str">
        <f>IF(SURA_Cotizadores!F31&lt;&gt;"",SURA_Cotizadores!F31,"")</f>
        <v/>
      </c>
      <c r="S6" s="64" t="str">
        <f>IF(SURA_Cotizadores!F33&lt;&gt;"",SURA_Cotizadores!F33,"")</f>
        <v/>
      </c>
      <c r="T6" s="64" t="str">
        <f>IF(SURA_Cotizadores!F34&lt;&gt;"",SURA_Cotizadores!F34,"")</f>
        <v/>
      </c>
      <c r="U6" s="64" t="str">
        <f>IF(SURA_Cotizadores!F35&lt;&gt;"",SURA_Cotizadores!F35,"")</f>
        <v/>
      </c>
      <c r="V6" s="64" t="str">
        <f>IF(SURA_Cotizadores!F36&lt;&gt;"",SURA_Cotizadores!F36,"")</f>
        <v/>
      </c>
      <c r="W6" s="64" t="str">
        <f>IF(SURA_Cotizadores!F37&lt;&gt;"",SURA_Cotizadores!F37,"")</f>
        <v/>
      </c>
      <c r="X6" s="64" t="str">
        <f>IF(SURA_Cotizadores!F38&lt;&gt;"",SURA_Cotizadores!F38,"")</f>
        <v/>
      </c>
      <c r="Y6" s="64" t="str">
        <f>IF(SURA_Cotizadores!F39&lt;&gt;"",SURA_Cotizadores!F39,"")</f>
        <v/>
      </c>
      <c r="Z6" s="64" t="str">
        <f>IF(SURA_Cotizadores!F41&lt;&gt;"",SURA_Cotizadores!F41,"")</f>
        <v/>
      </c>
      <c r="AA6" s="64" t="str">
        <f>IF(SURA_Cotizadores!F42&lt;&gt;"",SURA_Cotizadores!F42,"")</f>
        <v/>
      </c>
      <c r="AB6" s="64" t="str">
        <f>IF(SURA_Cotizadores!F43&lt;&gt;"",SURA_Cotizadores!F43,"")</f>
        <v/>
      </c>
      <c r="AC6" s="64" t="str">
        <f>IF(SURA_Cotizadores!F44&lt;&gt;"",SURA_Cotizadores!F44,"")</f>
        <v/>
      </c>
    </row>
    <row r="7" spans="2:30" ht="21.75" customHeight="1" x14ac:dyDescent="0.35">
      <c r="B7" s="61" t="s">
        <v>277</v>
      </c>
      <c r="C7" s="61" t="s">
        <v>65</v>
      </c>
      <c r="D7" s="61" t="s">
        <v>259</v>
      </c>
      <c r="E7" s="29">
        <f>SURA_VentaDigital!D8</f>
        <v>0</v>
      </c>
      <c r="F7" s="29" t="str">
        <f>SURA_VentaDigital!D9</f>
        <v>No</v>
      </c>
      <c r="G7" s="62" t="str">
        <f>IFERROR(SURA_VentaDigital!J15,"")</f>
        <v/>
      </c>
      <c r="H7" s="63">
        <f>IFERROR((SURA_VentaDigital!F41+SURA_VentaDigital!F42+SURA_VentaDigital!F43+SURA_VentaDigital!F44)/4,"")</f>
        <v>0</v>
      </c>
      <c r="I7" s="64" t="str">
        <f>IF(SURA_VentaDigital!F20&lt;&gt;"",SURA_VentaDigital!F20,"")</f>
        <v/>
      </c>
      <c r="J7" s="64" t="str">
        <f>IF(SURA_VentaDigital!F21&lt;&gt;"",SURA_VentaDigital!F21,"")</f>
        <v/>
      </c>
      <c r="K7" s="64" t="str">
        <f>IF(SURA_VentaDigital!F23&lt;&gt;"",SURA_VentaDigital!F23,"")</f>
        <v/>
      </c>
      <c r="L7" s="64" t="str">
        <f>IF(SURA_VentaDigital!F24&lt;&gt;"",SURA_VentaDigital!F24,"")</f>
        <v/>
      </c>
      <c r="M7" s="64" t="str">
        <f>IF(SURA_VentaDigital!F25&lt;&gt;"",SURA_VentaDigital!F25,"")</f>
        <v/>
      </c>
      <c r="N7" s="64" t="str">
        <f>IF(SURA_VentaDigital!F26&lt;&gt;"",SURA_VentaDigital!F26,"")</f>
        <v/>
      </c>
      <c r="O7" s="64" t="str">
        <f>IF(SURA_VentaDigital!F28&lt;&gt;"",SURA_VentaDigital!F28,"")</f>
        <v/>
      </c>
      <c r="P7" s="64" t="str">
        <f>IF(SURA_VentaDigital!F29&lt;&gt;"",SURA_VentaDigital!F29,"")</f>
        <v/>
      </c>
      <c r="Q7" s="64" t="str">
        <f>IF(SURA_VentaDigital!F30&lt;&gt;"",SURA_VentaDigital!F30,"")</f>
        <v/>
      </c>
      <c r="R7" s="64" t="str">
        <f>IF(SURA_VentaDigital!F31&lt;&gt;"",SURA_VentaDigital!F31,"")</f>
        <v/>
      </c>
      <c r="S7" s="64" t="str">
        <f>IF(SURA_VentaDigital!F33&lt;&gt;"",SURA_VentaDigital!F33,"")</f>
        <v/>
      </c>
      <c r="T7" s="64" t="str">
        <f>IF(SURA_VentaDigital!F34&lt;&gt;"",SURA_VentaDigital!F34,"")</f>
        <v/>
      </c>
      <c r="U7" s="64" t="str">
        <f>IF(SURA_VentaDigital!F35&lt;&gt;"",SURA_VentaDigital!F35,"")</f>
        <v/>
      </c>
      <c r="V7" s="64" t="str">
        <f>IF(SURA_VentaDigital!F36&lt;&gt;"",SURA_VentaDigital!F36,"")</f>
        <v/>
      </c>
      <c r="W7" s="64" t="str">
        <f>IF(SURA_VentaDigital!F37&lt;&gt;"",SURA_VentaDigital!F37,"")</f>
        <v/>
      </c>
      <c r="X7" s="64" t="str">
        <f>IF(SURA_VentaDigital!F38&lt;&gt;"",SURA_VentaDigital!F38,"")</f>
        <v/>
      </c>
      <c r="Y7" s="64" t="str">
        <f>IF(SURA_VentaDigital!F39&lt;&gt;"",SURA_VentaDigital!F39,"")</f>
        <v/>
      </c>
      <c r="Z7" s="64" t="str">
        <f>IF(SURA_VentaDigital!F41&lt;&gt;"",SURA_VentaDigital!F41,"")</f>
        <v/>
      </c>
      <c r="AA7" s="64" t="str">
        <f>IF(SURA_VentaDigital!F42&lt;&gt;"",SURA_VentaDigital!F42,"")</f>
        <v/>
      </c>
      <c r="AB7" s="64" t="str">
        <f>IF(SURA_VentaDigital!F43&lt;&gt;"",SURA_VentaDigital!F43,"")</f>
        <v/>
      </c>
      <c r="AC7" s="64" t="str">
        <f>IF(SURA_VentaDigital!F44&lt;&gt;"",SURA_VentaDigital!F44,"")</f>
        <v/>
      </c>
    </row>
    <row r="8" spans="2:30" ht="21.75" customHeight="1" x14ac:dyDescent="0.35">
      <c r="B8" s="61" t="s">
        <v>279</v>
      </c>
      <c r="C8" s="61" t="s">
        <v>65</v>
      </c>
      <c r="D8" s="61" t="s">
        <v>259</v>
      </c>
      <c r="E8" s="29">
        <f>SURA_TorreControl!D8</f>
        <v>0</v>
      </c>
      <c r="F8" s="29" t="str">
        <f>SURA_TorreControl!D9</f>
        <v>No</v>
      </c>
      <c r="G8" s="62" t="str">
        <f>IFERROR(SURA_TorreControl!J15,"")</f>
        <v/>
      </c>
      <c r="H8" s="63">
        <f>IFERROR((SURA_TorreControl!F41+SURA_TorreControl!F42+SURA_TorreControl!F43+SURA_TorreControl!F44)/4,"")</f>
        <v>0</v>
      </c>
      <c r="I8" s="64" t="str">
        <f>IF(SURA_TorreControl!F20&lt;&gt;"",SURA_TorreControl!F20,"")</f>
        <v/>
      </c>
      <c r="J8" s="64" t="str">
        <f>IF(SURA_TorreControl!F21&lt;&gt;"",SURA_TorreControl!F21,"")</f>
        <v/>
      </c>
      <c r="K8" s="64" t="str">
        <f>IF(SURA_TorreControl!F23&lt;&gt;"",SURA_TorreControl!F23,"")</f>
        <v/>
      </c>
      <c r="L8" s="64" t="str">
        <f>IF(SURA_TorreControl!F24&lt;&gt;"",SURA_TorreControl!F24,"")</f>
        <v/>
      </c>
      <c r="M8" s="64" t="str">
        <f>IF(SURA_TorreControl!F25&lt;&gt;"",SURA_TorreControl!F25,"")</f>
        <v/>
      </c>
      <c r="N8" s="64" t="str">
        <f>IF(SURA_TorreControl!F26&lt;&gt;"",SURA_TorreControl!F26,"")</f>
        <v/>
      </c>
      <c r="O8" s="64" t="str">
        <f>IF(SURA_TorreControl!F28&lt;&gt;"",SURA_TorreControl!F28,"")</f>
        <v/>
      </c>
      <c r="P8" s="64" t="str">
        <f>IF(SURA_TorreControl!F29&lt;&gt;"",SURA_TorreControl!F29,"")</f>
        <v/>
      </c>
      <c r="Q8" s="64" t="str">
        <f>IF(SURA_TorreControl!F30&lt;&gt;"",SURA_TorreControl!F30,"")</f>
        <v/>
      </c>
      <c r="R8" s="64" t="str">
        <f>IF(SURA_TorreControl!F31&lt;&gt;"",SURA_TorreControl!F31,"")</f>
        <v/>
      </c>
      <c r="S8" s="64" t="str">
        <f>IF(SURA_TorreControl!F33&lt;&gt;"",SURA_TorreControl!F33,"")</f>
        <v/>
      </c>
      <c r="T8" s="64" t="str">
        <f>IF(SURA_TorreControl!F34&lt;&gt;"",SURA_TorreControl!F34,"")</f>
        <v/>
      </c>
      <c r="U8" s="64" t="str">
        <f>IF(SURA_TorreControl!F35&lt;&gt;"",SURA_TorreControl!F35,"")</f>
        <v/>
      </c>
      <c r="V8" s="64" t="str">
        <f>IF(SURA_TorreControl!F36&lt;&gt;"",SURA_TorreControl!F36,"")</f>
        <v/>
      </c>
      <c r="W8" s="64" t="str">
        <f>IF(SURA_TorreControl!F37&lt;&gt;"",SURA_TorreControl!F37,"")</f>
        <v/>
      </c>
      <c r="X8" s="64" t="str">
        <f>IF(SURA_TorreControl!F38&lt;&gt;"",SURA_TorreControl!F38,"")</f>
        <v/>
      </c>
      <c r="Y8" s="64" t="str">
        <f>IF(SURA_TorreControl!F39&lt;&gt;"",SURA_TorreControl!F39,"")</f>
        <v/>
      </c>
      <c r="Z8" s="64" t="str">
        <f>IF(SURA_TorreControl!F41&lt;&gt;"",SURA_TorreControl!F41,"")</f>
        <v/>
      </c>
      <c r="AA8" s="64" t="str">
        <f>IF(SURA_TorreControl!F42&lt;&gt;"",SURA_TorreControl!F42,"")</f>
        <v/>
      </c>
      <c r="AB8" s="64" t="str">
        <f>IF(SURA_TorreControl!F43&lt;&gt;"",SURA_TorreControl!F43,"")</f>
        <v/>
      </c>
      <c r="AC8" s="64" t="str">
        <f>IF(SURA_TorreControl!F44&lt;&gt;"",SURA_TorreControl!F44,"")</f>
        <v/>
      </c>
    </row>
    <row r="9" spans="2:30" ht="21.75" customHeight="1" x14ac:dyDescent="0.35">
      <c r="B9" s="61" t="s">
        <v>281</v>
      </c>
      <c r="C9" s="61" t="s">
        <v>65</v>
      </c>
      <c r="D9" s="61" t="s">
        <v>259</v>
      </c>
      <c r="E9" s="29">
        <f>SURA_Mesa4!D8</f>
        <v>0</v>
      </c>
      <c r="F9" s="29" t="str">
        <f>SURA_Mesa4!D9</f>
        <v>No</v>
      </c>
      <c r="G9" s="62" t="str">
        <f>IFERROR(SURA_Mesa4!J15,"")</f>
        <v/>
      </c>
      <c r="H9" s="63">
        <f>IFERROR((SURA_Mesa4!F41+SURA_Mesa4!F42+SURA_Mesa4!F43+SURA_Mesa4!F44)/4,"")</f>
        <v>0</v>
      </c>
      <c r="I9" s="64" t="str">
        <f>IF(SURA_Mesa4!F20&lt;&gt;"",SURA_Mesa4!F20,"")</f>
        <v/>
      </c>
      <c r="J9" s="64" t="str">
        <f>IF(SURA_Mesa4!F21&lt;&gt;"",SURA_Mesa4!F21,"")</f>
        <v/>
      </c>
      <c r="K9" s="64" t="str">
        <f>IF(SURA_Mesa4!F23&lt;&gt;"",SURA_Mesa4!F23,"")</f>
        <v/>
      </c>
      <c r="L9" s="64" t="str">
        <f>IF(SURA_Mesa4!F24&lt;&gt;"",SURA_Mesa4!F24,"")</f>
        <v/>
      </c>
      <c r="M9" s="64" t="str">
        <f>IF(SURA_Mesa4!F25&lt;&gt;"",SURA_Mesa4!F25,"")</f>
        <v/>
      </c>
      <c r="N9" s="64" t="str">
        <f>IF(SURA_Mesa4!F26&lt;&gt;"",SURA_Mesa4!F26,"")</f>
        <v/>
      </c>
      <c r="O9" s="64" t="str">
        <f>IF(SURA_Mesa4!F28&lt;&gt;"",SURA_Mesa4!F28,"")</f>
        <v/>
      </c>
      <c r="P9" s="64" t="str">
        <f>IF(SURA_Mesa4!F29&lt;&gt;"",SURA_Mesa4!F29,"")</f>
        <v/>
      </c>
      <c r="Q9" s="64" t="str">
        <f>IF(SURA_Mesa4!F30&lt;&gt;"",SURA_Mesa4!F30,"")</f>
        <v/>
      </c>
      <c r="R9" s="64" t="str">
        <f>IF(SURA_Mesa4!F31&lt;&gt;"",SURA_Mesa4!F31,"")</f>
        <v/>
      </c>
      <c r="S9" s="64" t="str">
        <f>IF(SURA_Mesa4!F33&lt;&gt;"",SURA_Mesa4!F33,"")</f>
        <v/>
      </c>
      <c r="T9" s="64" t="str">
        <f>IF(SURA_Mesa4!F34&lt;&gt;"",SURA_Mesa4!F34,"")</f>
        <v/>
      </c>
      <c r="U9" s="64" t="str">
        <f>IF(SURA_Mesa4!F35&lt;&gt;"",SURA_Mesa4!F35,"")</f>
        <v/>
      </c>
      <c r="V9" s="64" t="str">
        <f>IF(SURA_Mesa4!F36&lt;&gt;"",SURA_Mesa4!F36,"")</f>
        <v/>
      </c>
      <c r="W9" s="64" t="str">
        <f>IF(SURA_Mesa4!F37&lt;&gt;"",SURA_Mesa4!F37,"")</f>
        <v/>
      </c>
      <c r="X9" s="64" t="str">
        <f>IF(SURA_Mesa4!F38&lt;&gt;"",SURA_Mesa4!F38,"")</f>
        <v/>
      </c>
      <c r="Y9" s="64" t="str">
        <f>IF(SURA_Mesa4!F39&lt;&gt;"",SURA_Mesa4!F39,"")</f>
        <v/>
      </c>
      <c r="Z9" s="64" t="str">
        <f>IF(SURA_Mesa4!F41&lt;&gt;"",SURA_Mesa4!F41,"")</f>
        <v/>
      </c>
      <c r="AA9" s="64" t="str">
        <f>IF(SURA_Mesa4!F42&lt;&gt;"",SURA_Mesa4!F42,"")</f>
        <v/>
      </c>
      <c r="AB9" s="64" t="str">
        <f>IF(SURA_Mesa4!F43&lt;&gt;"",SURA_Mesa4!F43,"")</f>
        <v/>
      </c>
      <c r="AC9" s="64" t="str">
        <f>IF(SURA_Mesa4!F44&lt;&gt;"",SURA_Mesa4!F44,"")</f>
        <v/>
      </c>
    </row>
    <row r="10" spans="2:30" ht="21.75" customHeight="1" x14ac:dyDescent="0.35">
      <c r="B10" s="61" t="s">
        <v>284</v>
      </c>
      <c r="C10" s="61" t="s">
        <v>72</v>
      </c>
      <c r="D10" s="61" t="s">
        <v>64</v>
      </c>
      <c r="E10" s="29">
        <f>BCO_GIOTI_1!D8</f>
        <v>0</v>
      </c>
      <c r="F10" s="29" t="str">
        <f>BCO_GIOTI_1!D9</f>
        <v>No</v>
      </c>
      <c r="G10" s="62" t="str">
        <f>IFERROR(BCO_GIOTI_1!J15,"")</f>
        <v/>
      </c>
      <c r="H10" s="63">
        <f>IFERROR((BCO_GIOTI_1!F41+BCO_GIOTI_1!F42+BCO_GIOTI_1!F43+BCO_GIOTI_1!F44)/4,"")</f>
        <v>0</v>
      </c>
      <c r="I10" s="64" t="str">
        <f>IF(BCO_GIOTI_1!F20&lt;&gt;"",BCO_GIOTI_1!F20,"")</f>
        <v/>
      </c>
      <c r="J10" s="64" t="str">
        <f>IF(BCO_GIOTI_1!F21&lt;&gt;"",BCO_GIOTI_1!F21,"")</f>
        <v/>
      </c>
      <c r="K10" s="64" t="str">
        <f>IF(BCO_GIOTI_1!F23&lt;&gt;"",BCO_GIOTI_1!F23,"")</f>
        <v/>
      </c>
      <c r="L10" s="64" t="str">
        <f>IF(BCO_GIOTI_1!F24&lt;&gt;"",BCO_GIOTI_1!F24,"")</f>
        <v/>
      </c>
      <c r="M10" s="64" t="str">
        <f>IF(BCO_GIOTI_1!F25&lt;&gt;"",BCO_GIOTI_1!F25,"")</f>
        <v/>
      </c>
      <c r="N10" s="64" t="str">
        <f>IF(BCO_GIOTI_1!F26&lt;&gt;"",BCO_GIOTI_1!F26,"")</f>
        <v/>
      </c>
      <c r="O10" s="64" t="str">
        <f>IF(BCO_GIOTI_1!F28&lt;&gt;"",BCO_GIOTI_1!F28,"")</f>
        <v/>
      </c>
      <c r="P10" s="64" t="str">
        <f>IF(BCO_GIOTI_1!F29&lt;&gt;"",BCO_GIOTI_1!F29,"")</f>
        <v/>
      </c>
      <c r="Q10" s="64" t="str">
        <f>IF(BCO_GIOTI_1!F30&lt;&gt;"",BCO_GIOTI_1!F30,"")</f>
        <v/>
      </c>
      <c r="R10" s="64" t="str">
        <f>IF(BCO_GIOTI_1!F31&lt;&gt;"",BCO_GIOTI_1!F31,"")</f>
        <v/>
      </c>
      <c r="S10" s="64" t="str">
        <f>IF(BCO_GIOTI_1!F33&lt;&gt;"",BCO_GIOTI_1!F33,"")</f>
        <v/>
      </c>
      <c r="T10" s="64" t="str">
        <f>IF(BCO_GIOTI_1!F34&lt;&gt;"",BCO_GIOTI_1!F34,"")</f>
        <v/>
      </c>
      <c r="U10" s="64" t="str">
        <f>IF(BCO_GIOTI_1!F35&lt;&gt;"",BCO_GIOTI_1!F35,"")</f>
        <v/>
      </c>
      <c r="V10" s="64" t="str">
        <f>IF(BCO_GIOTI_1!F36&lt;&gt;"",BCO_GIOTI_1!F36,"")</f>
        <v/>
      </c>
      <c r="W10" s="64" t="str">
        <f>IF(BCO_GIOTI_1!F37&lt;&gt;"",BCO_GIOTI_1!F37,"")</f>
        <v/>
      </c>
      <c r="X10" s="64" t="str">
        <f>IF(BCO_GIOTI_1!F38&lt;&gt;"",BCO_GIOTI_1!F38,"")</f>
        <v/>
      </c>
      <c r="Y10" s="64" t="str">
        <f>IF(BCO_GIOTI_1!F39&lt;&gt;"",BCO_GIOTI_1!F39,"")</f>
        <v/>
      </c>
      <c r="Z10" s="64" t="str">
        <f>IF(BCO_GIOTI_1!F41&lt;&gt;"",BCO_GIOTI_1!F41,"")</f>
        <v/>
      </c>
      <c r="AA10" s="64" t="str">
        <f>IF(BCO_GIOTI_1!F42&lt;&gt;"",BCO_GIOTI_1!F42,"")</f>
        <v/>
      </c>
      <c r="AB10" s="64" t="str">
        <f>IF(BCO_GIOTI_1!F43&lt;&gt;"",BCO_GIOTI_1!F43,"")</f>
        <v/>
      </c>
      <c r="AC10" s="64" t="str">
        <f>IF(BCO_GIOTI_1!F44&lt;&gt;"",BCO_GIOTI_1!F44,"")</f>
        <v/>
      </c>
    </row>
    <row r="11" spans="2:30" ht="21.75" customHeight="1" x14ac:dyDescent="0.35">
      <c r="B11" s="61" t="s">
        <v>286</v>
      </c>
      <c r="C11" s="61" t="s">
        <v>72</v>
      </c>
      <c r="D11" s="61" t="s">
        <v>64</v>
      </c>
      <c r="E11" s="29">
        <f>BCO_GIOTI_2!D8</f>
        <v>0</v>
      </c>
      <c r="F11" s="29" t="str">
        <f>BCO_GIOTI_2!D9</f>
        <v>No</v>
      </c>
      <c r="G11" s="62" t="str">
        <f>IFERROR(BCO_GIOTI_2!J15,"")</f>
        <v/>
      </c>
      <c r="H11" s="63">
        <f>IFERROR((BCO_GIOTI_2!F41+BCO_GIOTI_2!F42+BCO_GIOTI_2!F43+BCO_GIOTI_2!F44)/4,"")</f>
        <v>0</v>
      </c>
      <c r="I11" s="64" t="str">
        <f>IF(BCO_GIOTI_2!F20&lt;&gt;"",BCO_GIOTI_2!F20,"")</f>
        <v/>
      </c>
      <c r="J11" s="64" t="str">
        <f>IF(BCO_GIOTI_2!F21&lt;&gt;"",BCO_GIOTI_2!F21,"")</f>
        <v/>
      </c>
      <c r="K11" s="64" t="str">
        <f>IF(BCO_GIOTI_2!F23&lt;&gt;"",BCO_GIOTI_2!F23,"")</f>
        <v/>
      </c>
      <c r="L11" s="64" t="str">
        <f>IF(BCO_GIOTI_2!F24&lt;&gt;"",BCO_GIOTI_2!F24,"")</f>
        <v/>
      </c>
      <c r="M11" s="64" t="str">
        <f>IF(BCO_GIOTI_2!F25&lt;&gt;"",BCO_GIOTI_2!F25,"")</f>
        <v/>
      </c>
      <c r="N11" s="64" t="str">
        <f>IF(BCO_GIOTI_2!F26&lt;&gt;"",BCO_GIOTI_2!F26,"")</f>
        <v/>
      </c>
      <c r="O11" s="64" t="str">
        <f>IF(BCO_GIOTI_2!F28&lt;&gt;"",BCO_GIOTI_2!F28,"")</f>
        <v/>
      </c>
      <c r="P11" s="64" t="str">
        <f>IF(BCO_GIOTI_2!F29&lt;&gt;"",BCO_GIOTI_2!F29,"")</f>
        <v/>
      </c>
      <c r="Q11" s="64" t="str">
        <f>IF(BCO_GIOTI_2!F30&lt;&gt;"",BCO_GIOTI_2!F30,"")</f>
        <v/>
      </c>
      <c r="R11" s="64" t="str">
        <f>IF(BCO_GIOTI_2!F31&lt;&gt;"",BCO_GIOTI_2!F31,"")</f>
        <v/>
      </c>
      <c r="S11" s="64" t="str">
        <f>IF(BCO_GIOTI_2!F33&lt;&gt;"",BCO_GIOTI_2!F33,"")</f>
        <v/>
      </c>
      <c r="T11" s="64" t="str">
        <f>IF(BCO_GIOTI_2!F34&lt;&gt;"",BCO_GIOTI_2!F34,"")</f>
        <v/>
      </c>
      <c r="U11" s="64" t="str">
        <f>IF(BCO_GIOTI_2!F35&lt;&gt;"",BCO_GIOTI_2!F35,"")</f>
        <v/>
      </c>
      <c r="V11" s="64" t="str">
        <f>IF(BCO_GIOTI_2!F36&lt;&gt;"",BCO_GIOTI_2!F36,"")</f>
        <v/>
      </c>
      <c r="W11" s="64" t="str">
        <f>IF(BCO_GIOTI_2!F37&lt;&gt;"",BCO_GIOTI_2!F37,"")</f>
        <v/>
      </c>
      <c r="X11" s="64" t="str">
        <f>IF(BCO_GIOTI_2!F38&lt;&gt;"",BCO_GIOTI_2!F38,"")</f>
        <v/>
      </c>
      <c r="Y11" s="64" t="str">
        <f>IF(BCO_GIOTI_2!F39&lt;&gt;"",BCO_GIOTI_2!F39,"")</f>
        <v/>
      </c>
      <c r="Z11" s="64" t="str">
        <f>IF(BCO_GIOTI_2!F41&lt;&gt;"",BCO_GIOTI_2!F41,"")</f>
        <v/>
      </c>
      <c r="AA11" s="64" t="str">
        <f>IF(BCO_GIOTI_2!F42&lt;&gt;"",BCO_GIOTI_2!F42,"")</f>
        <v/>
      </c>
      <c r="AB11" s="64" t="str">
        <f>IF(BCO_GIOTI_2!F43&lt;&gt;"",BCO_GIOTI_2!F43,"")</f>
        <v/>
      </c>
      <c r="AC11" s="64" t="str">
        <f>IF(BCO_GIOTI_2!F44&lt;&gt;"",BCO_GIOTI_2!F44,"")</f>
        <v/>
      </c>
    </row>
    <row r="12" spans="2:30" ht="21.75" customHeight="1" x14ac:dyDescent="0.35">
      <c r="B12" s="61" t="s">
        <v>288</v>
      </c>
      <c r="C12" s="61" t="s">
        <v>72</v>
      </c>
      <c r="D12" s="61" t="s">
        <v>64</v>
      </c>
      <c r="E12" s="29">
        <f>BCO_GIOTI_3!D8</f>
        <v>0</v>
      </c>
      <c r="F12" s="29" t="str">
        <f>BCO_GIOTI_3!D9</f>
        <v>No</v>
      </c>
      <c r="G12" s="62" t="str">
        <f>IFERROR(BCO_GIOTI_3!J15,"")</f>
        <v/>
      </c>
      <c r="H12" s="63">
        <f>IFERROR((BCO_GIOTI_3!F41+BCO_GIOTI_3!F42+BCO_GIOTI_3!F43+BCO_GIOTI_3!F44)/4,"")</f>
        <v>0</v>
      </c>
      <c r="I12" s="64" t="str">
        <f>IF(BCO_GIOTI_3!F20&lt;&gt;"",BCO_GIOTI_3!F20,"")</f>
        <v/>
      </c>
      <c r="J12" s="64" t="str">
        <f>IF(BCO_GIOTI_3!F21&lt;&gt;"",BCO_GIOTI_3!F21,"")</f>
        <v/>
      </c>
      <c r="K12" s="64" t="str">
        <f>IF(BCO_GIOTI_3!F23&lt;&gt;"",BCO_GIOTI_3!F23,"")</f>
        <v/>
      </c>
      <c r="L12" s="64" t="str">
        <f>IF(BCO_GIOTI_3!F24&lt;&gt;"",BCO_GIOTI_3!F24,"")</f>
        <v/>
      </c>
      <c r="M12" s="64" t="str">
        <f>IF(BCO_GIOTI_3!F25&lt;&gt;"",BCO_GIOTI_3!F25,"")</f>
        <v/>
      </c>
      <c r="N12" s="64" t="str">
        <f>IF(BCO_GIOTI_3!F26&lt;&gt;"",BCO_GIOTI_3!F26,"")</f>
        <v/>
      </c>
      <c r="O12" s="64" t="str">
        <f>IF(BCO_GIOTI_3!F28&lt;&gt;"",BCO_GIOTI_3!F28,"")</f>
        <v/>
      </c>
      <c r="P12" s="64" t="str">
        <f>IF(BCO_GIOTI_3!F29&lt;&gt;"",BCO_GIOTI_3!F29,"")</f>
        <v/>
      </c>
      <c r="Q12" s="64" t="str">
        <f>IF(BCO_GIOTI_3!F30&lt;&gt;"",BCO_GIOTI_3!F30,"")</f>
        <v/>
      </c>
      <c r="R12" s="64" t="str">
        <f>IF(BCO_GIOTI_3!F31&lt;&gt;"",BCO_GIOTI_3!F31,"")</f>
        <v/>
      </c>
      <c r="S12" s="64" t="str">
        <f>IF(BCO_GIOTI_3!F33&lt;&gt;"",BCO_GIOTI_3!F33,"")</f>
        <v/>
      </c>
      <c r="T12" s="64" t="str">
        <f>IF(BCO_GIOTI_3!F34&lt;&gt;"",BCO_GIOTI_3!F34,"")</f>
        <v/>
      </c>
      <c r="U12" s="64" t="str">
        <f>IF(BCO_GIOTI_3!F35&lt;&gt;"",BCO_GIOTI_3!F35,"")</f>
        <v/>
      </c>
      <c r="V12" s="64" t="str">
        <f>IF(BCO_GIOTI_3!F36&lt;&gt;"",BCO_GIOTI_3!F36,"")</f>
        <v/>
      </c>
      <c r="W12" s="64" t="str">
        <f>IF(BCO_GIOTI_3!F37&lt;&gt;"",BCO_GIOTI_3!F37,"")</f>
        <v/>
      </c>
      <c r="X12" s="64" t="str">
        <f>IF(BCO_GIOTI_3!F38&lt;&gt;"",BCO_GIOTI_3!F38,"")</f>
        <v/>
      </c>
      <c r="Y12" s="64" t="str">
        <f>IF(BCO_GIOTI_3!F39&lt;&gt;"",BCO_GIOTI_3!F39,"")</f>
        <v/>
      </c>
      <c r="Z12" s="64" t="str">
        <f>IF(BCO_GIOTI_3!F41&lt;&gt;"",BCO_GIOTI_3!F41,"")</f>
        <v/>
      </c>
      <c r="AA12" s="64" t="str">
        <f>IF(BCO_GIOTI_3!F42&lt;&gt;"",BCO_GIOTI_3!F42,"")</f>
        <v/>
      </c>
      <c r="AB12" s="64" t="str">
        <f>IF(BCO_GIOTI_3!F43&lt;&gt;"",BCO_GIOTI_3!F43,"")</f>
        <v/>
      </c>
      <c r="AC12" s="64" t="str">
        <f>IF(BCO_GIOTI_3!F44&lt;&gt;"",BCO_GIOTI_3!F44,"")</f>
        <v/>
      </c>
    </row>
    <row r="13" spans="2:30" ht="21.75" customHeight="1" x14ac:dyDescent="0.35">
      <c r="B13" s="61" t="s">
        <v>290</v>
      </c>
      <c r="C13" s="61" t="s">
        <v>72</v>
      </c>
      <c r="D13" s="61" t="s">
        <v>64</v>
      </c>
      <c r="E13" s="29">
        <f>BCO_GIOTI_4!D8</f>
        <v>0</v>
      </c>
      <c r="F13" s="29" t="str">
        <f>BCO_GIOTI_4!D9</f>
        <v>No</v>
      </c>
      <c r="G13" s="62" t="str">
        <f>IFERROR(BCO_GIOTI_4!J15,"")</f>
        <v/>
      </c>
      <c r="H13" s="63">
        <f>IFERROR((BCO_GIOTI_4!F41+BCO_GIOTI_4!F42+BCO_GIOTI_4!F43+BCO_GIOTI_4!F44)/4,"")</f>
        <v>0</v>
      </c>
      <c r="I13" s="64" t="str">
        <f>IF(BCO_GIOTI_4!F20&lt;&gt;"",BCO_GIOTI_4!F20,"")</f>
        <v/>
      </c>
      <c r="J13" s="64" t="str">
        <f>IF(BCO_GIOTI_4!F21&lt;&gt;"",BCO_GIOTI_4!F21,"")</f>
        <v/>
      </c>
      <c r="K13" s="64" t="str">
        <f>IF(BCO_GIOTI_4!F23&lt;&gt;"",BCO_GIOTI_4!F23,"")</f>
        <v/>
      </c>
      <c r="L13" s="64" t="str">
        <f>IF(BCO_GIOTI_4!F24&lt;&gt;"",BCO_GIOTI_4!F24,"")</f>
        <v/>
      </c>
      <c r="M13" s="64" t="str">
        <f>IF(BCO_GIOTI_4!F25&lt;&gt;"",BCO_GIOTI_4!F25,"")</f>
        <v/>
      </c>
      <c r="N13" s="64" t="str">
        <f>IF(BCO_GIOTI_4!F26&lt;&gt;"",BCO_GIOTI_4!F26,"")</f>
        <v/>
      </c>
      <c r="O13" s="64" t="str">
        <f>IF(BCO_GIOTI_4!F28&lt;&gt;"",BCO_GIOTI_4!F28,"")</f>
        <v/>
      </c>
      <c r="P13" s="64" t="str">
        <f>IF(BCO_GIOTI_4!F29&lt;&gt;"",BCO_GIOTI_4!F29,"")</f>
        <v/>
      </c>
      <c r="Q13" s="64" t="str">
        <f>IF(BCO_GIOTI_4!F30&lt;&gt;"",BCO_GIOTI_4!F30,"")</f>
        <v/>
      </c>
      <c r="R13" s="64" t="str">
        <f>IF(BCO_GIOTI_4!F31&lt;&gt;"",BCO_GIOTI_4!F31,"")</f>
        <v/>
      </c>
      <c r="S13" s="64" t="str">
        <f>IF(BCO_GIOTI_4!F33&lt;&gt;"",BCO_GIOTI_4!F33,"")</f>
        <v/>
      </c>
      <c r="T13" s="64" t="str">
        <f>IF(BCO_GIOTI_4!F34&lt;&gt;"",BCO_GIOTI_4!F34,"")</f>
        <v/>
      </c>
      <c r="U13" s="64" t="str">
        <f>IF(BCO_GIOTI_4!F35&lt;&gt;"",BCO_GIOTI_4!F35,"")</f>
        <v/>
      </c>
      <c r="V13" s="64" t="str">
        <f>IF(BCO_GIOTI_4!F36&lt;&gt;"",BCO_GIOTI_4!F36,"")</f>
        <v/>
      </c>
      <c r="W13" s="64" t="str">
        <f>IF(BCO_GIOTI_4!F37&lt;&gt;"",BCO_GIOTI_4!F37,"")</f>
        <v/>
      </c>
      <c r="X13" s="64" t="str">
        <f>IF(BCO_GIOTI_4!F38&lt;&gt;"",BCO_GIOTI_4!F38,"")</f>
        <v/>
      </c>
      <c r="Y13" s="64" t="str">
        <f>IF(BCO_GIOTI_4!F39&lt;&gt;"",BCO_GIOTI_4!F39,"")</f>
        <v/>
      </c>
      <c r="Z13" s="64" t="str">
        <f>IF(BCO_GIOTI_4!F41&lt;&gt;"",BCO_GIOTI_4!F41,"")</f>
        <v/>
      </c>
      <c r="AA13" s="64" t="str">
        <f>IF(BCO_GIOTI_4!F42&lt;&gt;"",BCO_GIOTI_4!F42,"")</f>
        <v/>
      </c>
      <c r="AB13" s="64" t="str">
        <f>IF(BCO_GIOTI_4!F43&lt;&gt;"",BCO_GIOTI_4!F43,"")</f>
        <v/>
      </c>
      <c r="AC13" s="64" t="str">
        <f>IF(BCO_GIOTI_4!F44&lt;&gt;"",BCO_GIOTI_4!F44,"")</f>
        <v/>
      </c>
    </row>
    <row r="27" spans="2:12" ht="15" customHeight="1" x14ac:dyDescent="0.35">
      <c r="B27" s="43" t="s">
        <v>317</v>
      </c>
      <c r="I27" t="s">
        <v>318</v>
      </c>
      <c r="J27" t="s">
        <v>319</v>
      </c>
      <c r="K27" t="s">
        <v>20</v>
      </c>
      <c r="L27" t="s">
        <v>320</v>
      </c>
    </row>
    <row r="28" spans="2:12" ht="15" customHeight="1" x14ac:dyDescent="0.35">
      <c r="I28" s="65" t="str">
        <f>IFERROR(AVERAGE(I6:J13),"")</f>
        <v/>
      </c>
      <c r="J28" s="65" t="str">
        <f>IFERROR(AVERAGE(K6:N13),"")</f>
        <v/>
      </c>
      <c r="K28" s="65" t="str">
        <f>IFERROR(AVERAGE(O6:R13),"")</f>
        <v/>
      </c>
      <c r="L28" s="65" t="str">
        <f>IFERROR(AVERAGE(S6:Y13),"")</f>
        <v/>
      </c>
    </row>
    <row r="30" spans="2:12" ht="15" customHeight="1" x14ac:dyDescent="0.35">
      <c r="H30" t="s">
        <v>256</v>
      </c>
      <c r="I30" s="66" t="str">
        <f t="shared" ref="I30:I37" si="0">IFERROR(AVERAGE(I6:J6),"")</f>
        <v/>
      </c>
      <c r="J30" s="66" t="str">
        <f t="shared" ref="J30:J37" si="1">IFERROR(AVERAGE(K6:N6),"")</f>
        <v/>
      </c>
      <c r="K30" s="66" t="str">
        <f t="shared" ref="K30:K37" si="2">IFERROR(AVERAGE(O6:R6),"")</f>
        <v/>
      </c>
      <c r="L30" s="66" t="str">
        <f t="shared" ref="L30:L37" si="3">IFERROR(AVERAGE(S6:Y6),"")</f>
        <v/>
      </c>
    </row>
    <row r="31" spans="2:12" ht="15" customHeight="1" x14ac:dyDescent="0.35">
      <c r="H31" t="s">
        <v>277</v>
      </c>
      <c r="I31" s="66" t="str">
        <f t="shared" si="0"/>
        <v/>
      </c>
      <c r="J31" s="66" t="str">
        <f t="shared" si="1"/>
        <v/>
      </c>
      <c r="K31" s="66" t="str">
        <f t="shared" si="2"/>
        <v/>
      </c>
      <c r="L31" s="66" t="str">
        <f t="shared" si="3"/>
        <v/>
      </c>
    </row>
    <row r="32" spans="2:12" ht="15" customHeight="1" x14ac:dyDescent="0.35">
      <c r="H32" t="s">
        <v>279</v>
      </c>
      <c r="I32" s="66" t="str">
        <f t="shared" si="0"/>
        <v/>
      </c>
      <c r="J32" s="66" t="str">
        <f t="shared" si="1"/>
        <v/>
      </c>
      <c r="K32" s="66" t="str">
        <f t="shared" si="2"/>
        <v/>
      </c>
      <c r="L32" s="66" t="str">
        <f t="shared" si="3"/>
        <v/>
      </c>
    </row>
    <row r="33" spans="8:12" ht="15" customHeight="1" x14ac:dyDescent="0.35">
      <c r="H33" t="s">
        <v>281</v>
      </c>
      <c r="I33" s="66" t="str">
        <f t="shared" si="0"/>
        <v/>
      </c>
      <c r="J33" s="66" t="str">
        <f t="shared" si="1"/>
        <v/>
      </c>
      <c r="K33" s="66" t="str">
        <f t="shared" si="2"/>
        <v/>
      </c>
      <c r="L33" s="66" t="str">
        <f t="shared" si="3"/>
        <v/>
      </c>
    </row>
    <row r="34" spans="8:12" ht="15" customHeight="1" x14ac:dyDescent="0.35">
      <c r="H34" t="s">
        <v>284</v>
      </c>
      <c r="I34" s="66" t="str">
        <f t="shared" si="0"/>
        <v/>
      </c>
      <c r="J34" s="66" t="str">
        <f t="shared" si="1"/>
        <v/>
      </c>
      <c r="K34" s="66" t="str">
        <f t="shared" si="2"/>
        <v/>
      </c>
      <c r="L34" s="66" t="str">
        <f t="shared" si="3"/>
        <v/>
      </c>
    </row>
    <row r="35" spans="8:12" ht="15" customHeight="1" x14ac:dyDescent="0.35">
      <c r="H35" t="s">
        <v>286</v>
      </c>
      <c r="I35" s="66" t="str">
        <f t="shared" si="0"/>
        <v/>
      </c>
      <c r="J35" s="66" t="str">
        <f t="shared" si="1"/>
        <v/>
      </c>
      <c r="K35" s="66" t="str">
        <f t="shared" si="2"/>
        <v/>
      </c>
      <c r="L35" s="66" t="str">
        <f t="shared" si="3"/>
        <v/>
      </c>
    </row>
    <row r="36" spans="8:12" ht="15" customHeight="1" x14ac:dyDescent="0.35">
      <c r="H36" t="s">
        <v>288</v>
      </c>
      <c r="I36" s="66" t="str">
        <f t="shared" si="0"/>
        <v/>
      </c>
      <c r="J36" s="66" t="str">
        <f t="shared" si="1"/>
        <v/>
      </c>
      <c r="K36" s="66" t="str">
        <f t="shared" si="2"/>
        <v/>
      </c>
      <c r="L36" s="66" t="str">
        <f t="shared" si="3"/>
        <v/>
      </c>
    </row>
    <row r="37" spans="8:12" ht="15" customHeight="1" x14ac:dyDescent="0.35">
      <c r="H37" t="s">
        <v>290</v>
      </c>
      <c r="I37" s="66" t="str">
        <f t="shared" si="0"/>
        <v/>
      </c>
      <c r="J37" s="66" t="str">
        <f t="shared" si="1"/>
        <v/>
      </c>
      <c r="K37" s="66" t="str">
        <f t="shared" si="2"/>
        <v/>
      </c>
      <c r="L37" s="66" t="str">
        <f t="shared" si="3"/>
        <v/>
      </c>
    </row>
  </sheetData>
  <mergeCells count="2">
    <mergeCell ref="B2:AD2"/>
    <mergeCell ref="B3:AD3"/>
  </mergeCells>
  <conditionalFormatting sqref="G6:AC13">
    <cfRule type="colorScale" priority="2">
      <colorScale>
        <cfvo type="num" val="0"/>
        <cfvo type="num" val="3"/>
        <cfvo type="num" val="5"/>
        <color rgb="FFF0997B"/>
        <color rgb="FFFAC775"/>
        <color rgb="FF9FE1C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Inicio</vt:lpstr>
      <vt:lpstr>Listas</vt:lpstr>
      <vt:lpstr>Rúbrica</vt:lpstr>
      <vt:lpstr>SURA_Cotizadores</vt:lpstr>
      <vt:lpstr>SURA_VentaDigital</vt:lpstr>
      <vt:lpstr>SURA_TorreControl</vt:lpstr>
      <vt:lpstr>SURA_Mesa4</vt:lpstr>
      <vt:lpstr>BCO_GIOTI_1</vt:lpstr>
      <vt:lpstr>BCO_GIOTI_2</vt:lpstr>
      <vt:lpstr>BCO_GIOTI_3</vt:lpstr>
      <vt:lpstr>BCO_GIOTI_4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Natalia Zartha Suarez</cp:lastModifiedBy>
  <cp:revision>5</cp:revision>
  <dcterms:created xsi:type="dcterms:W3CDTF">2026-07-01T18:08:04Z</dcterms:created>
  <dcterms:modified xsi:type="dcterms:W3CDTF">2026-07-02T13:28:03Z</dcterms:modified>
  <dc:language>en-US</dc:language>
</cp:coreProperties>
</file>