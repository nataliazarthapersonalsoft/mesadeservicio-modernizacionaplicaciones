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8FBD828CF14B842D7AC6D051B354414A5E88004E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Instrucciones" sheetId="1" r:id="rId1"/>
    <sheet name="Rúbrica" sheetId="2" r:id="rId2"/>
    <sheet name="Evaluación" sheetId="3" r:id="rId3"/>
    <sheet name="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3" i="4" l="1"/>
  <c r="N12" i="4"/>
  <c r="N11" i="4"/>
  <c r="N10" i="4"/>
  <c r="N9" i="4"/>
  <c r="N8" i="4"/>
  <c r="N7" i="4"/>
  <c r="N6" i="4"/>
  <c r="F22" i="3"/>
  <c r="F21" i="3"/>
  <c r="F20" i="3"/>
  <c r="F19" i="3"/>
  <c r="F18" i="3"/>
  <c r="F17" i="3"/>
  <c r="F16" i="3"/>
  <c r="F15" i="3"/>
  <c r="F14" i="3"/>
  <c r="F13" i="3"/>
  <c r="E9" i="3"/>
</calcChain>
</file>

<file path=xl/sharedStrings.xml><?xml version="1.0" encoding="utf-8"?>
<sst xmlns="http://schemas.openxmlformats.org/spreadsheetml/2006/main" count="147" uniqueCount="109">
  <si>
    <t>Modelo de Madurez de Mesas de Servicio</t>
  </si>
  <si>
    <t>PersonalSoft · Basado en ITIL v5 · Instrumento de evaluación</t>
  </si>
  <si>
    <t>Cómo usar esta plantilla</t>
  </si>
  <si>
    <t>1. Ve a la hoja 'Evaluación' y crea una copia por cada mesa de servicio que quieras evaluar (clic derecho en la pestaña → Mover o copiar).</t>
  </si>
  <si>
    <t>2. Diligencia los datos generales de la mesa en la parte superior (nombre, cliente, evaluador, fecha).</t>
  </si>
  <si>
    <t>3. Para cada una de las 10 prácticas, selecciona el nivel actual (1 a 5) usando la lista desplegable en la columna 'Nivel actual'.</t>
  </si>
  <si>
    <t>4. Define el 'Nivel objetivo' que quieres alcanzar en los próximos 6 meses.</t>
  </si>
  <si>
    <t>5. Escribe en 'Evidencia / observación' qué viste concretamente para asignar ese nivel (no opiniones, hechos).</t>
  </si>
  <si>
    <t>6. El nivel de madurez global se calcula automáticamente como el promedio de las 10 prácticas.</t>
  </si>
  <si>
    <t>7. Revisa la hoja 'Dashboard' para ver el resumen visual y comparar varias mesas evaluadas.</t>
  </si>
  <si>
    <t>8. Usa la hoja 'Rúbrica' como referencia rápida de qué significa cada nivel en cada práctica.</t>
  </si>
  <si>
    <t>Estructura de la plantilla</t>
  </si>
  <si>
    <t>• Instrucciones — esta hoja</t>
  </si>
  <si>
    <t>• Rúbrica — descripción de los 5 niveles para cada una de las 10 prácticas</t>
  </si>
  <si>
    <t>• Evaluación — formulario de evaluación por mesa (duplicar por cada mesa)</t>
  </si>
  <si>
    <t>• Dashboard — consolidado comparativo de todas las mesas evaluadas</t>
  </si>
  <si>
    <t>Recordatorio</t>
  </si>
  <si>
    <t>Esta plantilla contiene información de las mesas de servicio actuales de los clientes.</t>
  </si>
  <si>
    <t>Trata el archivo como información confidencial: no lo compartas fuera del equipo autorizado</t>
  </si>
  <si>
    <t>y guárdalo en un repositorio con control de acceso (no en correo abierto).</t>
  </si>
  <si>
    <t>Rúbrica de evaluación · 10 prácticas × 5 niveles</t>
  </si>
  <si>
    <t>#</t>
  </si>
  <si>
    <t>Práctica</t>
  </si>
  <si>
    <t>Frente ITIL v5</t>
  </si>
  <si>
    <t>1 · Inicial</t>
  </si>
  <si>
    <t>2 · Administrado</t>
  </si>
  <si>
    <t>3 · Definido</t>
  </si>
  <si>
    <t>4 · Cuantitativo</t>
  </si>
  <si>
    <t>5 · Optimizado</t>
  </si>
  <si>
    <t>Gestión de incidentes</t>
  </si>
  <si>
    <t>Monitor, Support and Fulfill</t>
  </si>
  <si>
    <t>Sin registro formal ni categorización consistente</t>
  </si>
  <si>
    <t>Se registran en herramienta, categorización inconsistente</t>
  </si>
  <si>
    <t>Proceso documentado de registro, categorización y escalamiento (N1→N2→N3)</t>
  </si>
  <si>
    <t>Se mide tiempo de resolución por categoría y nivel, con metas claras</t>
  </si>
  <si>
    <t>Clasificación automática con IA, sugerencia de solución antes de escalar</t>
  </si>
  <si>
    <t>Gestión de solicitudes / peticiones</t>
  </si>
  <si>
    <t>No hay diferencia entre incidente y solicitud</t>
  </si>
  <si>
    <t>Se distingue solicitud de incidente, flujo totalmente manual</t>
  </si>
  <si>
    <t>Catálogo de solicitudes estándar con tiempos de cumplimiento definidos</t>
  </si>
  <si>
    <t>Se mide cumplimiento de solicitudes contra SLA, con reportes periódicos</t>
  </si>
  <si>
    <t>Portal de autoservicio (N0) resuelve solicitudes frecuentes sin intervención humana</t>
  </si>
  <si>
    <t>Gestión de problemas (causa raíz)</t>
  </si>
  <si>
    <t>No se investiga causa raíz; cada incidente se resuelve aislado</t>
  </si>
  <si>
    <t>Se investiga causa raíz esporádicamente, sin proceso formal</t>
  </si>
  <si>
    <t>Proceso documentado de análisis de causa raíz para incidentes recurrentes</t>
  </si>
  <si>
    <t>Se mide reducción de tickets recurrentes tras resolver causa raíz</t>
  </si>
  <si>
    <t>IA detecta patrones de causa raíz de forma proactiva</t>
  </si>
  <si>
    <t>Gestión del conocimiento</t>
  </si>
  <si>
    <t>El conocimiento vive solo en la cabeza de las personas</t>
  </si>
  <si>
    <t>Documentación dispersa (notas, correos), sin repositorio central</t>
  </si>
  <si>
    <t>Base de conocimiento (KEDB) estructurada y mantenida</t>
  </si>
  <si>
    <t>Se mide uso de la base de conocimiento y su impacto en tiempo de resolución</t>
  </si>
  <si>
    <t>Base de conocimiento alimentada automáticamente con IA, sugiere soluciones en N0/N1</t>
  </si>
  <si>
    <t>Catálogo de servicios</t>
  </si>
  <si>
    <t>ITIL Service</t>
  </si>
  <si>
    <t>No existe catálogo formal</t>
  </si>
  <si>
    <t>Catálogo básico, desactualizado o incompleto</t>
  </si>
  <si>
    <t>Catálogo formal, actualizado, con descripción clara de cada servicio</t>
  </si>
  <si>
    <t>Se mide uso de cada servicio del catálogo y su rentabilidad</t>
  </si>
  <si>
    <t>El catálogo se ajusta dinámicamente según demanda real y datos de uso</t>
  </si>
  <si>
    <t>Niveles de servicio (SLA)</t>
  </si>
  <si>
    <t>No hay SLA definidos o no se miden</t>
  </si>
  <si>
    <t>SLA pactados, medición manual e inconsistente</t>
  </si>
  <si>
    <t>SLA documentados, medidos sistemáticamente, reporte periódico al cliente</t>
  </si>
  <si>
    <t>Se analiza tendencia de cumplimiento de SLA y se ajustan metas con datos</t>
  </si>
  <si>
    <t>Alertas predictivas anticipan incumplimientos de SLA antes de que ocurran</t>
  </si>
  <si>
    <t>Transición y onboarding de servicios</t>
  </si>
  <si>
    <t>No hay proceso de transición; arranque improvisado</t>
  </si>
  <si>
    <t>Pasos básicos de transición, no documentados ni replicables</t>
  </si>
  <si>
    <t>Playbook de transición estándar (inducción, documentación, acuerdos)</t>
  </si>
  <si>
    <t>Se mide tiempo de transición y calidad del arranque (tickets primeros 30 días)</t>
  </si>
  <si>
    <t>Transición acelerada con plantillas inteligentes y checklists automatizados</t>
  </si>
  <si>
    <t>Satisfacción y experiencia del cliente</t>
  </si>
  <si>
    <t>ITIL Experience</t>
  </si>
  <si>
    <t>No se mide satisfacción; se asume que todo está bien</t>
  </si>
  <si>
    <t>Encuestas esporádicas, sin proceso sistemático</t>
  </si>
  <si>
    <t>Encuesta de satisfacción (CSAT) por ticket o periódica, con seguimiento</t>
  </si>
  <si>
    <t>Se correlaciona CSAT con otros indicadores (tiempo de resolución, reincidencia)</t>
  </si>
  <si>
    <t>Experiencia monitoreada en tiempo real, ajuste proactivo del servicio</t>
  </si>
  <si>
    <t>Capacidad y dimensionamiento del equipo</t>
  </si>
  <si>
    <t>ITIL Foundation</t>
  </si>
  <si>
    <t>Dimensionamiento intuitivo, sin datos de carga real</t>
  </si>
  <si>
    <t>Algún criterio de dimensionamiento, no se revisa con el tiempo</t>
  </si>
  <si>
    <t>Calculadora o modelo de estimación basado en volumen histórico de tickets</t>
  </si>
  <si>
    <t>Se mide % de tiempo muerto (GAP) por persona, ajuste de capacidad con datos</t>
  </si>
  <si>
    <t>Dimensionamiento ajustado dinámicamente según demanda predicha por IA</t>
  </si>
  <si>
    <t>Herramientas y automatización</t>
  </si>
  <si>
    <t>Herramientas dispersas (correo, Excel, chats), sin integración</t>
  </si>
  <si>
    <t>Herramienta de tickets subutilizada (solo registro)</t>
  </si>
  <si>
    <t>Herramienta integrada con flujos de escalamiento y notificación automática</t>
  </si>
  <si>
    <t>Se mide % de automatización del flujo y su impacto en tiempos</t>
  </si>
  <si>
    <t>Agentes de IA conectados: clasificación, sugerencia y resolución automática</t>
  </si>
  <si>
    <t>Evaluación de madurez · Mesa de servicio</t>
  </si>
  <si>
    <t>Nombre de la mesa:</t>
  </si>
  <si>
    <t>Cliente / cuenta:</t>
  </si>
  <si>
    <t>Fecha de evaluación:</t>
  </si>
  <si>
    <t>Evaluador:</t>
  </si>
  <si>
    <t>Nivel de madurez global (promedio):</t>
  </si>
  <si>
    <t>Nivel actual (1-5)</t>
  </si>
  <si>
    <t>Nivel objetivo (1-5)</t>
  </si>
  <si>
    <t>Brecha</t>
  </si>
  <si>
    <t>Evidencia / observación</t>
  </si>
  <si>
    <t>Frente ITIL</t>
  </si>
  <si>
    <t>Dashboard consolidado · Mesas evaluadas</t>
  </si>
  <si>
    <t>Copia la fila por cada mesa evaluada y trae el nivel global desde su hoja de Evaluación</t>
  </si>
  <si>
    <t>Mesa de servicio</t>
  </si>
  <si>
    <t>Cliente</t>
  </si>
  <si>
    <t>Nivel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</si>
</sst>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16" x14ac:knownFonts="1">
    <font>
      <sz val="11"/>
      <color theme="1"/>
      <name val="Calibri"/>
      <family val="2"/>
      <charset val="1"/>
    </font>
    <font>
      <b/>
      <sz val="18"/>
      <color rgb="FF26215C"/>
      <name val="Calibri"/>
      <charset val="1"/>
    </font>
    <font>
      <i/>
      <sz val="10"/>
      <color rgb="FF5F5E5A"/>
      <name val="Calibri"/>
      <charset val="1"/>
    </font>
    <font>
      <sz val="10.5"/>
      <color rgb="FF2C2C2A"/>
      <name val="Calibri"/>
      <charset val="1"/>
    </font>
    <font>
      <b/>
      <sz val="12"/>
      <color rgb="FF26215C"/>
      <name val="Calibri"/>
      <charset val="1"/>
    </font>
    <font>
      <b/>
      <sz val="14"/>
      <color rgb="FF26215C"/>
      <name val="Calibri"/>
      <charset val="1"/>
    </font>
    <font>
      <b/>
      <sz val="11"/>
      <color rgb="FFFFFFFF"/>
      <name val="Calibri"/>
      <charset val="1"/>
    </font>
    <font>
      <b/>
      <sz val="10"/>
      <color rgb="FF3C3489"/>
      <name val="Calibri"/>
      <charset val="1"/>
    </font>
    <font>
      <sz val="9.5"/>
      <color rgb="FF5F5E5A"/>
      <name val="Calibri"/>
      <charset val="1"/>
    </font>
    <font>
      <sz val="9.5"/>
      <name val="Calibri"/>
      <charset val="1"/>
    </font>
    <font>
      <b/>
      <sz val="10.5"/>
      <name val="Calibri"/>
      <charset val="1"/>
    </font>
    <font>
      <b/>
      <sz val="11"/>
      <color rgb="FF26215C"/>
      <name val="Calibri"/>
      <charset val="1"/>
    </font>
    <font>
      <b/>
      <sz val="14"/>
      <color rgb="FF1D9E75"/>
      <name val="Calibri"/>
      <charset val="1"/>
    </font>
    <font>
      <b/>
      <sz val="11"/>
      <name val="Calibri"/>
      <charset val="1"/>
    </font>
    <font>
      <b/>
      <sz val="9"/>
      <color rgb="FFFFFFFF"/>
      <name val="Calibri"/>
      <charset val="1"/>
    </font>
    <font>
      <b/>
      <sz val="11"/>
      <color rgb="FF1D9E75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26215C"/>
        <bgColor rgb="FF2C2C2A"/>
      </patternFill>
    </fill>
    <fill>
      <patternFill patternType="solid">
        <fgColor rgb="FFEEEDFE"/>
        <bgColor rgb="FFE1F5EE"/>
      </patternFill>
    </fill>
    <fill>
      <patternFill patternType="solid">
        <fgColor rgb="FFFFF8CC"/>
        <bgColor rgb="FFFFFFFF"/>
      </patternFill>
    </fill>
    <fill>
      <patternFill patternType="solid">
        <fgColor rgb="FFE1F5EE"/>
        <bgColor rgb="FFEEEDFE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1" fillId="0" borderId="0" xfId="0" applyFont="1"/>
    <xf numFmtId="164" fontId="0" fillId="4" borderId="1" xfId="0" applyNumberFormat="1" applyFill="1" applyBorder="1"/>
    <xf numFmtId="0" fontId="0" fillId="4" borderId="1" xfId="0" applyFill="1" applyBorder="1"/>
    <xf numFmtId="0" fontId="10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4" borderId="1" xfId="0" applyFill="1" applyBorder="1"/>
    <xf numFmtId="165" fontId="12" fillId="5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165" fontId="15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78787"/>
      <rgbColor rgb="FF9999FF"/>
      <rgbColor rgb="FFCE3A36"/>
      <rgbColor rgb="FFFFF8CC"/>
      <rgbColor rgb="FFE1F5EE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CCFFCC"/>
      <rgbColor rgb="FFFFFF99"/>
      <rgbColor rgb="FF99CCFF"/>
      <rgbColor rgb="FFFF99CC"/>
      <rgbColor rgb="FFCC99FF"/>
      <rgbColor rgb="FFFFCC99"/>
      <rgbColor rgb="FF397BCA"/>
      <rgbColor rgb="FF33CCCC"/>
      <rgbColor rgb="FF99CC00"/>
      <rgbColor rgb="FFFFCC00"/>
      <rgbColor rgb="FFFF9900"/>
      <rgbColor rgb="FFFF6600"/>
      <rgbColor rgb="FF5F5E5A"/>
      <rgbColor rgb="FF969696"/>
      <rgbColor rgb="FF26215C"/>
      <rgbColor rgb="FF1D9E75"/>
      <rgbColor rgb="FF003300"/>
      <rgbColor rgb="FF333300"/>
      <rgbColor rgb="FF9C2F2C"/>
      <rgbColor rgb="FF993366"/>
      <rgbColor rgb="FF3C348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Perfil de madurez por práctica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Evaluación!$D$12</c:f>
              <c:strCache>
                <c:ptCount val="1"/>
                <c:pt idx="0">
                  <c:v>Nivel actual (1-5)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Evaluación!$C$13:$C$22</c:f>
              <c:strCache>
                <c:ptCount val="10"/>
                <c:pt idx="0">
                  <c:v>Gestión de incidentes</c:v>
                </c:pt>
                <c:pt idx="1">
                  <c:v>Gestión de solicitudes / peticiones</c:v>
                </c:pt>
                <c:pt idx="2">
                  <c:v>Gestión de problemas (causa raíz)</c:v>
                </c:pt>
                <c:pt idx="3">
                  <c:v>Gestión del conocimiento</c:v>
                </c:pt>
                <c:pt idx="4">
                  <c:v>Catálogo de servicios</c:v>
                </c:pt>
                <c:pt idx="5">
                  <c:v>Niveles de servicio (SLA)</c:v>
                </c:pt>
                <c:pt idx="6">
                  <c:v>Transición y onboarding de servicios</c:v>
                </c:pt>
                <c:pt idx="7">
                  <c:v>Satisfacción y experiencia del cliente</c:v>
                </c:pt>
                <c:pt idx="8">
                  <c:v>Capacidad y dimensionamiento del equipo</c:v>
                </c:pt>
                <c:pt idx="9">
                  <c:v>Herramientas y automatización</c:v>
                </c:pt>
              </c:strCache>
            </c:strRef>
          </c:cat>
          <c:val>
            <c:numRef>
              <c:f>Evaluación!$D$13:$D$22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D6C2-47A1-A9AB-FE3FA8EEC6C1}"/>
            </c:ext>
          </c:extLst>
        </c:ser>
        <c:ser>
          <c:idx val="1"/>
          <c:order val="1"/>
          <c:tx>
            <c:strRef>
              <c:f>Evaluación!$E$12</c:f>
              <c:strCache>
                <c:ptCount val="1"/>
                <c:pt idx="0">
                  <c:v>Nivel objetivo (1-5)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Evaluación!$C$13:$C$22</c:f>
              <c:strCache>
                <c:ptCount val="10"/>
                <c:pt idx="0">
                  <c:v>Gestión de incidentes</c:v>
                </c:pt>
                <c:pt idx="1">
                  <c:v>Gestión de solicitudes / peticiones</c:v>
                </c:pt>
                <c:pt idx="2">
                  <c:v>Gestión de problemas (causa raíz)</c:v>
                </c:pt>
                <c:pt idx="3">
                  <c:v>Gestión del conocimiento</c:v>
                </c:pt>
                <c:pt idx="4">
                  <c:v>Catálogo de servicios</c:v>
                </c:pt>
                <c:pt idx="5">
                  <c:v>Niveles de servicio (SLA)</c:v>
                </c:pt>
                <c:pt idx="6">
                  <c:v>Transición y onboarding de servicios</c:v>
                </c:pt>
                <c:pt idx="7">
                  <c:v>Satisfacción y experiencia del cliente</c:v>
                </c:pt>
                <c:pt idx="8">
                  <c:v>Capacidad y dimensionamiento del equipo</c:v>
                </c:pt>
                <c:pt idx="9">
                  <c:v>Herramientas y automatización</c:v>
                </c:pt>
              </c:strCache>
            </c:strRef>
          </c:cat>
          <c:val>
            <c:numRef>
              <c:f>Evaluación!$E$13:$E$22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D6C2-47A1-A9AB-FE3FA8EEC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26755"/>
        <c:axId val="2932191"/>
      </c:radarChart>
      <c:catAx>
        <c:axId val="396267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932191"/>
        <c:crosses val="autoZero"/>
        <c:auto val="1"/>
        <c:lblAlgn val="ctr"/>
        <c:lblOffset val="100"/>
        <c:noMultiLvlLbl val="0"/>
      </c:catAx>
      <c:valAx>
        <c:axId val="2932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962675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130680</xdr:rowOff>
    </xdr:from>
    <xdr:to>
      <xdr:col>6</xdr:col>
      <xdr:colOff>402480</xdr:colOff>
      <xdr:row>44</xdr:row>
      <xdr:rowOff>110880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8"/>
  <sheetViews>
    <sheetView showGridLines="0" tabSelected="1" zoomScaleNormal="100" workbookViewId="0">
      <selection activeCell="B4" sqref="B4"/>
    </sheetView>
  </sheetViews>
  <sheetFormatPr baseColWidth="10" defaultColWidth="8.6328125" defaultRowHeight="14.5" x14ac:dyDescent="0.35"/>
  <cols>
    <col min="1" max="1" width="3" customWidth="1"/>
    <col min="2" max="2" width="100" customWidth="1"/>
  </cols>
  <sheetData>
    <row r="2" spans="2:2" ht="23.5" x14ac:dyDescent="0.55000000000000004">
      <c r="B2" s="7" t="s">
        <v>0</v>
      </c>
    </row>
    <row r="3" spans="2:2" x14ac:dyDescent="0.35">
      <c r="B3" s="8" t="s">
        <v>1</v>
      </c>
    </row>
    <row r="5" spans="2:2" x14ac:dyDescent="0.35">
      <c r="B5" s="9"/>
    </row>
    <row r="6" spans="2:2" ht="15.5" x14ac:dyDescent="0.35">
      <c r="B6" s="10" t="s">
        <v>2</v>
      </c>
    </row>
    <row r="7" spans="2:2" x14ac:dyDescent="0.35">
      <c r="B7" s="9"/>
    </row>
    <row r="8" spans="2:2" ht="28" x14ac:dyDescent="0.35">
      <c r="B8" s="9" t="s">
        <v>3</v>
      </c>
    </row>
    <row r="9" spans="2:2" x14ac:dyDescent="0.35">
      <c r="B9" s="9" t="s">
        <v>4</v>
      </c>
    </row>
    <row r="10" spans="2:2" x14ac:dyDescent="0.35">
      <c r="B10" s="9" t="s">
        <v>5</v>
      </c>
    </row>
    <row r="11" spans="2:2" x14ac:dyDescent="0.35">
      <c r="B11" s="9" t="s">
        <v>6</v>
      </c>
    </row>
    <row r="12" spans="2:2" x14ac:dyDescent="0.35">
      <c r="B12" s="9" t="s">
        <v>7</v>
      </c>
    </row>
    <row r="13" spans="2:2" x14ac:dyDescent="0.35">
      <c r="B13" s="9" t="s">
        <v>8</v>
      </c>
    </row>
    <row r="14" spans="2:2" x14ac:dyDescent="0.35">
      <c r="B14" s="9" t="s">
        <v>9</v>
      </c>
    </row>
    <row r="15" spans="2:2" x14ac:dyDescent="0.35">
      <c r="B15" s="9" t="s">
        <v>10</v>
      </c>
    </row>
    <row r="16" spans="2:2" x14ac:dyDescent="0.35">
      <c r="B16" s="9"/>
    </row>
    <row r="17" spans="2:2" ht="15.5" x14ac:dyDescent="0.35">
      <c r="B17" s="10" t="s">
        <v>11</v>
      </c>
    </row>
    <row r="18" spans="2:2" x14ac:dyDescent="0.35">
      <c r="B18" s="9"/>
    </row>
    <row r="19" spans="2:2" x14ac:dyDescent="0.35">
      <c r="B19" s="9" t="s">
        <v>12</v>
      </c>
    </row>
    <row r="20" spans="2:2" x14ac:dyDescent="0.35">
      <c r="B20" s="9" t="s">
        <v>13</v>
      </c>
    </row>
    <row r="21" spans="2:2" x14ac:dyDescent="0.35">
      <c r="B21" s="9" t="s">
        <v>14</v>
      </c>
    </row>
    <row r="22" spans="2:2" x14ac:dyDescent="0.35">
      <c r="B22" s="9" t="s">
        <v>15</v>
      </c>
    </row>
    <row r="23" spans="2:2" x14ac:dyDescent="0.35">
      <c r="B23" s="9"/>
    </row>
    <row r="24" spans="2:2" ht="15.5" x14ac:dyDescent="0.35">
      <c r="B24" s="10" t="s">
        <v>16</v>
      </c>
    </row>
    <row r="25" spans="2:2" x14ac:dyDescent="0.35">
      <c r="B25" s="9"/>
    </row>
    <row r="26" spans="2:2" ht="15.5" x14ac:dyDescent="0.35">
      <c r="B26" s="10" t="s">
        <v>17</v>
      </c>
    </row>
    <row r="27" spans="2:2" ht="15.5" x14ac:dyDescent="0.35">
      <c r="B27" s="10" t="s">
        <v>18</v>
      </c>
    </row>
    <row r="28" spans="2:2" ht="15.5" x14ac:dyDescent="0.35">
      <c r="B28" s="10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zoomScaleNormal="100" workbookViewId="0">
      <pane xSplit="3" ySplit="3" topLeftCell="D16" activePane="bottomRight" state="frozen"/>
      <selection pane="topRight" activeCell="D1" sqref="D1"/>
      <selection pane="bottomLeft" activeCell="A4" sqref="A4"/>
      <selection pane="bottomRight" sqref="A1:H1"/>
    </sheetView>
  </sheetViews>
  <sheetFormatPr baseColWidth="10" defaultColWidth="8.6328125" defaultRowHeight="14.5" x14ac:dyDescent="0.35"/>
  <cols>
    <col min="1" max="1" width="4" customWidth="1"/>
    <col min="2" max="2" width="30" customWidth="1"/>
    <col min="3" max="3" width="22" customWidth="1"/>
    <col min="4" max="8" width="30" customWidth="1"/>
  </cols>
  <sheetData>
    <row r="1" spans="1:8" ht="18.5" x14ac:dyDescent="0.45">
      <c r="A1" s="6" t="s">
        <v>20</v>
      </c>
      <c r="B1" s="6"/>
      <c r="C1" s="6"/>
      <c r="D1" s="6"/>
      <c r="E1" s="6"/>
      <c r="F1" s="6"/>
      <c r="G1" s="6"/>
      <c r="H1" s="6"/>
    </row>
    <row r="3" spans="1:8" x14ac:dyDescent="0.35">
      <c r="A3" s="11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28</v>
      </c>
    </row>
    <row r="4" spans="1:8" ht="60" customHeight="1" x14ac:dyDescent="0.35">
      <c r="A4" s="12">
        <v>1</v>
      </c>
      <c r="B4" s="13" t="s">
        <v>29</v>
      </c>
      <c r="C4" s="14" t="s">
        <v>30</v>
      </c>
      <c r="D4" s="15" t="s">
        <v>31</v>
      </c>
      <c r="E4" s="15" t="s">
        <v>32</v>
      </c>
      <c r="F4" s="15" t="s">
        <v>33</v>
      </c>
      <c r="G4" s="15" t="s">
        <v>34</v>
      </c>
      <c r="H4" s="15" t="s">
        <v>35</v>
      </c>
    </row>
    <row r="5" spans="1:8" ht="60" customHeight="1" x14ac:dyDescent="0.35">
      <c r="A5" s="12">
        <v>2</v>
      </c>
      <c r="B5" s="13" t="s">
        <v>36</v>
      </c>
      <c r="C5" s="14" t="s">
        <v>30</v>
      </c>
      <c r="D5" s="15" t="s">
        <v>37</v>
      </c>
      <c r="E5" s="15" t="s">
        <v>38</v>
      </c>
      <c r="F5" s="15" t="s">
        <v>39</v>
      </c>
      <c r="G5" s="15" t="s">
        <v>40</v>
      </c>
      <c r="H5" s="15" t="s">
        <v>41</v>
      </c>
    </row>
    <row r="6" spans="1:8" ht="60" customHeight="1" x14ac:dyDescent="0.35">
      <c r="A6" s="12">
        <v>3</v>
      </c>
      <c r="B6" s="13" t="s">
        <v>42</v>
      </c>
      <c r="C6" s="14" t="s">
        <v>30</v>
      </c>
      <c r="D6" s="15" t="s">
        <v>43</v>
      </c>
      <c r="E6" s="15" t="s">
        <v>44</v>
      </c>
      <c r="F6" s="15" t="s">
        <v>45</v>
      </c>
      <c r="G6" s="15" t="s">
        <v>46</v>
      </c>
      <c r="H6" s="15" t="s">
        <v>47</v>
      </c>
    </row>
    <row r="7" spans="1:8" ht="60" customHeight="1" x14ac:dyDescent="0.35">
      <c r="A7" s="12">
        <v>4</v>
      </c>
      <c r="B7" s="13" t="s">
        <v>48</v>
      </c>
      <c r="C7" s="14" t="s">
        <v>30</v>
      </c>
      <c r="D7" s="15" t="s">
        <v>49</v>
      </c>
      <c r="E7" s="15" t="s">
        <v>50</v>
      </c>
      <c r="F7" s="15" t="s">
        <v>51</v>
      </c>
      <c r="G7" s="15" t="s">
        <v>52</v>
      </c>
      <c r="H7" s="15" t="s">
        <v>53</v>
      </c>
    </row>
    <row r="8" spans="1:8" ht="60" customHeight="1" x14ac:dyDescent="0.35">
      <c r="A8" s="12">
        <v>5</v>
      </c>
      <c r="B8" s="13" t="s">
        <v>54</v>
      </c>
      <c r="C8" s="14" t="s">
        <v>55</v>
      </c>
      <c r="D8" s="15" t="s">
        <v>56</v>
      </c>
      <c r="E8" s="15" t="s">
        <v>57</v>
      </c>
      <c r="F8" s="15" t="s">
        <v>58</v>
      </c>
      <c r="G8" s="15" t="s">
        <v>59</v>
      </c>
      <c r="H8" s="15" t="s">
        <v>60</v>
      </c>
    </row>
    <row r="9" spans="1:8" ht="60" customHeight="1" x14ac:dyDescent="0.35">
      <c r="A9" s="12">
        <v>6</v>
      </c>
      <c r="B9" s="13" t="s">
        <v>61</v>
      </c>
      <c r="C9" s="14" t="s">
        <v>55</v>
      </c>
      <c r="D9" s="15" t="s">
        <v>62</v>
      </c>
      <c r="E9" s="15" t="s">
        <v>63</v>
      </c>
      <c r="F9" s="15" t="s">
        <v>64</v>
      </c>
      <c r="G9" s="15" t="s">
        <v>65</v>
      </c>
      <c r="H9" s="15" t="s">
        <v>66</v>
      </c>
    </row>
    <row r="10" spans="1:8" ht="60" customHeight="1" x14ac:dyDescent="0.35">
      <c r="A10" s="12">
        <v>7</v>
      </c>
      <c r="B10" s="13" t="s">
        <v>67</v>
      </c>
      <c r="C10" s="14" t="s">
        <v>55</v>
      </c>
      <c r="D10" s="15" t="s">
        <v>68</v>
      </c>
      <c r="E10" s="15" t="s">
        <v>69</v>
      </c>
      <c r="F10" s="15" t="s">
        <v>70</v>
      </c>
      <c r="G10" s="15" t="s">
        <v>71</v>
      </c>
      <c r="H10" s="15" t="s">
        <v>72</v>
      </c>
    </row>
    <row r="11" spans="1:8" ht="60" customHeight="1" x14ac:dyDescent="0.35">
      <c r="A11" s="12">
        <v>8</v>
      </c>
      <c r="B11" s="13" t="s">
        <v>73</v>
      </c>
      <c r="C11" s="14" t="s">
        <v>74</v>
      </c>
      <c r="D11" s="15" t="s">
        <v>75</v>
      </c>
      <c r="E11" s="15" t="s">
        <v>76</v>
      </c>
      <c r="F11" s="15" t="s">
        <v>77</v>
      </c>
      <c r="G11" s="15" t="s">
        <v>78</v>
      </c>
      <c r="H11" s="15" t="s">
        <v>79</v>
      </c>
    </row>
    <row r="12" spans="1:8" ht="60" customHeight="1" x14ac:dyDescent="0.35">
      <c r="A12" s="12">
        <v>9</v>
      </c>
      <c r="B12" s="13" t="s">
        <v>80</v>
      </c>
      <c r="C12" s="14" t="s">
        <v>81</v>
      </c>
      <c r="D12" s="15" t="s">
        <v>82</v>
      </c>
      <c r="E12" s="15" t="s">
        <v>83</v>
      </c>
      <c r="F12" s="15" t="s">
        <v>84</v>
      </c>
      <c r="G12" s="15" t="s">
        <v>85</v>
      </c>
      <c r="H12" s="15" t="s">
        <v>86</v>
      </c>
    </row>
    <row r="13" spans="1:8" ht="60" customHeight="1" x14ac:dyDescent="0.35">
      <c r="A13" s="12">
        <v>10</v>
      </c>
      <c r="B13" s="13" t="s">
        <v>87</v>
      </c>
      <c r="C13" s="14" t="s">
        <v>81</v>
      </c>
      <c r="D13" s="15" t="s">
        <v>88</v>
      </c>
      <c r="E13" s="15" t="s">
        <v>89</v>
      </c>
      <c r="F13" s="15" t="s">
        <v>90</v>
      </c>
      <c r="G13" s="15" t="s">
        <v>91</v>
      </c>
      <c r="H13" s="15" t="s">
        <v>92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2"/>
  <sheetViews>
    <sheetView showGridLines="0" zoomScaleNormal="10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/>
    </sheetView>
  </sheetViews>
  <sheetFormatPr baseColWidth="10" defaultColWidth="8.6328125" defaultRowHeight="14.5" x14ac:dyDescent="0.35"/>
  <cols>
    <col min="1" max="1" width="3" customWidth="1"/>
    <col min="2" max="2" width="4" customWidth="1"/>
    <col min="3" max="3" width="34" customWidth="1"/>
    <col min="4" max="5" width="16" customWidth="1"/>
    <col min="6" max="6" width="6" customWidth="1"/>
    <col min="7" max="7" width="42" customWidth="1"/>
    <col min="8" max="8" width="30" customWidth="1"/>
  </cols>
  <sheetData>
    <row r="2" spans="2:8" ht="18.5" x14ac:dyDescent="0.45">
      <c r="B2" s="6" t="s">
        <v>93</v>
      </c>
      <c r="C2" s="6"/>
      <c r="D2" s="6"/>
      <c r="E2" s="6"/>
      <c r="F2" s="6"/>
      <c r="G2" s="6"/>
      <c r="H2" s="6"/>
    </row>
    <row r="4" spans="2:8" x14ac:dyDescent="0.35">
      <c r="B4" s="5" t="s">
        <v>94</v>
      </c>
      <c r="C4" s="5"/>
      <c r="D4" s="4"/>
      <c r="E4" s="4"/>
    </row>
    <row r="5" spans="2:8" x14ac:dyDescent="0.35">
      <c r="B5" s="5" t="s">
        <v>95</v>
      </c>
      <c r="C5" s="5"/>
      <c r="D5" s="4"/>
      <c r="E5" s="4"/>
    </row>
    <row r="6" spans="2:8" x14ac:dyDescent="0.35">
      <c r="B6" s="5" t="s">
        <v>96</v>
      </c>
      <c r="C6" s="5"/>
      <c r="D6" s="3"/>
      <c r="E6" s="3"/>
    </row>
    <row r="7" spans="2:8" x14ac:dyDescent="0.35">
      <c r="B7" s="5" t="s">
        <v>97</v>
      </c>
      <c r="C7" s="5"/>
      <c r="D7" s="4"/>
      <c r="E7" s="4"/>
    </row>
    <row r="9" spans="2:8" ht="18.5" x14ac:dyDescent="0.35">
      <c r="B9" s="2" t="s">
        <v>98</v>
      </c>
      <c r="C9" s="2"/>
      <c r="D9" s="2"/>
      <c r="E9" s="17" t="str">
        <f>IFERROR(AVERAGE(D14:D23),"")</f>
        <v/>
      </c>
    </row>
    <row r="12" spans="2:8" ht="27.75" customHeight="1" x14ac:dyDescent="0.35">
      <c r="B12" s="11" t="s">
        <v>21</v>
      </c>
      <c r="C12" s="11" t="s">
        <v>22</v>
      </c>
      <c r="D12" s="11" t="s">
        <v>99</v>
      </c>
      <c r="E12" s="11" t="s">
        <v>100</v>
      </c>
      <c r="F12" s="11" t="s">
        <v>101</v>
      </c>
      <c r="G12" s="11" t="s">
        <v>102</v>
      </c>
      <c r="H12" s="11" t="s">
        <v>103</v>
      </c>
    </row>
    <row r="13" spans="2:8" ht="31.5" customHeight="1" x14ac:dyDescent="0.35">
      <c r="B13" s="12">
        <v>1</v>
      </c>
      <c r="C13" s="13" t="s">
        <v>29</v>
      </c>
      <c r="D13" s="18"/>
      <c r="E13" s="18"/>
      <c r="F13" s="19" t="str">
        <f t="shared" ref="F13:F22" si="0">IF(AND(D13&lt;&gt;"",E13&lt;&gt;""),E13-D13,"")</f>
        <v/>
      </c>
      <c r="G13" s="20"/>
      <c r="H13" s="14" t="s">
        <v>30</v>
      </c>
    </row>
    <row r="14" spans="2:8" ht="31.5" customHeight="1" x14ac:dyDescent="0.35">
      <c r="B14" s="12">
        <v>2</v>
      </c>
      <c r="C14" s="13" t="s">
        <v>36</v>
      </c>
      <c r="D14" s="18"/>
      <c r="E14" s="18"/>
      <c r="F14" s="19" t="str">
        <f t="shared" si="0"/>
        <v/>
      </c>
      <c r="G14" s="20"/>
      <c r="H14" s="14" t="s">
        <v>30</v>
      </c>
    </row>
    <row r="15" spans="2:8" ht="31.5" customHeight="1" x14ac:dyDescent="0.35">
      <c r="B15" s="12">
        <v>3</v>
      </c>
      <c r="C15" s="13" t="s">
        <v>42</v>
      </c>
      <c r="D15" s="18"/>
      <c r="E15" s="18"/>
      <c r="F15" s="19" t="str">
        <f t="shared" si="0"/>
        <v/>
      </c>
      <c r="G15" s="20"/>
      <c r="H15" s="14" t="s">
        <v>30</v>
      </c>
    </row>
    <row r="16" spans="2:8" ht="31.5" customHeight="1" x14ac:dyDescent="0.35">
      <c r="B16" s="12">
        <v>4</v>
      </c>
      <c r="C16" s="13" t="s">
        <v>48</v>
      </c>
      <c r="D16" s="18"/>
      <c r="E16" s="18"/>
      <c r="F16" s="19" t="str">
        <f t="shared" si="0"/>
        <v/>
      </c>
      <c r="G16" s="20"/>
      <c r="H16" s="14" t="s">
        <v>30</v>
      </c>
    </row>
    <row r="17" spans="2:8" ht="31.5" customHeight="1" x14ac:dyDescent="0.35">
      <c r="B17" s="12">
        <v>5</v>
      </c>
      <c r="C17" s="13" t="s">
        <v>54</v>
      </c>
      <c r="D17" s="18"/>
      <c r="E17" s="18"/>
      <c r="F17" s="19" t="str">
        <f t="shared" si="0"/>
        <v/>
      </c>
      <c r="G17" s="20"/>
      <c r="H17" s="14" t="s">
        <v>55</v>
      </c>
    </row>
    <row r="18" spans="2:8" ht="31.5" customHeight="1" x14ac:dyDescent="0.35">
      <c r="B18" s="12">
        <v>6</v>
      </c>
      <c r="C18" s="13" t="s">
        <v>61</v>
      </c>
      <c r="D18" s="18"/>
      <c r="E18" s="18"/>
      <c r="F18" s="19" t="str">
        <f t="shared" si="0"/>
        <v/>
      </c>
      <c r="G18" s="20"/>
      <c r="H18" s="14" t="s">
        <v>55</v>
      </c>
    </row>
    <row r="19" spans="2:8" ht="31.5" customHeight="1" x14ac:dyDescent="0.35">
      <c r="B19" s="12">
        <v>7</v>
      </c>
      <c r="C19" s="13" t="s">
        <v>67</v>
      </c>
      <c r="D19" s="18"/>
      <c r="E19" s="18"/>
      <c r="F19" s="19" t="str">
        <f t="shared" si="0"/>
        <v/>
      </c>
      <c r="G19" s="20"/>
      <c r="H19" s="14" t="s">
        <v>55</v>
      </c>
    </row>
    <row r="20" spans="2:8" ht="31.5" customHeight="1" x14ac:dyDescent="0.35">
      <c r="B20" s="12">
        <v>8</v>
      </c>
      <c r="C20" s="13" t="s">
        <v>73</v>
      </c>
      <c r="D20" s="18"/>
      <c r="E20" s="18"/>
      <c r="F20" s="19" t="str">
        <f t="shared" si="0"/>
        <v/>
      </c>
      <c r="G20" s="20"/>
      <c r="H20" s="14" t="s">
        <v>74</v>
      </c>
    </row>
    <row r="21" spans="2:8" ht="31.5" customHeight="1" x14ac:dyDescent="0.35">
      <c r="B21" s="12">
        <v>9</v>
      </c>
      <c r="C21" s="13" t="s">
        <v>80</v>
      </c>
      <c r="D21" s="18"/>
      <c r="E21" s="18"/>
      <c r="F21" s="19" t="str">
        <f t="shared" si="0"/>
        <v/>
      </c>
      <c r="G21" s="20"/>
      <c r="H21" s="14" t="s">
        <v>81</v>
      </c>
    </row>
    <row r="22" spans="2:8" ht="31.5" customHeight="1" x14ac:dyDescent="0.35">
      <c r="B22" s="12">
        <v>10</v>
      </c>
      <c r="C22" s="13" t="s">
        <v>87</v>
      </c>
      <c r="D22" s="18"/>
      <c r="E22" s="18"/>
      <c r="F22" s="19" t="str">
        <f t="shared" si="0"/>
        <v/>
      </c>
      <c r="G22" s="20"/>
      <c r="H22" s="14" t="s">
        <v>81</v>
      </c>
    </row>
  </sheetData>
  <mergeCells count="10">
    <mergeCell ref="B6:C6"/>
    <mergeCell ref="D6:E6"/>
    <mergeCell ref="B7:C7"/>
    <mergeCell ref="D7:E7"/>
    <mergeCell ref="B9:D9"/>
    <mergeCell ref="B2:H2"/>
    <mergeCell ref="B4:C4"/>
    <mergeCell ref="D4:E4"/>
    <mergeCell ref="B5:C5"/>
    <mergeCell ref="D5:E5"/>
  </mergeCells>
  <conditionalFormatting sqref="D13:D22">
    <cfRule type="colorScale" priority="2">
      <colorScale>
        <cfvo type="num" val="1"/>
        <cfvo type="num" val="3"/>
        <cfvo type="num" val="5"/>
        <color rgb="FFF0997B"/>
        <color rgb="FFFAC775"/>
        <color rgb="FF9FE1CB"/>
      </colorScale>
    </cfRule>
  </conditionalFormatting>
  <dataValidations count="1">
    <dataValidation type="list" allowBlank="1" sqref="D13:E22" xr:uid="{00000000-0002-0000-0200-000000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3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6328125" defaultRowHeight="14.5" x14ac:dyDescent="0.35"/>
  <cols>
    <col min="1" max="1" width="3" customWidth="1"/>
    <col min="2" max="2" width="22" customWidth="1"/>
    <col min="3" max="3" width="16" customWidth="1"/>
    <col min="4" max="14" width="13" customWidth="1"/>
  </cols>
  <sheetData>
    <row r="2" spans="2:14" ht="18.5" x14ac:dyDescent="0.45">
      <c r="B2" s="6" t="s">
        <v>104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4" x14ac:dyDescent="0.35">
      <c r="B3" s="1" t="s">
        <v>105</v>
      </c>
      <c r="C3" s="1"/>
      <c r="D3" s="1"/>
      <c r="E3" s="1"/>
      <c r="F3" s="1"/>
      <c r="G3" s="1"/>
      <c r="H3" s="1"/>
      <c r="I3" s="1"/>
      <c r="J3" s="1"/>
      <c r="K3" s="1"/>
      <c r="L3" s="1"/>
    </row>
    <row r="5" spans="2:14" ht="49.5" customHeight="1" x14ac:dyDescent="0.35">
      <c r="B5" s="21" t="s">
        <v>106</v>
      </c>
      <c r="C5" s="21" t="s">
        <v>107</v>
      </c>
      <c r="D5" s="21" t="s">
        <v>29</v>
      </c>
      <c r="E5" s="21" t="s">
        <v>36</v>
      </c>
      <c r="F5" s="21" t="s">
        <v>42</v>
      </c>
      <c r="G5" s="21" t="s">
        <v>48</v>
      </c>
      <c r="H5" s="21" t="s">
        <v>54</v>
      </c>
      <c r="I5" s="21" t="s">
        <v>61</v>
      </c>
      <c r="J5" s="21" t="s">
        <v>67</v>
      </c>
      <c r="K5" s="21" t="s">
        <v>73</v>
      </c>
      <c r="L5" s="21" t="s">
        <v>80</v>
      </c>
      <c r="M5" s="21" t="s">
        <v>87</v>
      </c>
      <c r="N5" s="21" t="s">
        <v>108</v>
      </c>
    </row>
    <row r="6" spans="2:14" x14ac:dyDescent="0.35">
      <c r="B6" s="16"/>
      <c r="C6" s="16"/>
      <c r="D6" s="18"/>
      <c r="E6" s="18"/>
      <c r="F6" s="18"/>
      <c r="G6" s="18"/>
      <c r="H6" s="18"/>
      <c r="I6" s="18"/>
      <c r="J6" s="18"/>
      <c r="K6" s="18"/>
      <c r="L6" s="18"/>
      <c r="M6" s="18"/>
      <c r="N6" s="22" t="str">
        <f t="shared" ref="N6:N13" si="0">IFERROR(AVERAGE(D6:M6),"")</f>
        <v/>
      </c>
    </row>
    <row r="7" spans="2:14" x14ac:dyDescent="0.35">
      <c r="B7" s="16"/>
      <c r="C7" s="16"/>
      <c r="D7" s="18"/>
      <c r="E7" s="18"/>
      <c r="F7" s="18"/>
      <c r="G7" s="18"/>
      <c r="H7" s="18"/>
      <c r="I7" s="18"/>
      <c r="J7" s="18"/>
      <c r="K7" s="18"/>
      <c r="L7" s="18"/>
      <c r="M7" s="18"/>
      <c r="N7" s="22" t="str">
        <f t="shared" si="0"/>
        <v/>
      </c>
    </row>
    <row r="8" spans="2:14" x14ac:dyDescent="0.35">
      <c r="B8" s="16"/>
      <c r="C8" s="16"/>
      <c r="D8" s="18"/>
      <c r="E8" s="18"/>
      <c r="F8" s="18"/>
      <c r="G8" s="18"/>
      <c r="H8" s="18"/>
      <c r="I8" s="18"/>
      <c r="J8" s="18"/>
      <c r="K8" s="18"/>
      <c r="L8" s="18"/>
      <c r="M8" s="18"/>
      <c r="N8" s="22" t="str">
        <f t="shared" si="0"/>
        <v/>
      </c>
    </row>
    <row r="9" spans="2:14" x14ac:dyDescent="0.35">
      <c r="B9" s="16"/>
      <c r="C9" s="16"/>
      <c r="D9" s="18"/>
      <c r="E9" s="18"/>
      <c r="F9" s="18"/>
      <c r="G9" s="18"/>
      <c r="H9" s="18"/>
      <c r="I9" s="18"/>
      <c r="J9" s="18"/>
      <c r="K9" s="18"/>
      <c r="L9" s="18"/>
      <c r="M9" s="18"/>
      <c r="N9" s="22" t="str">
        <f t="shared" si="0"/>
        <v/>
      </c>
    </row>
    <row r="10" spans="2:14" x14ac:dyDescent="0.35">
      <c r="B10" s="16"/>
      <c r="C10" s="16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2" t="str">
        <f t="shared" si="0"/>
        <v/>
      </c>
    </row>
    <row r="11" spans="2:14" x14ac:dyDescent="0.35">
      <c r="B11" s="16"/>
      <c r="C11" s="16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2" t="str">
        <f t="shared" si="0"/>
        <v/>
      </c>
    </row>
    <row r="12" spans="2:14" x14ac:dyDescent="0.35">
      <c r="B12" s="16"/>
      <c r="C12" s="1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2" t="str">
        <f t="shared" si="0"/>
        <v/>
      </c>
    </row>
    <row r="13" spans="2:14" x14ac:dyDescent="0.35">
      <c r="B13" s="16"/>
      <c r="C13" s="16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2" t="str">
        <f t="shared" si="0"/>
        <v/>
      </c>
    </row>
  </sheetData>
  <mergeCells count="2">
    <mergeCell ref="B2:L2"/>
    <mergeCell ref="B3:L3"/>
  </mergeCells>
  <conditionalFormatting sqref="D6:M13">
    <cfRule type="colorScale" priority="2">
      <colorScale>
        <cfvo type="num" val="1"/>
        <cfvo type="num" val="3"/>
        <cfvo type="num" val="5"/>
        <color rgb="FFF0997B"/>
        <color rgb="FFFAC775"/>
        <color rgb="FF9FE1CB"/>
      </colorScale>
    </cfRule>
  </conditionalFormatting>
  <conditionalFormatting sqref="N6:N13">
    <cfRule type="colorScale" priority="3">
      <colorScale>
        <cfvo type="num" val="1"/>
        <cfvo type="num" val="3"/>
        <cfvo type="num" val="5"/>
        <color rgb="FFF0997B"/>
        <color rgb="FFFAC775"/>
        <color rgb="FF9FE1C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Rúbrica</vt:lpstr>
      <vt:lpstr>Evaluación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Natalia Zartha Suarez</cp:lastModifiedBy>
  <cp:revision>1</cp:revision>
  <dcterms:created xsi:type="dcterms:W3CDTF">2026-06-30T15:32:16Z</dcterms:created>
  <dcterms:modified xsi:type="dcterms:W3CDTF">2026-06-30T15:33:53Z</dcterms:modified>
  <dc:language>en-US</dc:language>
</cp:coreProperties>
</file>