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 defaultThemeVersion="166925"/>
  <xr:revisionPtr revIDLastSave="0" documentId="8_{4F3D203B-FC64-4684-B2C1-6876F3B255A2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Sprint 1 - Julio 1-15" sheetId="1" r:id="rId1"/>
    <sheet name="Draf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3" i="1" l="1"/>
</calcChain>
</file>

<file path=xl/sharedStrings.xml><?xml version="1.0" encoding="utf-8"?>
<sst xmlns="http://schemas.openxmlformats.org/spreadsheetml/2006/main" count="193" uniqueCount="115">
  <si>
    <t>ID</t>
  </si>
  <si>
    <t>Title</t>
  </si>
  <si>
    <t>State</t>
  </si>
  <si>
    <t>Assigned To</t>
  </si>
  <si>
    <t>Remaining Work</t>
  </si>
  <si>
    <t>E1 [HU-001] - Generar Nivel de Madurez en ITIL</t>
  </si>
  <si>
    <t>Nuevo</t>
  </si>
  <si>
    <t>Jhon Fredy Jimenez Vélez</t>
  </si>
  <si>
    <t>001. Diseñar plantilla de Nivel de Madurez</t>
  </si>
  <si>
    <t>Active</t>
  </si>
  <si>
    <t>Natalia Zartha Suarez</t>
  </si>
  <si>
    <t>003. Ejecutar modelo de madurez mesa SURA - Cotizadores</t>
  </si>
  <si>
    <t>New</t>
  </si>
  <si>
    <t>004a. Ejecutar modelo de madurez mesa BANCOLOMBIA - Gioti 1</t>
  </si>
  <si>
    <t>002. Presentar a los DEM´s Diseño de plantilla del modelo a evaluar</t>
  </si>
  <si>
    <t>003b. Ejecutar modelo de madurez mesa SURA - Venta Canal Digital</t>
  </si>
  <si>
    <t>003c. Ejecutar modelo de madurez mesa SURA - Torre de Control</t>
  </si>
  <si>
    <t>003d. Ejecutar modelo de madurez mesa SURA - Pendiente</t>
  </si>
  <si>
    <t>005. Consolidación Modelos de Madurez de las mesas</t>
  </si>
  <si>
    <t>004b. Ejecutar modelo de madurez mesa BANCOLOMBIA - Gioti 2</t>
  </si>
  <si>
    <t>004c. Ejecutar modelo de madurez mesa BANCOLOMBIA - Gioti 3</t>
  </si>
  <si>
    <t>004d. Ejecutar modelo de madurez mesa BANCOLOMBIA - Gioti 4</t>
  </si>
  <si>
    <t>E1 [HU 002]- Caracterizar las mesas de Servicio</t>
  </si>
  <si>
    <t>TEMP-019</t>
  </si>
  <si>
    <t>006. Diseñar plantilla de caracterización de mesas de servicio: herramientas, FTE, skills, tecnologías, niveles, horarios, ANS, penalidades y trazabilidad</t>
  </si>
  <si>
    <t>TEMP-020</t>
  </si>
  <si>
    <t>007. Presentar plantilla de caracterización con DM y responsables de los trenes</t>
  </si>
  <si>
    <t>TEMP-021</t>
  </si>
  <si>
    <t>008. Levantar caracterización mesa BANCOLOMBIA - GIOTI (Incidentes y ANS, fraude en tiempo rea, NoC, 7x24h)</t>
  </si>
  <si>
    <t>TEMP-022</t>
  </si>
  <si>
    <t>009. Levantar caracterización mesa SURA - Cotizadores</t>
  </si>
  <si>
    <t>TEMP-023</t>
  </si>
  <si>
    <t>010. Levantar caracterización mesa SURA - Venta Canal Digital</t>
  </si>
  <si>
    <t>TEMP-024</t>
  </si>
  <si>
    <t>011. Levantar caracterización mesa SURA - Torre de Control</t>
  </si>
  <si>
    <t>TEMP-025</t>
  </si>
  <si>
    <t>012. Levantar caracterización mesa SURA - Pendiente / por definir</t>
  </si>
  <si>
    <t>TEMP-026</t>
  </si>
  <si>
    <t>013. Levantar caracterización mesa XM - paquete de aplicaciones / modernización continua</t>
  </si>
  <si>
    <t>TEMP-027</t>
  </si>
  <si>
    <t>014. Levantar caracterización mesa AES - atención en sitio OT/IT y soporte 7x24</t>
  </si>
  <si>
    <t>TEMP-028</t>
  </si>
  <si>
    <t>015. Levantar caracterización mesa MEDICARTE IPS - operación correctiva / historia clínica media</t>
  </si>
  <si>
    <t>TEMP-029</t>
  </si>
  <si>
    <t>016. Consolidar caracterización de mesas y mapa de dolores operativos</t>
  </si>
  <si>
    <t>E1 [HU - 003] Identificar costos actuales de la operación y costos de transición</t>
  </si>
  <si>
    <t>TEMP-030</t>
  </si>
  <si>
    <t>017. Identificar modelo de facturación actual por cliente/mesa de servicio (separar tarea por mesa de servicio?)</t>
  </si>
  <si>
    <t>TEMP-031</t>
  </si>
  <si>
    <t>018. Construir matriz costo actual vs costo de transición al nuevo modelo</t>
  </si>
  <si>
    <t>TEMP-032</t>
  </si>
  <si>
    <t>019. Estimar costos de capacitación para transición de personas y operación</t>
  </si>
  <si>
    <t>TEMP-033</t>
  </si>
  <si>
    <t>020. Estimar costos de herramientas, automatizaciones e inversiones de alto nivel</t>
  </si>
  <si>
    <t>TEMP-034</t>
  </si>
  <si>
    <t>021. Revisar estado de propuestas, negocios y contratos relacionados con mesas de servicio</t>
  </si>
  <si>
    <t>TEMP-HU004</t>
  </si>
  <si>
    <t>E1 [HU-004] - Rediseño estandarizado de la mesa de servicio TO-BE</t>
  </si>
  <si>
    <t>TEMP-035</t>
  </si>
  <si>
    <t>022. Identificar gaps de ANS frente al modelo objetivo de mesa de servicio</t>
  </si>
  <si>
    <t>TEMP-036</t>
  </si>
  <si>
    <t>023. Diseñar service blueprint / business service blueprint de alto nivel</t>
  </si>
  <si>
    <t>TEMP-037</t>
  </si>
  <si>
    <t>024. Definir alternativas organizacionales: tren único, centro de servicios compartido, vagón o líder de práctica</t>
  </si>
  <si>
    <t>TEMP-038</t>
  </si>
  <si>
    <t>025. Definir RACI para propuestas, renovaciones y altas/bajas de ítems de configuración</t>
  </si>
  <si>
    <t>TEMP-039</t>
  </si>
  <si>
    <t>026. Definir lineamientos de gestión de conocimiento y límites del servicio</t>
  </si>
  <si>
    <t>TEMP-040</t>
  </si>
  <si>
    <t>027. Generar plan de transición por oleadas: transición 1, transición 2 y siguientes</t>
  </si>
  <si>
    <t>TEMP-041</t>
  </si>
  <si>
    <t>028. Identificar oportunidades de automatización: agentes, robots RPA y reducción de tareas manuales</t>
  </si>
  <si>
    <t>TEMP-042</t>
  </si>
  <si>
    <t>029. Definir estándar de KPIs del servicio: taxonomía, frecuencia, metas y fuentes</t>
  </si>
  <si>
    <t>TEMP-043</t>
  </si>
  <si>
    <t>030. Diseñar estructura de reportes transversales de operación PersonalSoft</t>
  </si>
  <si>
    <t>TEMP-044</t>
  </si>
  <si>
    <t>031. Coordinar sesiones con DM y áreas involucradas para validar el modelo TO-BE</t>
  </si>
  <si>
    <t>Total horas estimadas</t>
  </si>
  <si>
    <t>Stages</t>
  </si>
  <si>
    <t>Ideación</t>
  </si>
  <si>
    <r>
      <rPr>
        <b/>
        <sz val="11"/>
        <color rgb="FF000000"/>
        <rFont val="Calibri"/>
        <scheme val="minor"/>
      </rPr>
      <t>Roadmap</t>
    </r>
    <r>
      <rPr>
        <sz val="11"/>
        <color rgb="FF000000"/>
        <rFont val="Calibri"/>
        <scheme val="minor"/>
      </rPr>
      <t>: 4 Meses</t>
    </r>
  </si>
  <si>
    <t xml:space="preserve">Ingeniera </t>
  </si>
  <si>
    <t>Productización</t>
  </si>
  <si>
    <t>Priorizacion con comecial</t>
  </si>
  <si>
    <t>Evaluación Mesas de servicios actuales (Donde estamos)</t>
  </si>
  <si>
    <t>*Nivel de madurez</t>
  </si>
  <si>
    <t>H</t>
  </si>
  <si>
    <t>*Caracterizacion</t>
  </si>
  <si>
    <t>*Costos (FTE)</t>
  </si>
  <si>
    <t>Diseño servicio</t>
  </si>
  <si>
    <t>*Definición de servicio Mesa de Servicio de proxima generación</t>
  </si>
  <si>
    <r>
      <rPr>
        <sz val="11"/>
        <color rgb="FF000000"/>
        <rFont val="Calibri"/>
        <scheme val="minor"/>
      </rPr>
      <t xml:space="preserve">*Modelo de servicio actuales </t>
    </r>
    <r>
      <rPr>
        <u/>
        <sz val="11"/>
        <color rgb="FF000000"/>
        <rFont val="Calibri"/>
        <scheme val="minor"/>
      </rPr>
      <t>optimizado</t>
    </r>
  </si>
  <si>
    <t>****especiaalizaciones</t>
  </si>
  <si>
    <t>*Contratación</t>
  </si>
  <si>
    <t>*Colaterales de venta</t>
  </si>
  <si>
    <t>*Colaterales del delivery (capacidad, procesos)</t>
  </si>
  <si>
    <t>*Procesos, ANS, KPIs</t>
  </si>
  <si>
    <t>*Automatización, tecnologia</t>
  </si>
  <si>
    <t>Agosto</t>
  </si>
  <si>
    <t>Piloto de herramientas (reportes, dashboard)</t>
  </si>
  <si>
    <t>*cara a cliente</t>
  </si>
  <si>
    <t>*cara a la operación; del servicio</t>
  </si>
  <si>
    <t>Capacitaciones</t>
  </si>
  <si>
    <t>Lanzamiento (Comercial); CRM</t>
  </si>
  <si>
    <t>*</t>
  </si>
  <si>
    <t>Contractual</t>
  </si>
  <si>
    <t>Septiembre</t>
  </si>
  <si>
    <t>Piloto de Transicion de los servicios activos al nuevo modelo</t>
  </si>
  <si>
    <t>*Operación</t>
  </si>
  <si>
    <t>*Cliente</t>
  </si>
  <si>
    <t>Habilitaciones ADM</t>
  </si>
  <si>
    <t>Evolucion del servicio: Modernización, control de seguriidad y reducción de ...</t>
  </si>
  <si>
    <t>Prioridad: SURA, GIOTI Bancolombia</t>
  </si>
  <si>
    <t>Lanzarlos en olas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</si>
</sst>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rgb="FFFFFFFF"/>
      <name val="Segoe UI"/>
      <charset val="1"/>
    </font>
    <font>
      <sz val="9"/>
      <color rgb="FF000000"/>
      <name val="Segoe UI"/>
      <charset val="1"/>
    </font>
    <font>
      <b/>
      <sz val="9"/>
      <color rgb="FF000000"/>
      <name val="Segoe UI"/>
      <charset val="1"/>
    </font>
    <font>
      <b/>
      <u/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u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FFFF"/>
      <name val="Segoe UI"/>
      <charset val="1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  <font>
      <u/>
      <sz val="11"/>
      <color rgb="FF000000"/>
      <name val="Calibri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rgb="FFD9D9D9"/>
      </left>
      <right style="medium">
        <color rgb="FFD9D9D9"/>
      </right>
      <top style="thin">
        <color auto="1"/>
      </top>
      <bottom style="thin">
        <color rgb="FFD9D9D9"/>
      </bottom>
      <diagonal/>
    </border>
    <border>
      <left style="medium">
        <color rgb="FFD9D9D9"/>
      </left>
      <right style="medium">
        <color rgb="FFD9D9D9"/>
      </right>
      <top style="thin">
        <color rgb="FFD9D9D9"/>
      </top>
      <bottom style="thin">
        <color auto="1"/>
      </bottom>
      <diagonal/>
    </border>
    <border>
      <left style="thin">
        <color auto="1"/>
      </left>
      <right style="medium">
        <color rgb="FFD9D9D9"/>
      </right>
      <top style="thin">
        <color auto="1"/>
      </top>
      <bottom style="thin">
        <color rgb="FFD9D9D9"/>
      </bottom>
      <diagonal/>
    </border>
    <border>
      <left style="thin">
        <color auto="1"/>
      </left>
      <right style="medium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medium">
        <color rgb="FFD9D9D9"/>
      </right>
      <top style="thin">
        <color rgb="FFD9D9D9"/>
      </top>
      <bottom style="thin">
        <color auto="1"/>
      </bottom>
      <diagonal/>
    </border>
    <border>
      <left style="medium">
        <color rgb="FFD9D9D9"/>
      </left>
      <right style="thin">
        <color auto="1"/>
      </right>
      <top style="thin">
        <color auto="1"/>
      </top>
      <bottom style="thin">
        <color rgb="FFD9D9D9"/>
      </bottom>
      <diagonal/>
    </border>
    <border>
      <left style="medium">
        <color rgb="FFD9D9D9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D9D9D9"/>
      </left>
      <right style="thin">
        <color rgb="FF000000"/>
      </right>
      <top style="thin">
        <color rgb="FFD9D9D9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horizontal="center"/>
    </xf>
    <xf numFmtId="0" fontId="4" fillId="3" borderId="1" xfId="0" applyFont="1" applyFill="1" applyBorder="1" applyAlignment="1">
      <alignment wrapText="1"/>
    </xf>
    <xf numFmtId="0" fontId="4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wrapText="1"/>
    </xf>
    <xf numFmtId="0" fontId="6" fillId="3" borderId="1" xfId="0" applyFont="1" applyFill="1" applyBorder="1" applyAlignment="1">
      <alignment horizontal="center"/>
    </xf>
    <xf numFmtId="0" fontId="6" fillId="3" borderId="1" xfId="0" applyFont="1" applyFill="1" applyBorder="1"/>
    <xf numFmtId="0" fontId="2" fillId="2" borderId="2" xfId="0" applyFont="1" applyFill="1" applyBorder="1" applyAlignment="1">
      <alignment horizontal="center" wrapText="1"/>
    </xf>
    <xf numFmtId="0" fontId="6" fillId="4" borderId="3" xfId="0" applyFont="1" applyFill="1" applyBorder="1"/>
    <xf numFmtId="0" fontId="5" fillId="3" borderId="5" xfId="1" applyFont="1" applyFill="1" applyBorder="1" applyAlignment="1">
      <alignment horizontal="center" wrapText="1"/>
    </xf>
    <xf numFmtId="0" fontId="6" fillId="3" borderId="5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7" fillId="0" borderId="5" xfId="1" applyFont="1" applyFill="1" applyBorder="1" applyAlignment="1">
      <alignment horizontal="center" wrapText="1"/>
    </xf>
    <xf numFmtId="0" fontId="8" fillId="0" borderId="3" xfId="0" applyFont="1" applyBorder="1"/>
    <xf numFmtId="0" fontId="8" fillId="0" borderId="3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9" fillId="2" borderId="4" xfId="0" applyFont="1" applyFill="1" applyBorder="1" applyAlignment="1">
      <alignment horizontal="center" wrapText="1"/>
    </xf>
    <xf numFmtId="1" fontId="4" fillId="3" borderId="8" xfId="0" applyNumberFormat="1" applyFont="1" applyFill="1" applyBorder="1" applyAlignment="1">
      <alignment horizontal="center" wrapText="1"/>
    </xf>
    <xf numFmtId="1" fontId="3" fillId="0" borderId="8" xfId="0" applyNumberFormat="1" applyFont="1" applyBorder="1" applyAlignment="1">
      <alignment horizontal="center" wrapText="1"/>
    </xf>
    <xf numFmtId="1" fontId="6" fillId="3" borderId="8" xfId="0" applyNumberFormat="1" applyFont="1" applyFill="1" applyBorder="1" applyAlignment="1">
      <alignment horizontal="center"/>
    </xf>
    <xf numFmtId="0" fontId="3" fillId="0" borderId="8" xfId="0" applyFont="1" applyBorder="1" applyAlignment="1">
      <alignment horizontal="center" wrapText="1"/>
    </xf>
    <xf numFmtId="1" fontId="6" fillId="4" borderId="9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wrapText="1"/>
    </xf>
    <xf numFmtId="0" fontId="11" fillId="0" borderId="0" xfId="0" applyFont="1"/>
    <xf numFmtId="0" fontId="0" fillId="0" borderId="0" xfId="0" applyAlignment="1">
      <alignment wrapText="1"/>
    </xf>
    <xf numFmtId="0" fontId="13" fillId="0" borderId="0" xfId="0" applyFont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9525</xdr:colOff>
      <xdr:row>2</xdr:row>
      <xdr:rowOff>57150</xdr:rowOff>
    </xdr:from>
    <xdr:to>
      <xdr:col>20</xdr:col>
      <xdr:colOff>238125</xdr:colOff>
      <xdr:row>19</xdr:row>
      <xdr:rowOff>133350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AF9C1A1-4B45-4FC6-97EA-E78B99D3D9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05525" y="438150"/>
          <a:ext cx="6324600" cy="3314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ersonalsoftsas.visualstudio.com/78e8591a-aae5-4b72-9bc1-456417247192/_workitems/edit/36114" TargetMode="External"/><Relationship Id="rId3" Type="http://schemas.openxmlformats.org/officeDocument/2006/relationships/hyperlink" Target="https://personalsoftsas.visualstudio.com/78e8591a-aae5-4b72-9bc1-456417247192/_workitems/edit/36109" TargetMode="External"/><Relationship Id="rId7" Type="http://schemas.openxmlformats.org/officeDocument/2006/relationships/hyperlink" Target="https://personalsoftsas.visualstudio.com/78e8591a-aae5-4b72-9bc1-456417247192/_workitems/edit/36113" TargetMode="External"/><Relationship Id="rId12" Type="http://schemas.openxmlformats.org/officeDocument/2006/relationships/hyperlink" Target="https://personalsoftsas.visualstudio.com/78e8591a-aae5-4b72-9bc1-456417247192/_workitems/edit/36118" TargetMode="External"/><Relationship Id="rId2" Type="http://schemas.openxmlformats.org/officeDocument/2006/relationships/hyperlink" Target="https://personalsoftsas.visualstudio.com/78e8591a-aae5-4b72-9bc1-456417247192/_workitems/edit/36108" TargetMode="External"/><Relationship Id="rId1" Type="http://schemas.openxmlformats.org/officeDocument/2006/relationships/hyperlink" Target="https://personalsoftsas.visualstudio.com/78e8591a-aae5-4b72-9bc1-456417247192/_workitems/edit/36103" TargetMode="External"/><Relationship Id="rId6" Type="http://schemas.openxmlformats.org/officeDocument/2006/relationships/hyperlink" Target="https://personalsoftsas.visualstudio.com/78e8591a-aae5-4b72-9bc1-456417247192/_workitems/edit/36112" TargetMode="External"/><Relationship Id="rId11" Type="http://schemas.openxmlformats.org/officeDocument/2006/relationships/hyperlink" Target="https://personalsoftsas.visualstudio.com/78e8591a-aae5-4b72-9bc1-456417247192/_workitems/edit/36117" TargetMode="External"/><Relationship Id="rId5" Type="http://schemas.openxmlformats.org/officeDocument/2006/relationships/hyperlink" Target="https://personalsoftsas.visualstudio.com/78e8591a-aae5-4b72-9bc1-456417247192/_workitems/edit/36111" TargetMode="External"/><Relationship Id="rId10" Type="http://schemas.openxmlformats.org/officeDocument/2006/relationships/hyperlink" Target="https://personalsoftsas.visualstudio.com/78e8591a-aae5-4b72-9bc1-456417247192/_workitems/edit/36116" TargetMode="External"/><Relationship Id="rId4" Type="http://schemas.openxmlformats.org/officeDocument/2006/relationships/hyperlink" Target="https://personalsoftsas.visualstudio.com/78e8591a-aae5-4b72-9bc1-456417247192/_workitems/edit/36110" TargetMode="External"/><Relationship Id="rId9" Type="http://schemas.openxmlformats.org/officeDocument/2006/relationships/hyperlink" Target="https://personalsoftsas.visualstudio.com/78e8591a-aae5-4b72-9bc1-456417247192/_workitems/edit/36115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"/>
  <sheetViews>
    <sheetView workbookViewId="0">
      <pane ySplit="1" topLeftCell="A29" activePane="bottomLeft" state="frozen"/>
      <selection pane="bottomLeft" activeCell="G1" sqref="G1:J1048576"/>
    </sheetView>
  </sheetViews>
  <sheetFormatPr defaultRowHeight="15"/>
  <cols>
    <col min="1" max="1" width="12.5703125" bestFit="1" customWidth="1"/>
    <col min="2" max="2" width="75.42578125" customWidth="1"/>
    <col min="3" max="3" width="6.7109375" style="1" bestFit="1" customWidth="1"/>
    <col min="4" max="4" width="23.28515625" bestFit="1" customWidth="1"/>
    <col min="5" max="5" width="9.140625" style="1"/>
    <col min="7" max="7" width="13.7109375" bestFit="1" customWidth="1"/>
    <col min="9" max="9" width="11" bestFit="1" customWidth="1"/>
    <col min="10" max="10" width="60" customWidth="1"/>
  </cols>
  <sheetData>
    <row r="1" spans="1:5" ht="25.5">
      <c r="A1" s="19" t="s">
        <v>0</v>
      </c>
      <c r="B1" s="7" t="s">
        <v>1</v>
      </c>
      <c r="C1" s="7" t="s">
        <v>2</v>
      </c>
      <c r="D1" s="7" t="s">
        <v>3</v>
      </c>
      <c r="E1" s="11" t="s">
        <v>4</v>
      </c>
    </row>
    <row r="2" spans="1:5">
      <c r="A2" s="9">
        <v>36103</v>
      </c>
      <c r="B2" s="2" t="s">
        <v>5</v>
      </c>
      <c r="C2" s="3" t="s">
        <v>6</v>
      </c>
      <c r="D2" s="2" t="s">
        <v>7</v>
      </c>
      <c r="E2" s="20"/>
    </row>
    <row r="3" spans="1:5">
      <c r="A3" s="14">
        <v>36108</v>
      </c>
      <c r="B3" s="12" t="s">
        <v>8</v>
      </c>
      <c r="C3" s="13" t="s">
        <v>9</v>
      </c>
      <c r="D3" s="12" t="s">
        <v>10</v>
      </c>
      <c r="E3" s="21">
        <v>8</v>
      </c>
    </row>
    <row r="4" spans="1:5">
      <c r="A4" s="14">
        <v>36109</v>
      </c>
      <c r="B4" s="12" t="s">
        <v>11</v>
      </c>
      <c r="C4" s="13" t="s">
        <v>12</v>
      </c>
      <c r="D4" s="12" t="s">
        <v>10</v>
      </c>
      <c r="E4" s="21">
        <v>2</v>
      </c>
    </row>
    <row r="5" spans="1:5">
      <c r="A5" s="14">
        <v>36110</v>
      </c>
      <c r="B5" s="12" t="s">
        <v>13</v>
      </c>
      <c r="C5" s="13" t="s">
        <v>12</v>
      </c>
      <c r="D5" s="12" t="s">
        <v>10</v>
      </c>
      <c r="E5" s="21">
        <v>2</v>
      </c>
    </row>
    <row r="6" spans="1:5">
      <c r="A6" s="14">
        <v>36111</v>
      </c>
      <c r="B6" s="12" t="s">
        <v>14</v>
      </c>
      <c r="C6" s="13" t="s">
        <v>12</v>
      </c>
      <c r="D6" s="12" t="s">
        <v>10</v>
      </c>
      <c r="E6" s="21">
        <v>2</v>
      </c>
    </row>
    <row r="7" spans="1:5">
      <c r="A7" s="14">
        <v>36112</v>
      </c>
      <c r="B7" s="12" t="s">
        <v>15</v>
      </c>
      <c r="C7" s="13" t="s">
        <v>12</v>
      </c>
      <c r="D7" s="12" t="s">
        <v>10</v>
      </c>
      <c r="E7" s="21">
        <v>2</v>
      </c>
    </row>
    <row r="8" spans="1:5">
      <c r="A8" s="14">
        <v>36113</v>
      </c>
      <c r="B8" s="12" t="s">
        <v>16</v>
      </c>
      <c r="C8" s="13" t="s">
        <v>12</v>
      </c>
      <c r="D8" s="12" t="s">
        <v>10</v>
      </c>
      <c r="E8" s="21">
        <v>2</v>
      </c>
    </row>
    <row r="9" spans="1:5">
      <c r="A9" s="14">
        <v>36114</v>
      </c>
      <c r="B9" s="12" t="s">
        <v>17</v>
      </c>
      <c r="C9" s="13" t="s">
        <v>12</v>
      </c>
      <c r="D9" s="12" t="s">
        <v>10</v>
      </c>
      <c r="E9" s="21">
        <v>2</v>
      </c>
    </row>
    <row r="10" spans="1:5">
      <c r="A10" s="14">
        <v>36115</v>
      </c>
      <c r="B10" s="12" t="s">
        <v>18</v>
      </c>
      <c r="C10" s="13" t="s">
        <v>12</v>
      </c>
      <c r="D10" s="12" t="s">
        <v>10</v>
      </c>
      <c r="E10" s="21">
        <v>12</v>
      </c>
    </row>
    <row r="11" spans="1:5">
      <c r="A11" s="14">
        <v>36116</v>
      </c>
      <c r="B11" s="12" t="s">
        <v>19</v>
      </c>
      <c r="C11" s="13" t="s">
        <v>12</v>
      </c>
      <c r="D11" s="12" t="s">
        <v>10</v>
      </c>
      <c r="E11" s="21">
        <v>2</v>
      </c>
    </row>
    <row r="12" spans="1:5">
      <c r="A12" s="14">
        <v>36117</v>
      </c>
      <c r="B12" s="12" t="s">
        <v>20</v>
      </c>
      <c r="C12" s="13" t="s">
        <v>12</v>
      </c>
      <c r="D12" s="12" t="s">
        <v>10</v>
      </c>
      <c r="E12" s="21">
        <v>2</v>
      </c>
    </row>
    <row r="13" spans="1:5">
      <c r="A13" s="14">
        <v>36118</v>
      </c>
      <c r="B13" s="12" t="s">
        <v>21</v>
      </c>
      <c r="C13" s="13" t="s">
        <v>12</v>
      </c>
      <c r="D13" s="12" t="s">
        <v>10</v>
      </c>
      <c r="E13" s="21">
        <v>2</v>
      </c>
    </row>
    <row r="14" spans="1:5">
      <c r="A14" s="10">
        <v>36105</v>
      </c>
      <c r="B14" s="4" t="s">
        <v>22</v>
      </c>
      <c r="C14" s="5" t="s">
        <v>6</v>
      </c>
      <c r="D14" s="6" t="s">
        <v>7</v>
      </c>
      <c r="E14" s="22"/>
    </row>
    <row r="15" spans="1:5" ht="25.5">
      <c r="A15" s="17" t="s">
        <v>23</v>
      </c>
      <c r="B15" s="12" t="s">
        <v>24</v>
      </c>
      <c r="C15" s="13" t="s">
        <v>12</v>
      </c>
      <c r="D15" s="12" t="s">
        <v>10</v>
      </c>
      <c r="E15" s="23">
        <v>6</v>
      </c>
    </row>
    <row r="16" spans="1:5">
      <c r="A16" s="17" t="s">
        <v>25</v>
      </c>
      <c r="B16" s="12" t="s">
        <v>26</v>
      </c>
      <c r="C16" s="13" t="s">
        <v>12</v>
      </c>
      <c r="D16" s="12" t="s">
        <v>10</v>
      </c>
      <c r="E16" s="23">
        <v>2</v>
      </c>
    </row>
    <row r="17" spans="1:5" ht="25.5">
      <c r="A17" s="17" t="s">
        <v>27</v>
      </c>
      <c r="B17" s="25" t="s">
        <v>28</v>
      </c>
      <c r="C17" s="13" t="s">
        <v>12</v>
      </c>
      <c r="D17" s="12" t="s">
        <v>10</v>
      </c>
      <c r="E17" s="23">
        <v>2</v>
      </c>
    </row>
    <row r="18" spans="1:5">
      <c r="A18" s="17" t="s">
        <v>29</v>
      </c>
      <c r="B18" s="12" t="s">
        <v>30</v>
      </c>
      <c r="C18" s="13" t="s">
        <v>12</v>
      </c>
      <c r="D18" s="12" t="s">
        <v>10</v>
      </c>
      <c r="E18" s="23">
        <v>2</v>
      </c>
    </row>
    <row r="19" spans="1:5">
      <c r="A19" s="17" t="s">
        <v>31</v>
      </c>
      <c r="B19" s="12" t="s">
        <v>32</v>
      </c>
      <c r="C19" s="13" t="s">
        <v>12</v>
      </c>
      <c r="D19" s="12" t="s">
        <v>10</v>
      </c>
      <c r="E19" s="23">
        <v>2</v>
      </c>
    </row>
    <row r="20" spans="1:5">
      <c r="A20" s="17" t="s">
        <v>33</v>
      </c>
      <c r="B20" s="12" t="s">
        <v>34</v>
      </c>
      <c r="C20" s="13" t="s">
        <v>12</v>
      </c>
      <c r="D20" s="12" t="s">
        <v>10</v>
      </c>
      <c r="E20" s="23">
        <v>2</v>
      </c>
    </row>
    <row r="21" spans="1:5">
      <c r="A21" s="17" t="s">
        <v>35</v>
      </c>
      <c r="B21" s="12" t="s">
        <v>36</v>
      </c>
      <c r="C21" s="13" t="s">
        <v>12</v>
      </c>
      <c r="D21" s="12" t="s">
        <v>10</v>
      </c>
      <c r="E21" s="23">
        <v>3</v>
      </c>
    </row>
    <row r="22" spans="1:5">
      <c r="A22" s="17" t="s">
        <v>37</v>
      </c>
      <c r="B22" s="12" t="s">
        <v>38</v>
      </c>
      <c r="C22" s="13" t="s">
        <v>12</v>
      </c>
      <c r="D22" s="12" t="s">
        <v>10</v>
      </c>
      <c r="E22" s="23">
        <v>2</v>
      </c>
    </row>
    <row r="23" spans="1:5">
      <c r="A23" s="17" t="s">
        <v>39</v>
      </c>
      <c r="B23" s="12" t="s">
        <v>40</v>
      </c>
      <c r="C23" s="13" t="s">
        <v>12</v>
      </c>
      <c r="D23" s="12" t="s">
        <v>10</v>
      </c>
      <c r="E23" s="23">
        <v>2</v>
      </c>
    </row>
    <row r="24" spans="1:5">
      <c r="A24" s="17" t="s">
        <v>41</v>
      </c>
      <c r="B24" s="12" t="s">
        <v>42</v>
      </c>
      <c r="C24" s="13" t="s">
        <v>12</v>
      </c>
      <c r="D24" s="12" t="s">
        <v>10</v>
      </c>
      <c r="E24" s="23">
        <v>2</v>
      </c>
    </row>
    <row r="25" spans="1:5">
      <c r="A25" s="17" t="s">
        <v>43</v>
      </c>
      <c r="B25" s="12" t="s">
        <v>44</v>
      </c>
      <c r="C25" s="13" t="s">
        <v>12</v>
      </c>
      <c r="D25" s="12" t="s">
        <v>10</v>
      </c>
      <c r="E25" s="23">
        <v>7</v>
      </c>
    </row>
    <row r="26" spans="1:5">
      <c r="A26" s="10">
        <v>36107</v>
      </c>
      <c r="B26" s="4" t="s">
        <v>45</v>
      </c>
      <c r="C26" s="5" t="s">
        <v>6</v>
      </c>
      <c r="D26" s="6" t="s">
        <v>7</v>
      </c>
      <c r="E26" s="22"/>
    </row>
    <row r="27" spans="1:5" ht="25.5">
      <c r="A27" s="17" t="s">
        <v>46</v>
      </c>
      <c r="B27" s="25" t="s">
        <v>47</v>
      </c>
      <c r="C27" s="13" t="s">
        <v>12</v>
      </c>
      <c r="D27" s="12" t="s">
        <v>10</v>
      </c>
      <c r="E27" s="23">
        <v>4</v>
      </c>
    </row>
    <row r="28" spans="1:5">
      <c r="A28" s="17" t="s">
        <v>48</v>
      </c>
      <c r="B28" s="12" t="s">
        <v>49</v>
      </c>
      <c r="C28" s="13" t="s">
        <v>12</v>
      </c>
      <c r="D28" s="12" t="s">
        <v>10</v>
      </c>
      <c r="E28" s="23">
        <v>6</v>
      </c>
    </row>
    <row r="29" spans="1:5">
      <c r="A29" s="17" t="s">
        <v>50</v>
      </c>
      <c r="B29" s="12" t="s">
        <v>51</v>
      </c>
      <c r="C29" s="13" t="s">
        <v>12</v>
      </c>
      <c r="D29" s="12" t="s">
        <v>10</v>
      </c>
      <c r="E29" s="23">
        <v>4</v>
      </c>
    </row>
    <row r="30" spans="1:5">
      <c r="A30" s="17" t="s">
        <v>52</v>
      </c>
      <c r="B30" s="12" t="s">
        <v>53</v>
      </c>
      <c r="C30" s="13" t="s">
        <v>12</v>
      </c>
      <c r="D30" s="12" t="s">
        <v>10</v>
      </c>
      <c r="E30" s="23">
        <v>5</v>
      </c>
    </row>
    <row r="31" spans="1:5">
      <c r="A31" s="17" t="s">
        <v>54</v>
      </c>
      <c r="B31" s="12" t="s">
        <v>55</v>
      </c>
      <c r="C31" s="13" t="s">
        <v>12</v>
      </c>
      <c r="D31" s="12" t="s">
        <v>10</v>
      </c>
      <c r="E31" s="23">
        <v>4</v>
      </c>
    </row>
    <row r="32" spans="1:5">
      <c r="A32" s="10" t="s">
        <v>56</v>
      </c>
      <c r="B32" s="4" t="s">
        <v>57</v>
      </c>
      <c r="C32" s="5" t="s">
        <v>6</v>
      </c>
      <c r="D32" s="6" t="s">
        <v>7</v>
      </c>
      <c r="E32" s="22"/>
    </row>
    <row r="33" spans="1:5">
      <c r="A33" s="17" t="s">
        <v>58</v>
      </c>
      <c r="B33" s="12" t="s">
        <v>59</v>
      </c>
      <c r="C33" s="13" t="s">
        <v>12</v>
      </c>
      <c r="D33" s="12" t="s">
        <v>10</v>
      </c>
      <c r="E33" s="23">
        <v>4</v>
      </c>
    </row>
    <row r="34" spans="1:5">
      <c r="A34" s="17" t="s">
        <v>60</v>
      </c>
      <c r="B34" s="25" t="s">
        <v>61</v>
      </c>
      <c r="C34" s="13" t="s">
        <v>12</v>
      </c>
      <c r="D34" s="12" t="s">
        <v>10</v>
      </c>
      <c r="E34" s="23">
        <v>8</v>
      </c>
    </row>
    <row r="35" spans="1:5" ht="25.5">
      <c r="A35" s="17" t="s">
        <v>62</v>
      </c>
      <c r="B35" s="12" t="s">
        <v>63</v>
      </c>
      <c r="C35" s="13" t="s">
        <v>12</v>
      </c>
      <c r="D35" s="12" t="s">
        <v>10</v>
      </c>
      <c r="E35" s="23">
        <v>5</v>
      </c>
    </row>
    <row r="36" spans="1:5">
      <c r="A36" s="17" t="s">
        <v>64</v>
      </c>
      <c r="B36" s="12" t="s">
        <v>65</v>
      </c>
      <c r="C36" s="13" t="s">
        <v>12</v>
      </c>
      <c r="D36" s="12" t="s">
        <v>10</v>
      </c>
      <c r="E36" s="23">
        <v>5</v>
      </c>
    </row>
    <row r="37" spans="1:5">
      <c r="A37" s="17" t="s">
        <v>66</v>
      </c>
      <c r="B37" s="12" t="s">
        <v>67</v>
      </c>
      <c r="C37" s="13" t="s">
        <v>12</v>
      </c>
      <c r="D37" s="12" t="s">
        <v>10</v>
      </c>
      <c r="E37" s="23">
        <v>4</v>
      </c>
    </row>
    <row r="38" spans="1:5">
      <c r="A38" s="17" t="s">
        <v>68</v>
      </c>
      <c r="B38" s="12" t="s">
        <v>69</v>
      </c>
      <c r="C38" s="13" t="s">
        <v>12</v>
      </c>
      <c r="D38" s="12" t="s">
        <v>10</v>
      </c>
      <c r="E38" s="23">
        <v>6</v>
      </c>
    </row>
    <row r="39" spans="1:5" ht="25.5">
      <c r="A39" s="17" t="s">
        <v>70</v>
      </c>
      <c r="B39" s="12" t="s">
        <v>71</v>
      </c>
      <c r="C39" s="13" t="s">
        <v>12</v>
      </c>
      <c r="D39" s="12" t="s">
        <v>10</v>
      </c>
      <c r="E39" s="23">
        <v>5</v>
      </c>
    </row>
    <row r="40" spans="1:5">
      <c r="A40" s="17" t="s">
        <v>72</v>
      </c>
      <c r="B40" s="12" t="s">
        <v>73</v>
      </c>
      <c r="C40" s="13" t="s">
        <v>12</v>
      </c>
      <c r="D40" s="12" t="s">
        <v>10</v>
      </c>
      <c r="E40" s="23">
        <v>6</v>
      </c>
    </row>
    <row r="41" spans="1:5">
      <c r="A41" s="17" t="s">
        <v>74</v>
      </c>
      <c r="B41" s="12" t="s">
        <v>75</v>
      </c>
      <c r="C41" s="13" t="s">
        <v>12</v>
      </c>
      <c r="D41" s="12" t="s">
        <v>10</v>
      </c>
      <c r="E41" s="23">
        <v>5</v>
      </c>
    </row>
    <row r="42" spans="1:5">
      <c r="A42" s="17" t="s">
        <v>76</v>
      </c>
      <c r="B42" s="12" t="s">
        <v>77</v>
      </c>
      <c r="C42" s="13" t="s">
        <v>12</v>
      </c>
      <c r="D42" s="12" t="s">
        <v>10</v>
      </c>
      <c r="E42" s="23">
        <v>3</v>
      </c>
    </row>
    <row r="43" spans="1:5">
      <c r="A43" s="18"/>
      <c r="B43" s="15"/>
      <c r="C43" s="16"/>
      <c r="D43" s="8" t="s">
        <v>78</v>
      </c>
      <c r="E43" s="24">
        <f>SUM(E2:E42)</f>
        <v>144</v>
      </c>
    </row>
  </sheetData>
  <hyperlinks>
    <hyperlink ref="A2" r:id="rId1" display="36103" xr:uid="{5885956F-8112-4A57-AEB7-D206AECFB8C2}"/>
    <hyperlink ref="A3" r:id="rId2" display="36108" xr:uid="{F41DAFA1-92DD-43ED-943F-ECC8B4D33662}"/>
    <hyperlink ref="A4" r:id="rId3" display="36109" xr:uid="{6C08738A-B549-4498-BF6A-3C835AF293C1}"/>
    <hyperlink ref="A5" r:id="rId4" display="36110" xr:uid="{FD8101D0-4D9F-4CF5-A17A-96C63E504EE0}"/>
    <hyperlink ref="A6" r:id="rId5" display="36111" xr:uid="{AA2216E2-6FF6-430A-AF88-1CA2064F15D7}"/>
    <hyperlink ref="A7" r:id="rId6" display="36112" xr:uid="{C7B89A67-5EB4-435B-A5F4-EA6138A9B46E}"/>
    <hyperlink ref="A8" r:id="rId7" display="36113" xr:uid="{B5CF954E-2A54-4964-8FDE-511F6E7D97D7}"/>
    <hyperlink ref="A9" r:id="rId8" display="36114" xr:uid="{57136BB6-82F6-4095-8C1E-E1E9C4BD9CCB}"/>
    <hyperlink ref="A10" r:id="rId9" display="36115" xr:uid="{89005965-063E-4572-BF8E-C1850B799A9E}"/>
    <hyperlink ref="A11" r:id="rId10" display="36116" xr:uid="{8CA80B75-B55B-4785-94CE-40BA52712354}"/>
    <hyperlink ref="A12" r:id="rId11" display="36117" xr:uid="{CC83BF14-8F86-4768-A56E-223D2256F2D6}"/>
    <hyperlink ref="A13" r:id="rId12" display="36118" xr:uid="{E4624231-DB92-4212-8C93-E1A66027BED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A631D-BBF2-47C6-8354-A6CCB4AD5DD4}">
  <dimension ref="A2:D44"/>
  <sheetViews>
    <sheetView tabSelected="1" workbookViewId="0">
      <selection activeCell="N6" sqref="N6"/>
    </sheetView>
  </sheetViews>
  <sheetFormatPr defaultRowHeight="15"/>
  <sheetData>
    <row r="2" spans="1:4">
      <c r="A2" s="28" t="s">
        <v>79</v>
      </c>
    </row>
    <row r="3" spans="1:4">
      <c r="A3" t="s">
        <v>80</v>
      </c>
      <c r="D3" s="26" t="s">
        <v>81</v>
      </c>
    </row>
    <row r="4" spans="1:4">
      <c r="A4" t="s">
        <v>82</v>
      </c>
    </row>
    <row r="5" spans="1:4">
      <c r="A5" t="s">
        <v>83</v>
      </c>
    </row>
    <row r="7" spans="1:4">
      <c r="D7" t="s">
        <v>84</v>
      </c>
    </row>
    <row r="8" spans="1:4">
      <c r="D8" t="s">
        <v>85</v>
      </c>
    </row>
    <row r="9" spans="1:4">
      <c r="D9" t="s">
        <v>86</v>
      </c>
    </row>
    <row r="10" spans="1:4">
      <c r="C10" t="s">
        <v>87</v>
      </c>
      <c r="D10" t="s">
        <v>88</v>
      </c>
    </row>
    <row r="11" spans="1:4">
      <c r="D11" t="s">
        <v>89</v>
      </c>
    </row>
    <row r="14" spans="1:4">
      <c r="D14" t="s">
        <v>90</v>
      </c>
    </row>
    <row r="15" spans="1:4">
      <c r="D15" t="s">
        <v>91</v>
      </c>
    </row>
    <row r="16" spans="1:4">
      <c r="D16" s="26" t="s">
        <v>92</v>
      </c>
    </row>
    <row r="17" spans="2:4">
      <c r="D17" t="s">
        <v>93</v>
      </c>
    </row>
    <row r="19" spans="2:4">
      <c r="D19" t="s">
        <v>94</v>
      </c>
    </row>
    <row r="20" spans="2:4">
      <c r="D20" t="s">
        <v>95</v>
      </c>
    </row>
    <row r="21" spans="2:4">
      <c r="D21" t="s">
        <v>96</v>
      </c>
    </row>
    <row r="22" spans="2:4">
      <c r="D22" t="s">
        <v>97</v>
      </c>
    </row>
    <row r="23" spans="2:4">
      <c r="D23" t="s">
        <v>98</v>
      </c>
    </row>
    <row r="26" spans="2:4">
      <c r="C26" s="28" t="s">
        <v>99</v>
      </c>
      <c r="D26" t="s">
        <v>100</v>
      </c>
    </row>
    <row r="27" spans="2:4">
      <c r="D27" t="s">
        <v>101</v>
      </c>
    </row>
    <row r="28" spans="2:4">
      <c r="D28" t="s">
        <v>102</v>
      </c>
    </row>
    <row r="31" spans="2:4">
      <c r="D31" t="s">
        <v>103</v>
      </c>
    </row>
    <row r="32" spans="2:4">
      <c r="B32" s="28" t="s">
        <v>99</v>
      </c>
      <c r="D32" t="s">
        <v>104</v>
      </c>
    </row>
    <row r="33" spans="3:4">
      <c r="C33" t="s">
        <v>105</v>
      </c>
      <c r="D33" t="s">
        <v>106</v>
      </c>
    </row>
    <row r="34" spans="3:4" ht="106.5">
      <c r="C34" s="28" t="s">
        <v>107</v>
      </c>
      <c r="D34" s="27" t="s">
        <v>108</v>
      </c>
    </row>
    <row r="35" spans="3:4">
      <c r="D35" t="s">
        <v>109</v>
      </c>
    </row>
    <row r="36" spans="3:4">
      <c r="D36" t="s">
        <v>110</v>
      </c>
    </row>
    <row r="38" spans="3:4">
      <c r="D38" t="s">
        <v>111</v>
      </c>
    </row>
    <row r="39" spans="3:4" ht="167.25">
      <c r="D39" s="27" t="s">
        <v>112</v>
      </c>
    </row>
    <row r="43" spans="3:4">
      <c r="D43" t="s">
        <v>113</v>
      </c>
    </row>
    <row r="44" spans="3:4">
      <c r="D44" t="s">
        <v>114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2026-07-01T13:18:57Z</dcterms:created>
  <dcterms:modified xsi:type="dcterms:W3CDTF">2026-07-02T13:31:52Z</dcterms:modified>
  <cp:category/>
  <cp:contentStatus/>
</cp:coreProperties>
</file>