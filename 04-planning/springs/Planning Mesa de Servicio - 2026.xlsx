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DEFB51C1-3EAE-4A22-8D5F-C6097A715216}" xr6:coauthVersionLast="47" xr6:coauthVersionMax="47" xr10:uidLastSave="{00000000-0000-0000-0000-000000000000}"/>
  <bookViews>
    <workbookView xWindow="-110" yWindow="-110" windowWidth="19420" windowHeight="11500" tabRatio="500" firstSheet="1" activeTab="5" xr2:uid="{00000000-000D-0000-FFFF-FFFF00000000}"/>
  </bookViews>
  <sheets>
    <sheet name="Draft" sheetId="1" state="hidden" r:id="rId1"/>
    <sheet name="Roadmap" sheetId="2" r:id="rId2"/>
    <sheet name="Julio" sheetId="3" r:id="rId3"/>
    <sheet name="Agosto" sheetId="4" r:id="rId4"/>
    <sheet name="Septiembre" sheetId="5" r:id="rId5"/>
    <sheet name="Octubre" sheetId="6" r:id="rId6"/>
    <sheet name="Comparación CTO" sheetId="7" r:id="rId7"/>
    <sheet name="Capacidad Sprints" sheetId="8" r:id="rId8"/>
    <sheet name="Pendientes_PO" sheetId="9" r:id="rId9"/>
    <sheet name="Trazabilidad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8" l="1"/>
  <c r="B4" i="8"/>
  <c r="F4" i="8" s="1"/>
  <c r="B7" i="7"/>
  <c r="E7" i="7" s="1"/>
  <c r="E26" i="5"/>
  <c r="E21" i="4"/>
  <c r="B3" i="8" s="1"/>
  <c r="E28" i="3"/>
  <c r="B5" i="7" s="1"/>
  <c r="E31" i="6"/>
  <c r="B5" i="8" s="1"/>
  <c r="F5" i="8" l="1"/>
  <c r="D5" i="8"/>
  <c r="E5" i="8" s="1"/>
  <c r="E5" i="7"/>
  <c r="D5" i="7"/>
  <c r="B9" i="7"/>
  <c r="F3" i="8"/>
  <c r="D3" i="8"/>
  <c r="E3" i="8" s="1"/>
  <c r="D7" i="7"/>
  <c r="B2" i="8"/>
  <c r="D4" i="8"/>
  <c r="E4" i="8" s="1"/>
  <c r="B8" i="7"/>
  <c r="B6" i="7"/>
  <c r="E9" i="7" l="1"/>
  <c r="D9" i="7"/>
  <c r="E6" i="7"/>
  <c r="D6" i="7"/>
  <c r="E8" i="7"/>
  <c r="D8" i="7"/>
  <c r="F2" i="8"/>
  <c r="D2" i="8"/>
  <c r="E2" i="8" s="1"/>
  <c r="B6" i="8"/>
  <c r="F6" i="8" l="1"/>
  <c r="E6" i="8"/>
  <c r="D6" i="8"/>
</calcChain>
</file>

<file path=xl/sharedStrings.xml><?xml version="1.0" encoding="utf-8"?>
<sst xmlns="http://schemas.openxmlformats.org/spreadsheetml/2006/main" count="825" uniqueCount="474">
  <si>
    <t>Stages</t>
  </si>
  <si>
    <t>Ideación</t>
  </si>
  <si>
    <t>Roadmap: 4 Meses</t>
  </si>
  <si>
    <t xml:space="preserve">Ingeniera </t>
  </si>
  <si>
    <t>Productización</t>
  </si>
  <si>
    <t>Priorizacion con comecial</t>
  </si>
  <si>
    <t>Evaluación Mesas de servicios actuales (Donde estamos)</t>
  </si>
  <si>
    <t>*Nivel de madurez</t>
  </si>
  <si>
    <t>H</t>
  </si>
  <si>
    <t>*Caracterizacion</t>
  </si>
  <si>
    <t>*Costos (FTE)</t>
  </si>
  <si>
    <t>Diseño servicio</t>
  </si>
  <si>
    <t>*Definición de servicio Mesa de Servicio de proxima generación</t>
  </si>
  <si>
    <t>*Modelo de servicio actuales optimizado</t>
  </si>
  <si>
    <t>****especiaalizaciones</t>
  </si>
  <si>
    <t>*Contratación</t>
  </si>
  <si>
    <t>*Colaterales de venta</t>
  </si>
  <si>
    <t>*Colaterales del delivery (capacidad, procesos)</t>
  </si>
  <si>
    <t>*Procesos, ANS, KPIs</t>
  </si>
  <si>
    <t>*Automatización, tecnologia</t>
  </si>
  <si>
    <t>Agosto</t>
  </si>
  <si>
    <t>Piloto de herramientas (reportes, dashboard)</t>
  </si>
  <si>
    <t>*cara a cliente</t>
  </si>
  <si>
    <t>*cara a la operación; del servicio</t>
  </si>
  <si>
    <t>Capacitaciones</t>
  </si>
  <si>
    <t>Lanzamiento (Comercial); CRM</t>
  </si>
  <si>
    <t>*</t>
  </si>
  <si>
    <t>Contractual</t>
  </si>
  <si>
    <t>Septiembre</t>
  </si>
  <si>
    <t>Piloto de Transicion de los servicios activos al nuevo modelo</t>
  </si>
  <si>
    <t>*Operación</t>
  </si>
  <si>
    <t>*Cliente</t>
  </si>
  <si>
    <t>Habilitaciones ADM</t>
  </si>
  <si>
    <t>Evolucion del servicio: Modernización, control de seguriidad y reducción de ...</t>
  </si>
  <si>
    <t>Prioridad: SURA, GIOTI Bancolombia</t>
  </si>
  <si>
    <t>Lanzarlos en olas</t>
  </si>
  <si>
    <t>ID</t>
  </si>
  <si>
    <t>Title</t>
  </si>
  <si>
    <t>State</t>
  </si>
  <si>
    <t>Assigned To</t>
  </si>
  <si>
    <t>Remaining Work</t>
  </si>
  <si>
    <t>Entregable principal</t>
  </si>
  <si>
    <t>Fase Roadmap</t>
  </si>
  <si>
    <t>JULIO · Evaluación inicial de la operación y el mercado + arranque del Diseño del Servicio Óptimo (N5)</t>
  </si>
  <si>
    <t>36103</t>
  </si>
  <si>
    <t>E1 [HU-001] - Levantar lecciones aprendidas Mesas Actuales</t>
  </si>
  <si>
    <t>Nuevo</t>
  </si>
  <si>
    <t>Jhon Fredy Jimenez Vélez</t>
  </si>
  <si>
    <t>Evaluación inicial</t>
  </si>
  <si>
    <t>36108</t>
  </si>
  <si>
    <t>001. Diseñar plantilla de Nivel de Madurez (17 prácticas ITIL v5 · escala N0-N5)</t>
  </si>
  <si>
    <t>Active</t>
  </si>
  <si>
    <t>Natalia Zartha Suarez</t>
  </si>
  <si>
    <t>Plantilla Excel Modelo de Madurez v1.0 (17 prácticas, escala N0-N5, rúbrica por nivel)</t>
  </si>
  <si>
    <t>36111</t>
  </si>
  <si>
    <t>002. Presentar a los DEMs diseño de plantilla del modelo a evaluar</t>
  </si>
  <si>
    <t>New</t>
  </si>
  <si>
    <t>Acta de validación de la plantilla con DEMs y responsables de trenes</t>
  </si>
  <si>
    <t>36109</t>
  </si>
  <si>
    <t>003. Ejecutar modelo de madurez mesa SURA - Cotizadores</t>
  </si>
  <si>
    <t>Evaluación diligenciada mesa SURA Cotizadores con nivel actual y evidencias</t>
  </si>
  <si>
    <t>36112</t>
  </si>
  <si>
    <t>003b. Ejecutar modelo de madurez mesa SURA - Venta Canal Digital</t>
  </si>
  <si>
    <t>Evaluación diligenciada mesa SURA Venta Canal Digital</t>
  </si>
  <si>
    <t>36113</t>
  </si>
  <si>
    <t>003c. Ejecutar modelo de madurez mesa SURA - Torre de Control</t>
  </si>
  <si>
    <t>Evaluación diligenciada mesa SURA Torre de Control</t>
  </si>
  <si>
    <t>36114</t>
  </si>
  <si>
    <t>003d. Ejecutar modelo de madurez mesa SURA - Pendiente</t>
  </si>
  <si>
    <t>Evaluación diligenciada mesa SURA pendiente por definir</t>
  </si>
  <si>
    <t>36110</t>
  </si>
  <si>
    <t>004a. Ejecutar modelo de madurez mesa BANCOLOMBIA - Gioti 1</t>
  </si>
  <si>
    <t>Evaluación diligenciada mesa BANCOLOMBIA Gioti 1</t>
  </si>
  <si>
    <t>36116</t>
  </si>
  <si>
    <t>004b. Ejecutar modelo de madurez mesa BANCOLOMBIA - Gioti 2</t>
  </si>
  <si>
    <t>Evaluación diligenciada mesa BANCOLOMBIA Gioti 2</t>
  </si>
  <si>
    <t>36117</t>
  </si>
  <si>
    <t>004c. Ejecutar modelo de madurez mesa BANCOLOMBIA - Gioti 3</t>
  </si>
  <si>
    <t>Evaluación diligenciada mesa BANCOLOMBIA Gioti 3</t>
  </si>
  <si>
    <t>36118</t>
  </si>
  <si>
    <t>004d. Ejecutar modelo de madurez mesa BANCOLOMBIA - Gioti 4</t>
  </si>
  <si>
    <t>Evaluación diligenciada mesa BANCOLOMBIA Gioti 4</t>
  </si>
  <si>
    <t>36115</t>
  </si>
  <si>
    <t>005. Consolidación Modelos de Madurez de las mesas (Dashboard comparativo)</t>
  </si>
  <si>
    <t>Dashboard consolidado de madurez: radar por dimensión y comparativo entre las 8 mesas</t>
  </si>
  <si>
    <t>36142</t>
  </si>
  <si>
    <t>006. Ejecutar modelo de madurez con cliente externo e interno</t>
  </si>
  <si>
    <t>Evaluación de madurez con perspectiva del cliente (satisfacción y expectativas)</t>
  </si>
  <si>
    <t>36143</t>
  </si>
  <si>
    <t>E1 [HU-007] - Caracterización del mercado de las mesas de servicio</t>
  </si>
  <si>
    <t>36144</t>
  </si>
  <si>
    <t>012. Ajustar plantilla para adquisición de información de mesas actuales</t>
  </si>
  <si>
    <t>Plantilla de caracterización ajustada: herramientas, FTE, skills, ANS, penalidades</t>
  </si>
  <si>
    <t>36145</t>
  </si>
  <si>
    <t>013. Realizar caracterización Mesa Sura con Service Management</t>
  </si>
  <si>
    <t>Ficha de caracterización mesas SURA</t>
  </si>
  <si>
    <t>36146</t>
  </si>
  <si>
    <t>014. Realizar caracterización Mesa Bancolombia con Service Management</t>
  </si>
  <si>
    <t>Ficha de caracterización mesas BANCOLOMBIA</t>
  </si>
  <si>
    <t>36147</t>
  </si>
  <si>
    <t>015. Consolidación resultado de la caracterización con las mesas</t>
  </si>
  <si>
    <t>Consolidado de caracterización + mapa de dolores operativos por mesa</t>
  </si>
  <si>
    <t>36140</t>
  </si>
  <si>
    <t>E1 [HU-004] - Diseño optimo bloques de construcción mesa de servicio TO-BE</t>
  </si>
  <si>
    <t>Diseño del Servicio Óptimo (N5)</t>
  </si>
  <si>
    <t>36148</t>
  </si>
  <si>
    <t>007. Investigación del mercado con agente de competidores</t>
  </si>
  <si>
    <t>Informe de benchmarking del mercado de mesas de servicio con análisis de competidores</t>
  </si>
  <si>
    <t>36149</t>
  </si>
  <si>
    <t>008. Crear y Entregar Agente IA para Estudio de Competidores Mesa de Servicio</t>
  </si>
  <si>
    <t>Cristhian Camilo Medina Solano</t>
  </si>
  <si>
    <t>Agente IA funcional para estudio de competidores (.md entregado a equipo)</t>
  </si>
  <si>
    <t>36150</t>
  </si>
  <si>
    <t>009. Diseñar Oferta de Valor y Diferenciador del Servicio (Value proposition statement)</t>
  </si>
  <si>
    <t>Value proposition statement + diferenciador PS vs mercado</t>
  </si>
  <si>
    <t>36151</t>
  </si>
  <si>
    <t>010. Construcción Diagrama de Bloques Alto Nivel (Service Blueprint inicial)</t>
  </si>
  <si>
    <t>Diagrama de bloques alto nivel: flujo del servicio óptimo (personas, tecnología, herramientas)</t>
  </si>
  <si>
    <t>36141</t>
  </si>
  <si>
    <t>E1 [HU-005] - Validación Propuesta Servicio Optimo Mesa de Servicio con Área Comercial</t>
  </si>
  <si>
    <t>36152</t>
  </si>
  <si>
    <t>011. Reunión con el equipo comercial — validar propuesta de valor y diferenciador</t>
  </si>
  <si>
    <t>Acta de validación de la propuesta de valor con área comercial y dirección</t>
  </si>
  <si>
    <t>Total horas estimadas (Julio)</t>
  </si>
  <si>
    <t>AGOSTO · Diseño del Servicio Autónomo e Inteligente (N5) — modelo operativo, herramientas, validación comercial</t>
  </si>
  <si>
    <t>E2-HU001</t>
  </si>
  <si>
    <t>E2 [HU-001] - Diseño del modelo operativo del servicio óptimo</t>
  </si>
  <si>
    <t>E2-001</t>
  </si>
  <si>
    <t>031. Consolidar feedback Sprint 1: madurez, oferta de valor y diagrama de bloques</t>
  </si>
  <si>
    <t>Documento consolidado Sprint 1: hallazgos, brechas y recomendaciones</t>
  </si>
  <si>
    <t>E2-002</t>
  </si>
  <si>
    <t>032. Definir modelo de niveles de servicio N0-N5 y alcance por nivel</t>
  </si>
  <si>
    <t>Modelo de niveles N0-N5 con alcance, restricciones y ejemplos por nivel</t>
  </si>
  <si>
    <t>E2-003</t>
  </si>
  <si>
    <t>033. Definir modelo de operación híbrido: agente IA + humano por nivel</t>
  </si>
  <si>
    <t>Modelo de operación híbrido: qué hace la IA y qué hace el humano en cada nivel</t>
  </si>
  <si>
    <t>E2-005</t>
  </si>
  <si>
    <t>034. Definir métricas (KPIs, SLA, XLA) por nivel de servicio</t>
  </si>
  <si>
    <t>Estándar de KPIs y SLAs: taxonomía, frecuencia, metas y fuentes por nivel</t>
  </si>
  <si>
    <t>E2-006</t>
  </si>
  <si>
    <t>035. Definir roles + RACI por nivel N1/N2/N3</t>
  </si>
  <si>
    <t>RACI documentado por nivel con responsabilidades claras por rol</t>
  </si>
  <si>
    <t>E2-007</t>
  </si>
  <si>
    <t>036. Definir modelo de gestión del conocimiento (KEDB) y portal N0 de autoservicio</t>
  </si>
  <si>
    <t>Lineamiento KEDB + diseño del portal N0 de autoservicio</t>
  </si>
  <si>
    <t>E2-HU002</t>
  </si>
  <si>
    <t>E2 [HU-002] - Alineación de expectativas del servicio nuevo con comercial y operación</t>
  </si>
  <si>
    <t>E2-010</t>
  </si>
  <si>
    <t>038. Diseñar slide deck comercial: value proposition, dolores, modelo y diferenciador PS</t>
  </si>
  <si>
    <t>Slide deck comercial v1.0 listo para presentar a clientes nuevos</t>
  </si>
  <si>
    <t>E2-011</t>
  </si>
  <si>
    <t>039. Diseñar slide deck para equipo de operación: qué cambia, roles y proceso de recepción</t>
  </si>
  <si>
    <t>Slide deck de operación v1.0: cómo recibir y ejecutar el servicio</t>
  </si>
  <si>
    <t>E2-013</t>
  </si>
  <si>
    <t>040. Validación y feedback de las definiciones del servicio con comercial y DMs</t>
  </si>
  <si>
    <t>Acta de validación y ajustes acordados con equipo comercial</t>
  </si>
  <si>
    <t>E2-014</t>
  </si>
  <si>
    <t>041. Validar modelo operativo con líderes de operación (trenes)</t>
  </si>
  <si>
    <t>Acta de validación con líderes de operación y ajustes incorporados</t>
  </si>
  <si>
    <t>E2-HU004</t>
  </si>
  <si>
    <t>E2 [HU-004] - Piloto herramientas y agentes para las mesas de servicio</t>
  </si>
  <si>
    <t>E2-019</t>
  </si>
  <si>
    <t>042. Evaluar y seleccionar herramienta estándar PersonalSoft para gestión de tickets</t>
  </si>
  <si>
    <t>Decisión documentada: herramienta estándar PS seleccionada con criterios y justificación</t>
  </si>
  <si>
    <t>E2-020</t>
  </si>
  <si>
    <t>043. Identificar y priorizar automatizaciones: agentes IA y robots RPA para el servicio</t>
  </si>
  <si>
    <t>Inventario priorizado de automatizaciones con caso de uso por nivel</t>
  </si>
  <si>
    <t>E2-021</t>
  </si>
  <si>
    <t>044. Diseñar e iniciar piloto de herramientas/agentes para las mesas (reuso o construcción nueva)</t>
  </si>
  <si>
    <t>Piloto de herramientas/agentes diseñado y en ejecución con resultados preliminares</t>
  </si>
  <si>
    <t>E2-022</t>
  </si>
  <si>
    <t>045. Diseñar estructura de reportes ejecutivos y dashboard de operación para PS</t>
  </si>
  <si>
    <t>Diseño del dashboard ejecutivo interno PS: métricas, frecuencia y responsables</t>
  </si>
  <si>
    <t>E2-024</t>
  </si>
  <si>
    <t>046. Definir lineamientos de gestión de conocimiento y límites del servicio por tipo de mesa</t>
  </si>
  <si>
    <t>Lineamiento de límites del servicio + guía de gestión del conocimiento por tipo de mesa</t>
  </si>
  <si>
    <t>Total horas estimadas (Agosto)</t>
  </si>
  <si>
    <t>SEPTIEMBRE · Productización → Piloto Cliente Nuevo → inicio del Lanzamiento (sin lanzamiento oficial que va a Octubre)</t>
  </si>
  <si>
    <t>E3-HU001</t>
  </si>
  <si>
    <t>E3 [HU-001] - Productización del servicio: colaterales, calculadora y habilitaciones</t>
  </si>
  <si>
    <t>Productización del Servicio</t>
  </si>
  <si>
    <t>E2-009</t>
  </si>
  <si>
    <t>037. Diseñar plantilla de estimación de dimensionamiento: calculadora FTE y GAP administrativo</t>
  </si>
  <si>
    <t>Calculadora FTE v1.0 con modelo de GAP administrativo y parámetros clave</t>
  </si>
  <si>
    <t>E3-001</t>
  </si>
  <si>
    <t>047. Construir kit comercial v1.0: propuestas tipo, contratos y colaterales de venta</t>
  </si>
  <si>
    <t>Kit comercial v1.0: propuestas tipo, contratos y colaterales listos para usar</t>
  </si>
  <si>
    <t>E3-002</t>
  </si>
  <si>
    <t>048. Construir kit de operación v1.0: playbook, RACI, ANS y guía de onboarding</t>
  </si>
  <si>
    <t>Kit de operación v1.0: playbook, RACI, ANS y guía de onboarding del servicio</t>
  </si>
  <si>
    <t>E3-003</t>
  </si>
  <si>
    <t>049. Construir calculadora del servicio v1.0: plantilla de estimación por mesa</t>
  </si>
  <si>
    <t>Calculadora del servicio v1.0 con parámetros clave (FTE, GAP, horas, costo/ticket)</t>
  </si>
  <si>
    <t>E3-004</t>
  </si>
  <si>
    <t>050. Diseñar estrategia de transferencia de conocimiento comercial</t>
  </si>
  <si>
    <t>Plan de habilitación comercial: pitch, calculadora y colaterales dominados</t>
  </si>
  <si>
    <t>E3-005</t>
  </si>
  <si>
    <t>051. Diseñar estrategia de transferencia de conocimiento delivery / operación</t>
  </si>
  <si>
    <t>Plan de habilitación operación: playbook, RACI y proceso de recepción del servicio</t>
  </si>
  <si>
    <t>E3-HU002</t>
  </si>
  <si>
    <t>E3 [HU-002] - Habilitación equipo comercial y de operación para el servicio nuevo</t>
  </si>
  <si>
    <t>E3-006</t>
  </si>
  <si>
    <t>052. Ejecutar habilitación equipo comercial: pitch, calculadora y colaterales</t>
  </si>
  <si>
    <t>Equipo comercial habilitado: pitch ejecutado y calculadora dominada</t>
  </si>
  <si>
    <t>E3-007</t>
  </si>
  <si>
    <t>053. Ejecutar habilitación equipo de operación: inducción, playbook y KEDB inicial</t>
  </si>
  <si>
    <t>Equipo de operación habilitado: inducción ejecutada y KEDB inicial montado</t>
  </si>
  <si>
    <t>E3-008</t>
  </si>
  <si>
    <t>054. Montar KEDB inicial: casos históricos y soluciones frecuentes por tipo de mesa</t>
  </si>
  <si>
    <t>KEDB inicial con mínimo 20 casos documentados por tipo de mesa</t>
  </si>
  <si>
    <t>E2-HU003</t>
  </si>
  <si>
    <t>E2 [HU-003] - Piloto funcional del servicio con cliente nuevo</t>
  </si>
  <si>
    <t>Piloto Cliente Nuevo</t>
  </si>
  <si>
    <t>E2-015</t>
  </si>
  <si>
    <t>055. Diseñar piloto funcional: alcance, criterios de éxito, participantes y evidencia requerida</t>
  </si>
  <si>
    <t>Diseño del piloto funcional documentado con criterios de éxito y plan de evidencia</t>
  </si>
  <si>
    <t>E2-016</t>
  </si>
  <si>
    <t>056. Seleccionar cliente piloto para el nuevo servicio</t>
  </si>
  <si>
    <t>Cliente piloto seleccionado y aprobado por comercial y dirección</t>
  </si>
  <si>
    <t>E2-017</t>
  </si>
  <si>
    <t>057. Ejecutar pre-piloto interno con equipo PersonalSoft: validar flujo del servicio E2E</t>
  </si>
  <si>
    <t>Resultados del pre-piloto interno: flujo validado con ajustes documentados</t>
  </si>
  <si>
    <t>E2-018</t>
  </si>
  <si>
    <t>058. Ejecutar piloto inicial con cliente nuevo y registrar resultados tempranos</t>
  </si>
  <si>
    <t>Reporte de resultados del piloto: incidencias, ANS cumplidos y feedback del cliente</t>
  </si>
  <si>
    <t>E3-009</t>
  </si>
  <si>
    <t>059. Validar y evolucionar el servicio con base en resultados del piloto</t>
  </si>
  <si>
    <t>Modelo del servicio v1.1 ajustado con lecciones aprendidas del piloto</t>
  </si>
  <si>
    <t>E3-HU003</t>
  </si>
  <si>
    <t>E3 [HU-003] - Productización final: modelo de costos y colaterales del servicio nuevo</t>
  </si>
  <si>
    <t>Lanzamiento servicio nuevo</t>
  </si>
  <si>
    <t>E3-010</t>
  </si>
  <si>
    <t>060. Definir modelo de costos del servicio: estructura, márgenes y modelo de cobro</t>
  </si>
  <si>
    <t>Modelo de costos documentado con estructura de márgenes y opciones de cobro</t>
  </si>
  <si>
    <t>E3-011</t>
  </si>
  <si>
    <t>061. Finalizar calculadora del servicio v2.0 calibrada con datos reales del piloto</t>
  </si>
  <si>
    <t>Calculadora del servicio v2.0 calibrada con datos reales del piloto</t>
  </si>
  <si>
    <t>E3-012</t>
  </si>
  <si>
    <t>062. Crear colaterales servicio nuevo equipo comercial (contratos, propuestas, WBS, presentaciones)</t>
  </si>
  <si>
    <t>Paquete comercial completo listo para salir a vender el servicio nuevo</t>
  </si>
  <si>
    <t>E3-013</t>
  </si>
  <si>
    <t>063. Crear colaterales servicio nuevo equipo de operación (playbook final, procesos, herramientas)</t>
  </si>
  <si>
    <t>Paquete operativo completo: playbook final, procesos y guías de herramientas</t>
  </si>
  <si>
    <t>E3-014</t>
  </si>
  <si>
    <t>064. Inicio actualización del servicio en la herramienta de procesos de PersonalSoft</t>
  </si>
  <si>
    <t>Inicio de actualización en herramienta de procesos PS (completar en Octubre)</t>
  </si>
  <si>
    <t>Total horas estimadas (Septiembre)</t>
  </si>
  <si>
    <t>OCTUBRE · Lanzamiento oficial → Actualización procesos PS → Priorización transición → Transición Wave 1 · Wave 2 en standby Nov/Dic</t>
  </si>
  <si>
    <t>E3-HU004</t>
  </si>
  <si>
    <t>E3 [HU-004] - Lanzamiento oficial del servicio y actualización de procesos internos PS</t>
  </si>
  <si>
    <t>E3-015</t>
  </si>
  <si>
    <t>065. Finalizar actualización del servicio en la herramienta de procesos de PersonalSoft</t>
  </si>
  <si>
    <t>Servicio completamente actualizado en herramienta de procesos PS con versión aprobada</t>
  </si>
  <si>
    <t>E3-NEW1</t>
  </si>
  <si>
    <t>066. Actualizar procesos operativos internos de PersonalSoft para la nueva operación del servicio</t>
  </si>
  <si>
    <t>Procesos internos PS actualizados: operación, gobierno, escalamiento y reporting del servicio nuevo</t>
  </si>
  <si>
    <t>E3-016</t>
  </si>
  <si>
    <t>067. Lanzamiento oficial interno: comunicar y publicar el servicio estandarizado</t>
  </si>
  <si>
    <t>Lanzamiento oficial ejecutado: servicio publicado y comunicado internamente</t>
  </si>
  <si>
    <t>E3-HU005</t>
  </si>
  <si>
    <t>E3 [HU-005] - Priorización y planificación de la transición de clientes existentes</t>
  </si>
  <si>
    <t>Transición Clientes Existentes</t>
  </si>
  <si>
    <t>E3-017</t>
  </si>
  <si>
    <t>068. Priorizar las mesas a transicionar: criterios de selección y orden de olas</t>
  </si>
  <si>
    <t>Matriz de priorización de mesas a transicionar con criterios y orden de olas</t>
  </si>
  <si>
    <t>E3-018</t>
  </si>
  <si>
    <t>069. Iniciar creación del plan de transición para clientes actuales (Wave 1)</t>
  </si>
  <si>
    <t>Plan de transición Wave 1 v1.0: fases, actividades, responsables y cronograma</t>
  </si>
  <si>
    <t>E3-019</t>
  </si>
  <si>
    <t>070. Identificar costos de transición al servicio nuevo por cliente</t>
  </si>
  <si>
    <t>Matriz de costos de transición por cliente: costos actuales vs nuevo modelo</t>
  </si>
  <si>
    <t>E4-HU001</t>
  </si>
  <si>
    <t>E4 [HU-001] - Habilitación y transición operativa Wave 1</t>
  </si>
  <si>
    <t>E4-001</t>
  </si>
  <si>
    <t>071. Ejecutar habilitación equipo operación Wave 1: inducción y capacitación funcional</t>
  </si>
  <si>
    <t>Equipo operación Wave 1 habilitado: inducción ejecutada y KEDB Wave 1 montado</t>
  </si>
  <si>
    <t>E4-002</t>
  </si>
  <si>
    <t>072. Ejecutar habilitación equipo comercial Wave 1: pitch, calculadora y colaterales</t>
  </si>
  <si>
    <t>Equipo comercial Wave 1 habilitado: pitch y calculadora dominados</t>
  </si>
  <si>
    <t>E4-003</t>
  </si>
  <si>
    <t>073. Presentar el nuevo modelo al cliente Wave 1 y gestionar acuerdos contractuales</t>
  </si>
  <si>
    <t>Acuerdo contractual Wave 1 firmado con condiciones del nuevo modelo</t>
  </si>
  <si>
    <t>E4-004</t>
  </si>
  <si>
    <t>074. Ejecutar transición operativa Wave 1 — mesa 1 al nuevo modelo estandarizado</t>
  </si>
  <si>
    <t>Acta de arranque mesa 1 Wave 1: ANS activos, equipo habilitado y operación iniciada</t>
  </si>
  <si>
    <t>E4-005</t>
  </si>
  <si>
    <t>075. Ejecutar transición operativa Wave 1 — mesa 2 al nuevo modelo estandarizado</t>
  </si>
  <si>
    <t>Acta de arranque mesa 2 Wave 1: ANS activos y operación iniciada</t>
  </si>
  <si>
    <t>E4-006</t>
  </si>
  <si>
    <t>076. Validar ANS, KPIs y reportes Wave 1 en operación real — primeras 2 semanas</t>
  </si>
  <si>
    <t>Reporte de primeras 2 semanas Wave 1: ANS cumplidos, KPIs y hallazgos</t>
  </si>
  <si>
    <t>E4-007</t>
  </si>
  <si>
    <t>077. Medir primera ronda CSAT/XLA Wave 1 y registrar feedback del cliente</t>
  </si>
  <si>
    <t>Primera medición CSAT/XLA Wave 1 con informe de feedback del cliente</t>
  </si>
  <si>
    <t>E4-HU002</t>
  </si>
  <si>
    <t>E4 [HU-002] - Finalización de colaterales, lecciones aprendidas y evolución continua</t>
  </si>
  <si>
    <t>E4-013</t>
  </si>
  <si>
    <t>078. Finalizar colaterales equipo comercial y operación (contratos, plantillas, presentaciones)</t>
  </si>
  <si>
    <t>Paquete final comercial y operativo completo y aprobado</t>
  </si>
  <si>
    <t>E4-014</t>
  </si>
  <si>
    <t>079. Identificar lecciones aprendidas de las 4 fases e incorporar al modelo v2.0</t>
  </si>
  <si>
    <t>Modelo del servicio v2.0 con lecciones aprendidas incorporadas</t>
  </si>
  <si>
    <t>E4-015</t>
  </si>
  <si>
    <t>080. Identificar automatizaciones prioritarias y definir backlog de evolución</t>
  </si>
  <si>
    <t>Backlog de evolución v1.0: automatizaciones, agentes IA y mejoras priorizadas</t>
  </si>
  <si>
    <t>E4-016</t>
  </si>
  <si>
    <t>081. Definir estrategia de expansión: nuevos clientes, Centro América y versión Alfa</t>
  </si>
  <si>
    <t>Estrategia de expansión documentada con propuesta para nuevos mercados</t>
  </si>
  <si>
    <t>E4-017</t>
  </si>
  <si>
    <t>082. Validar y evolucionar el dashboard ejecutivo interno PersonalSoft</t>
  </si>
  <si>
    <t>Dashboard ejecutivo PS v2.0 validado con evolución Wave 1</t>
  </si>
  <si>
    <t>E4-HU003</t>
  </si>
  <si>
    <t>E4 [HU-003] - Transición Wave 2 — STANDBY: ejecutar después de Wave 1 (Nov/Dic)</t>
  </si>
  <si>
    <t>Standby - Nov/Dic</t>
  </si>
  <si>
    <t>E4-008</t>
  </si>
  <si>
    <t>083. Definir plan de transición Wave 2: clientes, fases y cronograma [→ Nov/Dic]</t>
  </si>
  <si>
    <t>Plan de transición Wave 2 aprobado [pendiente resultados Wave 1]</t>
  </si>
  <si>
    <t>E4-009</t>
  </si>
  <si>
    <t>084. Ejecutar habilitación equipo operación Wave 2 [→ Nov/Dic]</t>
  </si>
  <si>
    <t>Equipo operación Wave 2 habilitado y KEDB Wave 2 montado</t>
  </si>
  <si>
    <t>E4-010</t>
  </si>
  <si>
    <t>085. Ejecutar transición operativa mesas Wave 2 [→ Nov/Dic]</t>
  </si>
  <si>
    <t>Actas de arranque Wave 2: mesas operando con nuevo modelo</t>
  </si>
  <si>
    <t>E4-011</t>
  </si>
  <si>
    <t>086. Validar ANS, KPIs y reportes Wave 2 — primeras 2 semanas [→ Nov/Dic]</t>
  </si>
  <si>
    <t>Reporte Wave 2: ANS, KPIs y hallazgos documentados</t>
  </si>
  <si>
    <t>E4-012</t>
  </si>
  <si>
    <t>087. Medir CSAT/XLA Wave 2 y registrar feedback [→ Nov/Dic]</t>
  </si>
  <si>
    <t>Primera medición CSAT/XLA Wave 2 con informe de feedback</t>
  </si>
  <si>
    <t>Total horas estimadas (Octubre)</t>
  </si>
  <si>
    <t>Comparación planeación actual vs Plan CTO 30%</t>
  </si>
  <si>
    <t>Archivo comparado: P_1-0_Plan_Servicio_Mesa_de_Soporte_Opción_3_CTO_30 1.xlsx</t>
  </si>
  <si>
    <t>Mes</t>
  </si>
  <si>
    <t>Horas planeación actual</t>
  </si>
  <si>
    <t>Horas Plan CTO adjunto</t>
  </si>
  <si>
    <t>Diferencia vs CTO</t>
  </si>
  <si>
    <t>Cobertura actual</t>
  </si>
  <si>
    <t>Comentario</t>
  </si>
  <si>
    <t>Julio</t>
  </si>
  <si>
    <t>Actual cubre diagnóstico/madurez/caracterización; CTO enfatiza ideación, propuesta de valor, pricing y blueprint.</t>
  </si>
  <si>
    <t>Actual cubre diseño TO-BE y herramientas; CTO pide piloto/pre-piloto y aprobación comercial.</t>
  </si>
  <si>
    <t>Actual cubre transición Wave 1; CTO incluye WBS, costo de equipo, RACI y transferencia de conocimiento.</t>
  </si>
  <si>
    <t>Octubre</t>
  </si>
  <si>
    <t>Actual cubre lanzamiento/evolución; CTO tiene más horas en piloto con clientes y refinamiento.</t>
  </si>
  <si>
    <t>Total</t>
  </si>
  <si>
    <t>La planeación actual está por debajo del cronograma CTO en horas totales.</t>
  </si>
  <si>
    <t>Hallazgo</t>
  </si>
  <si>
    <t>Detalle</t>
  </si>
  <si>
    <t>Impacto</t>
  </si>
  <si>
    <t>Acción sugerida</t>
  </si>
  <si>
    <t>Brecha total de horas</t>
  </si>
  <si>
    <t>El Plan CTO suma 650,53h y la planeación actual suma menos horas.</t>
  </si>
  <si>
    <t>Riesgo de subestimar esfuerzo total del proyecto.</t>
  </si>
  <si>
    <t>Ajustar alcance/horas o confirmar que la planeación actual solo representa esfuerzo de Natalia.</t>
  </si>
  <si>
    <t>Julio no refleja totalmente propuesta de valor/pricing</t>
  </si>
  <si>
    <t>En CTO aparecen ideación, segmentación de industrias, oferta de valor, Business Model Canvas y validación.</t>
  </si>
  <si>
    <t>Puede faltar trabajo comercial/estratégico temprano.</t>
  </si>
  <si>
    <t>Agregar o mapear estas actividades en Julio o confirmar que las hace otro equipo.</t>
  </si>
  <si>
    <t>Pilotos insuficientemente explícitos</t>
  </si>
  <si>
    <t>CTO incluye diseño de piloto, pre-piloto, aprobación comercial, selección de cliente y ejecución.</t>
  </si>
  <si>
    <t>Riesgo de llegar a transición sin piloto validado.</t>
  </si>
  <si>
    <t>Crear HU/tareas de piloto en Agosto y seguimiento en Octubre.</t>
  </si>
  <si>
    <t>Transferencia de conocimiento</t>
  </si>
  <si>
    <t>CTO separa transferencia Comercial y Delivery con muchas horas.</t>
  </si>
  <si>
    <t>Riesgo de adopción incompleta del nuevo servicio.</t>
  </si>
  <si>
    <t>Separar capacitación comercial y capacitación delivery en Septiembre.</t>
  </si>
  <si>
    <t>Paquete comercial y plantilla de estimación</t>
  </si>
  <si>
    <t>CTO incluye portafolio deck, solicitud de información, plantilla de estimación y entrega a comercial.</t>
  </si>
  <si>
    <t>Puede faltar cierre de productización comercial.</t>
  </si>
  <si>
    <t>Reforzar Agosto/Septiembre/Octubre con entregables comerciales explícitos.</t>
  </si>
  <si>
    <t>Diagnóstico actual más completo que CTO</t>
  </si>
  <si>
    <t>La planeación actual incluye madurez ITIL, caracterización, costos, KPIs, automatización y reportes.</t>
  </si>
  <si>
    <t>Es un valor agregado frente al CTO.</t>
  </si>
  <si>
    <t>Mantenerlo, pero conectarlo con propuesta de valor, pricing y piloto.</t>
  </si>
  <si>
    <t>Mes sugerido</t>
  </si>
  <si>
    <t>Actividad faltante o a reforzar</t>
  </si>
  <si>
    <t>Horas referencia CTO</t>
  </si>
  <si>
    <t>Recomendación</t>
  </si>
  <si>
    <t>Realizar sesiones de ideación del servicio</t>
  </si>
  <si>
    <t>Parcial</t>
  </si>
  <si>
    <t>Agregar como tarea o mapearla a sesiones con stakeholders si ya existen.</t>
  </si>
  <si>
    <t>Definir y segmentar industrias objetivo</t>
  </si>
  <si>
    <t>Baja</t>
  </si>
  <si>
    <t>Agregar tarea comercial/estratégica.</t>
  </si>
  <si>
    <t>Crear/formular oferta de valor y Business Model Canvas</t>
  </si>
  <si>
    <t>Agregar dentro de TO-BE o como HU comercial.</t>
  </si>
  <si>
    <t>Validar propuesta de valor y esquema general del servicio</t>
  </si>
  <si>
    <t>Separar validación con Comercial/DM/Operación.</t>
  </si>
  <si>
    <t>Julio/Agosto</t>
  </si>
  <si>
    <t>Diseñar Portfolio Deck / colateral comercial inicial</t>
  </si>
  <si>
    <t>Conectar con slide deck de Agosto.</t>
  </si>
  <si>
    <t>Diseñar piloto del servicio</t>
  </si>
  <si>
    <t>Crear tarea de piloto funcional, no solo herramientas/agentes.</t>
  </si>
  <si>
    <t>Ejecutar pre-piloto interno y con cliente existente</t>
  </si>
  <si>
    <t>Agregar pre-piloto antes de Wave 1.</t>
  </si>
  <si>
    <t>Aprobar pre-piloto con comercial y seleccionar cliente</t>
  </si>
  <si>
    <t>Agregar validación/aprobación comercial.</t>
  </si>
  <si>
    <t>Agosto/Septiembre</t>
  </si>
  <si>
    <t>Ejecutar piloto en cliente</t>
  </si>
  <si>
    <t>Diferenciar piloto vs transición Wave 1.</t>
  </si>
  <si>
    <t>Elaborar WBS</t>
  </si>
  <si>
    <t>Agregar si se requiere gestión formal del proyecto.</t>
  </si>
  <si>
    <t>Diseñar costo de equipo del servicio y aprobarlo</t>
  </si>
  <si>
    <t>Conectar con costos actuales y calculadora FTE.</t>
  </si>
  <si>
    <t>Diseñar estrategia de transferencia de conocimiento Comercial</t>
  </si>
  <si>
    <t>Separar de capacitación general.</t>
  </si>
  <si>
    <t>Diseñar estrategia de transferencia de conocimiento Delivery</t>
  </si>
  <si>
    <t>Separar de habilitación operación.</t>
  </si>
  <si>
    <t>Crear plantilla de estimación y paquete comercial final</t>
  </si>
  <si>
    <t>Reforzar productización comercial.</t>
  </si>
  <si>
    <t>Acompañar ejecución de piloto con clientes e identificar mejoras</t>
  </si>
  <si>
    <t>Aumentar horas si Octubre incluye piloto real con clientes.</t>
  </si>
  <si>
    <t>Ajuste aplicado</t>
  </si>
  <si>
    <t>Se agregaron tareas CTO a Agosto, Septiembre y Octubre para cerrar la brecha total de horas contra el Plan CTO 30%.</t>
  </si>
  <si>
    <t>Agosto +32,88h</t>
  </si>
  <si>
    <t>Septiembre +77,50h</t>
  </si>
  <si>
    <t>Octubre +103,15h</t>
  </si>
  <si>
    <t>Julio se mantiene con diagnóstico adicional; por eso queda por encima del CTO mensual.</t>
  </si>
  <si>
    <t>Horas planeadas</t>
  </si>
  <si>
    <t>Capacidad 1 persona / mes</t>
  </si>
  <si>
    <t>Diferencia</t>
  </si>
  <si>
    <t>¿Alcanza?</t>
  </si>
  <si>
    <t>Equivalente en sprints de 60h</t>
  </si>
  <si>
    <t>Julio queda por encima si solo lo ejecutas tú.</t>
  </si>
  <si>
    <t>Agosto también excede capacidad de una persona.</t>
  </si>
  <si>
    <t>Septiembre excede por transferencia/costos/WBS.</t>
  </si>
  <si>
    <t>Octubre excede por piloto/refinamiento.</t>
  </si>
  <si>
    <t>Supuesto</t>
  </si>
  <si>
    <t>Valor</t>
  </si>
  <si>
    <t>Duración de sprint</t>
  </si>
  <si>
    <t>15 días calendario aprox. = 10 días hábiles</t>
  </si>
  <si>
    <t>Capacidad productiva sugerida</t>
  </si>
  <si>
    <t>6 h/día para ejecución real, dejando espacio para reuniones/gestión</t>
  </si>
  <si>
    <t>Capacidad por sprint</t>
  </si>
  <si>
    <t>60 h</t>
  </si>
  <si>
    <t>Capacidad mensual</t>
  </si>
  <si>
    <t>120 h = 2 sprints</t>
  </si>
  <si>
    <t>Conclusión</t>
  </si>
  <si>
    <t>No alcanza para una sola persona con el alcance actual; se requiere recortar, mover alcance o sumar apoyo.</t>
  </si>
  <si>
    <t>Opción</t>
  </si>
  <si>
    <t>Qué hacer</t>
  </si>
  <si>
    <t>Efecto</t>
  </si>
  <si>
    <t>1. Ajustar a capacidad real</t>
  </si>
  <si>
    <t>Bajar cada mes a máximo 120h.</t>
  </si>
  <si>
    <t>Requiere mover 174,53h a otros meses/personas.</t>
  </si>
  <si>
    <t>2. Usar capacidad bruta 8h/día</t>
  </si>
  <si>
    <t>Un sprint tendría ~80h y el mes ~160h.</t>
  </si>
  <si>
    <t>Julio, Agosto y Septiembre alcanzarían; Octubre aún estaría alto si queda en 190,15h.</t>
  </si>
  <si>
    <t>3. Mantener alcance CTO</t>
  </si>
  <si>
    <t>Sumar apoyo parcial de otra persona en meses pico.</t>
  </si>
  <si>
    <t>Con capacidad de 120h/mes, falta aprox. 1,45 meses-persona en total.</t>
  </si>
  <si>
    <t>4. Priorizar</t>
  </si>
  <si>
    <t>Dejar diagnóstico + entregables críticos y mover piloto/refinamiento a otro ciclo.</t>
  </si>
  <si>
    <t>Reduce riesgo de incumplimiento.</t>
  </si>
  <si>
    <t>Pendiente</t>
  </si>
  <si>
    <t>Estado</t>
  </si>
  <si>
    <t>Validar duplicados de User Stories</t>
  </si>
  <si>
    <t>Revisar dependencias Azure DevOps</t>
  </si>
  <si>
    <t>Asignar Story Points</t>
  </si>
  <si>
    <t>Validar Definition of Done</t>
  </si>
  <si>
    <t>Revisar épicas vs Features</t>
  </si>
  <si>
    <t>Eliminar notas residuales</t>
  </si>
  <si>
    <t>Estado esperado</t>
  </si>
  <si>
    <t>Assessment</t>
  </si>
  <si>
    <t>Completo</t>
  </si>
  <si>
    <t>Diseño del Servicio</t>
  </si>
  <si>
    <t>En ejecución</t>
  </si>
  <si>
    <t>Habilitación</t>
  </si>
  <si>
    <t>Piloto</t>
  </si>
  <si>
    <t>Go Live</t>
  </si>
  <si>
    <t>Transición</t>
  </si>
  <si>
    <t>Hypercare</t>
  </si>
  <si>
    <t>Evolución</t>
  </si>
  <si>
    <t>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</si>
</sst>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  <charset val="1"/>
    </font>
    <font>
      <b/>
      <sz val="11"/>
      <color rgb="FFFFFFFF"/>
      <name val="Calibri"/>
      <charset val="1"/>
    </font>
    <font>
      <i/>
      <sz val="10"/>
      <color rgb="FF1F4E78"/>
      <name val="Calibri"/>
      <charset val="1"/>
    </font>
    <font>
      <b/>
      <sz val="11"/>
      <color rgb="FF000000"/>
      <name val="Calibri"/>
      <charset val="1"/>
    </font>
    <font>
      <sz val="10"/>
      <color rgb="FF7F6000"/>
      <name val="Calibri"/>
      <charset val="1"/>
    </font>
    <font>
      <sz val="10"/>
      <color rgb="FF085041"/>
      <name val="Calibri"/>
      <charset val="1"/>
    </font>
    <font>
      <sz val="10"/>
      <color rgb="FF0C447C"/>
      <name val="Calibri"/>
      <charset val="1"/>
    </font>
    <font>
      <sz val="10"/>
      <color rgb="FF3C3489"/>
      <name val="Calibri"/>
      <charset val="1"/>
    </font>
    <font>
      <sz val="10"/>
      <color rgb="FF633806"/>
      <name val="Calibri"/>
      <charset val="1"/>
    </font>
    <font>
      <sz val="10"/>
      <color rgb="FF712B13"/>
      <name val="Calibri"/>
      <charset val="1"/>
    </font>
    <font>
      <i/>
      <sz val="11"/>
      <color rgb="FF888888"/>
      <name val="Calibri"/>
      <charset val="1"/>
    </font>
    <font>
      <b/>
      <sz val="16"/>
      <color rgb="FFFFFF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EBF3FB"/>
        <bgColor rgb="FFE6F1FB"/>
      </patternFill>
    </fill>
    <fill>
      <patternFill patternType="solid">
        <fgColor rgb="FFD9EAF7"/>
        <bgColor rgb="FFE6F1FB"/>
      </patternFill>
    </fill>
    <fill>
      <patternFill patternType="solid">
        <fgColor rgb="FFFFF2CC"/>
        <bgColor rgb="FFFAEEDA"/>
      </patternFill>
    </fill>
    <fill>
      <patternFill patternType="solid">
        <fgColor rgb="FFE1F5EE"/>
        <bgColor rgb="FFE6F1FB"/>
      </patternFill>
    </fill>
    <fill>
      <patternFill patternType="solid">
        <fgColor rgb="FFE2F0D9"/>
        <bgColor rgb="FFE1F5EE"/>
      </patternFill>
    </fill>
    <fill>
      <patternFill patternType="solid">
        <fgColor rgb="FFE6F1FB"/>
        <bgColor rgb="FFEBF3FB"/>
      </patternFill>
    </fill>
    <fill>
      <patternFill patternType="solid">
        <fgColor rgb="FFEEEDFE"/>
        <bgColor rgb="FFEBF3FB"/>
      </patternFill>
    </fill>
    <fill>
      <patternFill patternType="solid">
        <fgColor rgb="FFFAEEDA"/>
        <bgColor rgb="FFFAECE7"/>
      </patternFill>
    </fill>
    <fill>
      <patternFill patternType="solid">
        <fgColor rgb="FFFAECE7"/>
        <bgColor rgb="FFFAEEDA"/>
      </patternFill>
    </fill>
    <fill>
      <patternFill patternType="solid">
        <fgColor rgb="FFF2F2F2"/>
        <bgColor rgb="FFEBF3FB"/>
      </patternFill>
    </fill>
    <fill>
      <patternFill patternType="solid">
        <fgColor rgb="FF5B9BD5"/>
        <bgColor rgb="FF888888"/>
      </patternFill>
    </fill>
  </fills>
  <borders count="15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15" fillId="0" borderId="0" xfId="0" applyFont="1"/>
    <xf numFmtId="0" fontId="14" fillId="2" borderId="0" xfId="0" applyFont="1" applyFill="1"/>
    <xf numFmtId="0" fontId="5" fillId="3" borderId="2" xfId="0" applyFont="1" applyFill="1" applyBorder="1" applyAlignment="1">
      <alignment horizontal="left" vertical="center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left" vertical="center" wrapText="1"/>
    </xf>
    <xf numFmtId="0" fontId="16" fillId="13" borderId="0" xfId="0" applyFont="1" applyFill="1" applyAlignment="1">
      <alignment horizontal="center"/>
    </xf>
    <xf numFmtId="0" fontId="0" fillId="0" borderId="3" xfId="0" applyBorder="1"/>
    <xf numFmtId="2" fontId="0" fillId="0" borderId="4" xfId="0" applyNumberFormat="1" applyBorder="1"/>
    <xf numFmtId="164" fontId="0" fillId="0" borderId="4" xfId="0" applyNumberFormat="1" applyBorder="1"/>
    <xf numFmtId="0" fontId="0" fillId="0" borderId="5" xfId="0" applyBorder="1" applyAlignment="1">
      <alignment wrapText="1"/>
    </xf>
    <xf numFmtId="0" fontId="0" fillId="0" borderId="6" xfId="0" applyBorder="1"/>
    <xf numFmtId="2" fontId="0" fillId="0" borderId="7" xfId="0" applyNumberFormat="1" applyBorder="1"/>
    <xf numFmtId="164" fontId="0" fillId="0" borderId="7" xfId="0" applyNumberFormat="1" applyBorder="1"/>
    <xf numFmtId="0" fontId="0" fillId="0" borderId="8" xfId="0" applyBorder="1" applyAlignment="1">
      <alignment wrapText="1"/>
    </xf>
    <xf numFmtId="0" fontId="2" fillId="7" borderId="9" xfId="0" applyFont="1" applyFill="1" applyBorder="1"/>
    <xf numFmtId="2" fontId="2" fillId="7" borderId="10" xfId="0" applyNumberFormat="1" applyFont="1" applyFill="1" applyBorder="1"/>
    <xf numFmtId="164" fontId="2" fillId="7" borderId="10" xfId="0" applyNumberFormat="1" applyFont="1" applyFill="1" applyBorder="1"/>
    <xf numFmtId="0" fontId="2" fillId="7" borderId="11" xfId="0" applyFont="1" applyFill="1" applyBorder="1" applyAlignment="1">
      <alignment wrapText="1"/>
    </xf>
    <xf numFmtId="0" fontId="16" fillId="13" borderId="3" xfId="0" applyFont="1" applyFill="1" applyBorder="1" applyAlignment="1">
      <alignment horizontal="center"/>
    </xf>
    <xf numFmtId="0" fontId="16" fillId="13" borderId="4" xfId="0" applyFont="1" applyFill="1" applyBorder="1" applyAlignment="1">
      <alignment horizontal="center"/>
    </xf>
    <xf numFmtId="0" fontId="16" fillId="13" borderId="5" xfId="0" applyFont="1" applyFill="1" applyBorder="1" applyAlignment="1">
      <alignment horizontal="center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2" fontId="0" fillId="0" borderId="7" xfId="0" applyNumberFormat="1" applyBorder="1" applyAlignment="1">
      <alignment wrapText="1"/>
    </xf>
    <xf numFmtId="0" fontId="0" fillId="0" borderId="9" xfId="0" applyBorder="1"/>
    <xf numFmtId="2" fontId="0" fillId="0" borderId="10" xfId="0" applyNumberFormat="1" applyBorder="1" applyAlignment="1">
      <alignment wrapText="1"/>
    </xf>
    <xf numFmtId="0" fontId="17" fillId="5" borderId="0" xfId="0" applyFont="1" applyFill="1" applyAlignment="1">
      <alignment wrapText="1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0" fontId="0" fillId="0" borderId="7" xfId="0" applyBorder="1"/>
    <xf numFmtId="0" fontId="2" fillId="7" borderId="10" xfId="0" applyFont="1" applyFill="1" applyBorder="1"/>
    <xf numFmtId="0" fontId="16" fillId="2" borderId="12" xfId="0" applyFont="1" applyFill="1" applyBorder="1" applyAlignment="1">
      <alignment horizontal="center"/>
    </xf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4" xfId="0" applyBorder="1" applyAlignment="1">
      <alignment wrapText="1"/>
    </xf>
    <xf numFmtId="0" fontId="18" fillId="0" borderId="0" xfId="0" applyFont="1"/>
  </cellXfs>
  <cellStyles count="2">
    <cellStyle name="Hyperlink 1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3D1C7"/>
      <rgbColor rgb="FF888888"/>
      <rgbColor rgb="FF5B9BD5"/>
      <rgbColor rgb="FF993366"/>
      <rgbColor rgb="FFFFF2CC"/>
      <rgbColor rgb="FFE1F5EE"/>
      <rgbColor rgb="FF660066"/>
      <rgbColor rgb="FFFF8080"/>
      <rgbColor rgb="FF0563C1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E2F0D9"/>
      <rgbColor rgb="FFFAEEDA"/>
      <rgbColor rgb="FFE6F1FB"/>
      <rgbColor rgb="FFF2F2F2"/>
      <rgbColor rgb="FFEBF3FB"/>
      <rgbColor rgb="FFFAEC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447C"/>
      <rgbColor rgb="FF339966"/>
      <rgbColor rgb="FF085041"/>
      <rgbColor rgb="FF633806"/>
      <rgbColor rgb="FF712B13"/>
      <rgbColor rgb="FF993366"/>
      <rgbColor rgb="FF3C3489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9360</xdr:colOff>
      <xdr:row>2</xdr:row>
      <xdr:rowOff>57240</xdr:rowOff>
    </xdr:from>
    <xdr:to>
      <xdr:col>20</xdr:col>
      <xdr:colOff>236520</xdr:colOff>
      <xdr:row>19</xdr:row>
      <xdr:rowOff>132120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92640" y="419040"/>
          <a:ext cx="6310440" cy="3151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44"/>
  <sheetViews>
    <sheetView topLeftCell="A6" zoomScaleNormal="100" workbookViewId="0">
      <selection activeCell="L26" sqref="L26"/>
    </sheetView>
  </sheetViews>
  <sheetFormatPr baseColWidth="10" defaultColWidth="8.6328125" defaultRowHeight="14.5" x14ac:dyDescent="0.35"/>
  <sheetData>
    <row r="2" spans="1:4" ht="14.25" customHeight="1" x14ac:dyDescent="0.35">
      <c r="A2" s="4" t="s">
        <v>0</v>
      </c>
    </row>
    <row r="3" spans="1:4" ht="14.25" customHeight="1" x14ac:dyDescent="0.35">
      <c r="A3" t="s">
        <v>1</v>
      </c>
      <c r="D3" s="5" t="s">
        <v>2</v>
      </c>
    </row>
    <row r="4" spans="1:4" ht="14.25" customHeight="1" x14ac:dyDescent="0.35">
      <c r="A4" t="s">
        <v>3</v>
      </c>
    </row>
    <row r="5" spans="1:4" ht="14.25" customHeight="1" x14ac:dyDescent="0.35">
      <c r="A5" t="s">
        <v>4</v>
      </c>
    </row>
    <row r="7" spans="1:4" ht="14.25" customHeight="1" x14ac:dyDescent="0.35">
      <c r="D7" t="s">
        <v>5</v>
      </c>
    </row>
    <row r="8" spans="1:4" ht="14.25" customHeight="1" x14ac:dyDescent="0.35">
      <c r="D8" t="s">
        <v>6</v>
      </c>
    </row>
    <row r="9" spans="1:4" ht="14.25" customHeight="1" x14ac:dyDescent="0.35">
      <c r="D9" t="s">
        <v>7</v>
      </c>
    </row>
    <row r="10" spans="1:4" ht="14.25" customHeight="1" x14ac:dyDescent="0.35">
      <c r="C10" t="s">
        <v>8</v>
      </c>
      <c r="D10" t="s">
        <v>9</v>
      </c>
    </row>
    <row r="11" spans="1:4" ht="14.25" customHeight="1" x14ac:dyDescent="0.35">
      <c r="D11" t="s">
        <v>10</v>
      </c>
    </row>
    <row r="14" spans="1:4" ht="14.25" customHeight="1" x14ac:dyDescent="0.35">
      <c r="D14" t="s">
        <v>11</v>
      </c>
    </row>
    <row r="15" spans="1:4" ht="14.25" customHeight="1" x14ac:dyDescent="0.35">
      <c r="D15" t="s">
        <v>12</v>
      </c>
    </row>
    <row r="16" spans="1:4" ht="14.25" customHeight="1" x14ac:dyDescent="0.35">
      <c r="D16" s="5" t="s">
        <v>13</v>
      </c>
    </row>
    <row r="17" spans="2:4" ht="14.25" customHeight="1" x14ac:dyDescent="0.35">
      <c r="D17" t="s">
        <v>14</v>
      </c>
    </row>
    <row r="19" spans="2:4" ht="14.25" customHeight="1" x14ac:dyDescent="0.35">
      <c r="D19" t="s">
        <v>15</v>
      </c>
    </row>
    <row r="20" spans="2:4" ht="14.25" customHeight="1" x14ac:dyDescent="0.35">
      <c r="D20" t="s">
        <v>16</v>
      </c>
    </row>
    <row r="21" spans="2:4" ht="14.25" customHeight="1" x14ac:dyDescent="0.35">
      <c r="D21" t="s">
        <v>17</v>
      </c>
    </row>
    <row r="22" spans="2:4" ht="14.25" customHeight="1" x14ac:dyDescent="0.35">
      <c r="D22" t="s">
        <v>18</v>
      </c>
    </row>
    <row r="23" spans="2:4" ht="14.25" customHeight="1" x14ac:dyDescent="0.35">
      <c r="D23" t="s">
        <v>19</v>
      </c>
    </row>
    <row r="26" spans="2:4" ht="14.25" customHeight="1" x14ac:dyDescent="0.35">
      <c r="C26" s="4" t="s">
        <v>20</v>
      </c>
      <c r="D26" t="s">
        <v>21</v>
      </c>
    </row>
    <row r="27" spans="2:4" ht="14.25" customHeight="1" x14ac:dyDescent="0.35">
      <c r="D27" t="s">
        <v>22</v>
      </c>
    </row>
    <row r="28" spans="2:4" ht="14.25" customHeight="1" x14ac:dyDescent="0.35">
      <c r="D28" t="s">
        <v>23</v>
      </c>
    </row>
    <row r="31" spans="2:4" ht="14.25" customHeight="1" x14ac:dyDescent="0.35">
      <c r="D31" t="s">
        <v>24</v>
      </c>
    </row>
    <row r="32" spans="2:4" ht="14.25" customHeight="1" x14ac:dyDescent="0.35">
      <c r="B32" s="4" t="s">
        <v>20</v>
      </c>
      <c r="D32" t="s">
        <v>25</v>
      </c>
    </row>
    <row r="33" spans="3:4" ht="14.25" customHeight="1" x14ac:dyDescent="0.35">
      <c r="C33" t="s">
        <v>26</v>
      </c>
      <c r="D33" t="s">
        <v>27</v>
      </c>
    </row>
    <row r="34" spans="3:4" ht="106.5" customHeight="1" x14ac:dyDescent="0.35">
      <c r="C34" s="4" t="s">
        <v>28</v>
      </c>
      <c r="D34" s="6" t="s">
        <v>29</v>
      </c>
    </row>
    <row r="35" spans="3:4" ht="14.25" customHeight="1" x14ac:dyDescent="0.35">
      <c r="D35" t="s">
        <v>30</v>
      </c>
    </row>
    <row r="36" spans="3:4" ht="14.25" customHeight="1" x14ac:dyDescent="0.35">
      <c r="D36" t="s">
        <v>31</v>
      </c>
    </row>
    <row r="38" spans="3:4" ht="14.25" customHeight="1" x14ac:dyDescent="0.35">
      <c r="D38" t="s">
        <v>32</v>
      </c>
    </row>
    <row r="39" spans="3:4" ht="167.25" customHeight="1" x14ac:dyDescent="0.35">
      <c r="D39" s="6" t="s">
        <v>33</v>
      </c>
    </row>
    <row r="43" spans="3:4" ht="14.25" customHeight="1" x14ac:dyDescent="0.35">
      <c r="D43" t="s">
        <v>34</v>
      </c>
    </row>
    <row r="44" spans="3:4" ht="14.25" customHeight="1" x14ac:dyDescent="0.35">
      <c r="D44" t="s">
        <v>35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X34" sqref="X34"/>
    </sheetView>
  </sheetViews>
  <sheetFormatPr baseColWidth="10" defaultColWidth="8.632812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"/>
  <sheetViews>
    <sheetView zoomScale="70" zoomScaleNormal="70" workbookViewId="0">
      <pane ySplit="1" topLeftCell="A2" activePane="bottomLeft" state="frozen"/>
      <selection pane="bottomLeft" activeCell="B20" sqref="B20"/>
    </sheetView>
  </sheetViews>
  <sheetFormatPr baseColWidth="10" defaultColWidth="8.6328125" defaultRowHeight="14.5" x14ac:dyDescent="0.35"/>
  <cols>
    <col min="1" max="1" width="8.54296875" customWidth="1"/>
    <col min="2" max="2" width="69.7265625" customWidth="1"/>
    <col min="3" max="3" width="8.7265625" style="7" customWidth="1"/>
    <col min="4" max="4" width="26" customWidth="1"/>
    <col min="5" max="5" width="16" style="7" customWidth="1"/>
    <col min="6" max="6" width="73.81640625" customWidth="1"/>
    <col min="7" max="7" width="18.08984375" customWidth="1"/>
    <col min="8" max="8" width="60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9" t="s">
        <v>42</v>
      </c>
    </row>
    <row r="2" spans="1:7" ht="14.25" customHeight="1" x14ac:dyDescent="0.35">
      <c r="A2" s="3" t="s">
        <v>43</v>
      </c>
      <c r="B2" s="3"/>
      <c r="C2" s="3"/>
      <c r="D2" s="3"/>
      <c r="E2" s="3"/>
      <c r="F2" s="3"/>
      <c r="G2" s="3"/>
    </row>
    <row r="3" spans="1:7" x14ac:dyDescent="0.35">
      <c r="A3" s="10" t="s">
        <v>44</v>
      </c>
      <c r="B3" s="11" t="s">
        <v>45</v>
      </c>
      <c r="C3" s="10" t="s">
        <v>46</v>
      </c>
      <c r="D3" s="11" t="s">
        <v>47</v>
      </c>
      <c r="E3" s="10"/>
      <c r="F3" s="11"/>
      <c r="G3" s="12" t="s">
        <v>48</v>
      </c>
    </row>
    <row r="4" spans="1:7" x14ac:dyDescent="0.35">
      <c r="A4" s="13" t="s">
        <v>49</v>
      </c>
      <c r="B4" s="14" t="s">
        <v>50</v>
      </c>
      <c r="C4" s="13" t="s">
        <v>51</v>
      </c>
      <c r="D4" s="14" t="s">
        <v>52</v>
      </c>
      <c r="E4" s="13">
        <v>8</v>
      </c>
      <c r="F4" s="14" t="s">
        <v>53</v>
      </c>
      <c r="G4" s="15" t="s">
        <v>48</v>
      </c>
    </row>
    <row r="5" spans="1:7" x14ac:dyDescent="0.35">
      <c r="A5" s="13" t="s">
        <v>54</v>
      </c>
      <c r="B5" s="14" t="s">
        <v>55</v>
      </c>
      <c r="C5" s="13" t="s">
        <v>56</v>
      </c>
      <c r="D5" s="14" t="s">
        <v>52</v>
      </c>
      <c r="E5" s="13">
        <v>1</v>
      </c>
      <c r="F5" s="14" t="s">
        <v>57</v>
      </c>
      <c r="G5" s="15" t="s">
        <v>48</v>
      </c>
    </row>
    <row r="6" spans="1:7" x14ac:dyDescent="0.35">
      <c r="A6" s="13" t="s">
        <v>58</v>
      </c>
      <c r="B6" s="14" t="s">
        <v>59</v>
      </c>
      <c r="C6" s="13" t="s">
        <v>56</v>
      </c>
      <c r="D6" s="14" t="s">
        <v>52</v>
      </c>
      <c r="E6" s="13">
        <v>1</v>
      </c>
      <c r="F6" s="14" t="s">
        <v>60</v>
      </c>
      <c r="G6" s="15" t="s">
        <v>48</v>
      </c>
    </row>
    <row r="7" spans="1:7" x14ac:dyDescent="0.35">
      <c r="A7" s="13" t="s">
        <v>61</v>
      </c>
      <c r="B7" s="14" t="s">
        <v>62</v>
      </c>
      <c r="C7" s="13" t="s">
        <v>56</v>
      </c>
      <c r="D7" s="14" t="s">
        <v>52</v>
      </c>
      <c r="E7" s="13">
        <v>1</v>
      </c>
      <c r="F7" s="14" t="s">
        <v>63</v>
      </c>
      <c r="G7" s="15" t="s">
        <v>48</v>
      </c>
    </row>
    <row r="8" spans="1:7" x14ac:dyDescent="0.35">
      <c r="A8" s="13" t="s">
        <v>64</v>
      </c>
      <c r="B8" s="14" t="s">
        <v>65</v>
      </c>
      <c r="C8" s="13" t="s">
        <v>56</v>
      </c>
      <c r="D8" s="14" t="s">
        <v>52</v>
      </c>
      <c r="E8" s="13">
        <v>1</v>
      </c>
      <c r="F8" s="14" t="s">
        <v>66</v>
      </c>
      <c r="G8" s="15" t="s">
        <v>48</v>
      </c>
    </row>
    <row r="9" spans="1:7" x14ac:dyDescent="0.35">
      <c r="A9" s="13" t="s">
        <v>67</v>
      </c>
      <c r="B9" s="14" t="s">
        <v>68</v>
      </c>
      <c r="C9" s="13" t="s">
        <v>56</v>
      </c>
      <c r="D9" s="14" t="s">
        <v>52</v>
      </c>
      <c r="E9" s="13">
        <v>1</v>
      </c>
      <c r="F9" s="14" t="s">
        <v>69</v>
      </c>
      <c r="G9" s="15" t="s">
        <v>48</v>
      </c>
    </row>
    <row r="10" spans="1:7" x14ac:dyDescent="0.35">
      <c r="A10" s="13" t="s">
        <v>70</v>
      </c>
      <c r="B10" s="14" t="s">
        <v>71</v>
      </c>
      <c r="C10" s="13" t="s">
        <v>56</v>
      </c>
      <c r="D10" s="14" t="s">
        <v>52</v>
      </c>
      <c r="E10" s="13">
        <v>1</v>
      </c>
      <c r="F10" s="14" t="s">
        <v>72</v>
      </c>
      <c r="G10" s="15" t="s">
        <v>48</v>
      </c>
    </row>
    <row r="11" spans="1:7" x14ac:dyDescent="0.35">
      <c r="A11" s="13" t="s">
        <v>73</v>
      </c>
      <c r="B11" s="14" t="s">
        <v>74</v>
      </c>
      <c r="C11" s="13" t="s">
        <v>56</v>
      </c>
      <c r="D11" s="14" t="s">
        <v>52</v>
      </c>
      <c r="E11" s="13">
        <v>1</v>
      </c>
      <c r="F11" s="14" t="s">
        <v>75</v>
      </c>
      <c r="G11" s="15" t="s">
        <v>48</v>
      </c>
    </row>
    <row r="12" spans="1:7" x14ac:dyDescent="0.35">
      <c r="A12" s="13" t="s">
        <v>76</v>
      </c>
      <c r="B12" s="14" t="s">
        <v>77</v>
      </c>
      <c r="C12" s="13" t="s">
        <v>56</v>
      </c>
      <c r="D12" s="14" t="s">
        <v>52</v>
      </c>
      <c r="E12" s="13">
        <v>1</v>
      </c>
      <c r="F12" s="14" t="s">
        <v>78</v>
      </c>
      <c r="G12" s="15" t="s">
        <v>48</v>
      </c>
    </row>
    <row r="13" spans="1:7" x14ac:dyDescent="0.35">
      <c r="A13" s="13" t="s">
        <v>79</v>
      </c>
      <c r="B13" s="14" t="s">
        <v>80</v>
      </c>
      <c r="C13" s="13" t="s">
        <v>56</v>
      </c>
      <c r="D13" s="14" t="s">
        <v>52</v>
      </c>
      <c r="E13" s="13">
        <v>1</v>
      </c>
      <c r="F13" s="14" t="s">
        <v>81</v>
      </c>
      <c r="G13" s="15" t="s">
        <v>48</v>
      </c>
    </row>
    <row r="14" spans="1:7" ht="28.5" customHeight="1" x14ac:dyDescent="0.35">
      <c r="A14" s="13" t="s">
        <v>82</v>
      </c>
      <c r="B14" s="14" t="s">
        <v>83</v>
      </c>
      <c r="C14" s="13" t="s">
        <v>56</v>
      </c>
      <c r="D14" s="14" t="s">
        <v>52</v>
      </c>
      <c r="E14" s="13">
        <v>12</v>
      </c>
      <c r="F14" s="14" t="s">
        <v>84</v>
      </c>
      <c r="G14" s="15" t="s">
        <v>48</v>
      </c>
    </row>
    <row r="15" spans="1:7" x14ac:dyDescent="0.35">
      <c r="A15" s="13" t="s">
        <v>85</v>
      </c>
      <c r="B15" s="14" t="s">
        <v>86</v>
      </c>
      <c r="C15" s="13" t="s">
        <v>56</v>
      </c>
      <c r="D15" s="14" t="s">
        <v>52</v>
      </c>
      <c r="E15" s="13">
        <v>2</v>
      </c>
      <c r="F15" s="14" t="s">
        <v>87</v>
      </c>
      <c r="G15" s="15" t="s">
        <v>48</v>
      </c>
    </row>
    <row r="16" spans="1:7" x14ac:dyDescent="0.35">
      <c r="A16" s="10" t="s">
        <v>88</v>
      </c>
      <c r="B16" s="11" t="s">
        <v>89</v>
      </c>
      <c r="C16" s="10" t="s">
        <v>46</v>
      </c>
      <c r="D16" s="11" t="s">
        <v>47</v>
      </c>
      <c r="E16" s="10"/>
      <c r="F16" s="11"/>
      <c r="G16" s="12" t="s">
        <v>48</v>
      </c>
    </row>
    <row r="17" spans="1:7" x14ac:dyDescent="0.35">
      <c r="A17" s="13" t="s">
        <v>90</v>
      </c>
      <c r="B17" s="14" t="s">
        <v>91</v>
      </c>
      <c r="C17" s="13" t="s">
        <v>56</v>
      </c>
      <c r="D17" s="14" t="s">
        <v>52</v>
      </c>
      <c r="E17" s="13">
        <v>2</v>
      </c>
      <c r="F17" s="14" t="s">
        <v>92</v>
      </c>
      <c r="G17" s="15" t="s">
        <v>48</v>
      </c>
    </row>
    <row r="18" spans="1:7" x14ac:dyDescent="0.35">
      <c r="A18" s="13" t="s">
        <v>93</v>
      </c>
      <c r="B18" s="14" t="s">
        <v>94</v>
      </c>
      <c r="C18" s="13" t="s">
        <v>56</v>
      </c>
      <c r="D18" s="14" t="s">
        <v>52</v>
      </c>
      <c r="E18" s="13">
        <v>1</v>
      </c>
      <c r="F18" s="14" t="s">
        <v>95</v>
      </c>
      <c r="G18" s="15" t="s">
        <v>48</v>
      </c>
    </row>
    <row r="19" spans="1:7" x14ac:dyDescent="0.35">
      <c r="A19" s="13" t="s">
        <v>96</v>
      </c>
      <c r="B19" s="14" t="s">
        <v>97</v>
      </c>
      <c r="C19" s="13" t="s">
        <v>56</v>
      </c>
      <c r="D19" s="14" t="s">
        <v>52</v>
      </c>
      <c r="E19" s="13">
        <v>1</v>
      </c>
      <c r="F19" s="14" t="s">
        <v>98</v>
      </c>
      <c r="G19" s="15" t="s">
        <v>48</v>
      </c>
    </row>
    <row r="20" spans="1:7" x14ac:dyDescent="0.35">
      <c r="A20" s="13" t="s">
        <v>99</v>
      </c>
      <c r="B20" s="14" t="s">
        <v>100</v>
      </c>
      <c r="C20" s="13" t="s">
        <v>56</v>
      </c>
      <c r="D20" s="14" t="s">
        <v>52</v>
      </c>
      <c r="E20" s="13">
        <v>5</v>
      </c>
      <c r="F20" s="14" t="s">
        <v>101</v>
      </c>
      <c r="G20" s="15" t="s">
        <v>48</v>
      </c>
    </row>
    <row r="21" spans="1:7" x14ac:dyDescent="0.35">
      <c r="A21" s="10" t="s">
        <v>102</v>
      </c>
      <c r="B21" s="11" t="s">
        <v>103</v>
      </c>
      <c r="C21" s="10" t="s">
        <v>46</v>
      </c>
      <c r="D21" s="11" t="s">
        <v>47</v>
      </c>
      <c r="E21" s="10"/>
      <c r="F21" s="11"/>
      <c r="G21" s="12" t="s">
        <v>104</v>
      </c>
    </row>
    <row r="22" spans="1:7" ht="28.5" customHeight="1" x14ac:dyDescent="0.35">
      <c r="A22" s="13" t="s">
        <v>105</v>
      </c>
      <c r="B22" s="14" t="s">
        <v>106</v>
      </c>
      <c r="C22" s="13" t="s">
        <v>56</v>
      </c>
      <c r="D22" s="14" t="s">
        <v>52</v>
      </c>
      <c r="E22" s="13">
        <v>16</v>
      </c>
      <c r="F22" s="14" t="s">
        <v>107</v>
      </c>
      <c r="G22" s="16" t="s">
        <v>104</v>
      </c>
    </row>
    <row r="23" spans="1:7" ht="28.5" customHeight="1" x14ac:dyDescent="0.35">
      <c r="A23" s="13" t="s">
        <v>108</v>
      </c>
      <c r="B23" s="14" t="s">
        <v>109</v>
      </c>
      <c r="C23" s="13" t="s">
        <v>56</v>
      </c>
      <c r="D23" s="14" t="s">
        <v>110</v>
      </c>
      <c r="E23" s="13">
        <v>8</v>
      </c>
      <c r="F23" s="14" t="s">
        <v>111</v>
      </c>
      <c r="G23" s="16" t="s">
        <v>104</v>
      </c>
    </row>
    <row r="24" spans="1:7" ht="28.5" customHeight="1" x14ac:dyDescent="0.35">
      <c r="A24" s="13" t="s">
        <v>112</v>
      </c>
      <c r="B24" s="14" t="s">
        <v>113</v>
      </c>
      <c r="C24" s="13" t="s">
        <v>56</v>
      </c>
      <c r="D24" s="14" t="s">
        <v>52</v>
      </c>
      <c r="E24" s="13">
        <v>12</v>
      </c>
      <c r="F24" s="14" t="s">
        <v>114</v>
      </c>
      <c r="G24" s="16" t="s">
        <v>104</v>
      </c>
    </row>
    <row r="25" spans="1:7" ht="28.5" customHeight="1" x14ac:dyDescent="0.35">
      <c r="A25" s="13" t="s">
        <v>115</v>
      </c>
      <c r="B25" s="14" t="s">
        <v>116</v>
      </c>
      <c r="C25" s="13" t="s">
        <v>56</v>
      </c>
      <c r="D25" s="14" t="s">
        <v>52</v>
      </c>
      <c r="E25" s="13">
        <v>24</v>
      </c>
      <c r="F25" s="14" t="s">
        <v>117</v>
      </c>
      <c r="G25" s="16" t="s">
        <v>104</v>
      </c>
    </row>
    <row r="26" spans="1:7" ht="28.5" customHeight="1" x14ac:dyDescent="0.35">
      <c r="A26" s="10" t="s">
        <v>118</v>
      </c>
      <c r="B26" s="11" t="s">
        <v>119</v>
      </c>
      <c r="C26" s="10" t="s">
        <v>46</v>
      </c>
      <c r="D26" s="11" t="s">
        <v>47</v>
      </c>
      <c r="E26" s="10"/>
      <c r="F26" s="11"/>
      <c r="G26" s="12" t="s">
        <v>104</v>
      </c>
    </row>
    <row r="27" spans="1:7" ht="28.5" customHeight="1" x14ac:dyDescent="0.35">
      <c r="A27" s="13" t="s">
        <v>120</v>
      </c>
      <c r="B27" s="14" t="s">
        <v>121</v>
      </c>
      <c r="C27" s="13" t="s">
        <v>56</v>
      </c>
      <c r="D27" s="14" t="s">
        <v>52</v>
      </c>
      <c r="E27" s="13">
        <v>3</v>
      </c>
      <c r="F27" s="14" t="s">
        <v>122</v>
      </c>
      <c r="G27" s="16" t="s">
        <v>104</v>
      </c>
    </row>
    <row r="28" spans="1:7" x14ac:dyDescent="0.35">
      <c r="A28" s="17"/>
      <c r="B28" s="18" t="s">
        <v>123</v>
      </c>
      <c r="C28" s="17"/>
      <c r="D28" s="18"/>
      <c r="E28" s="17">
        <f>SUM(E3:E27)</f>
        <v>103</v>
      </c>
      <c r="F28" s="18"/>
      <c r="G28" s="19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zoomScale="70" zoomScaleNormal="70" workbookViewId="0">
      <selection activeCell="G1" sqref="G1"/>
    </sheetView>
  </sheetViews>
  <sheetFormatPr baseColWidth="10" defaultColWidth="8.6328125" defaultRowHeight="14.5" x14ac:dyDescent="0.35"/>
  <cols>
    <col min="1" max="1" width="14" customWidth="1"/>
    <col min="2" max="2" width="81.08984375" customWidth="1"/>
    <col min="3" max="3" width="12" customWidth="1"/>
    <col min="4" max="4" width="26" customWidth="1"/>
    <col min="5" max="5" width="16" style="7" customWidth="1"/>
    <col min="6" max="6" width="65" style="4" customWidth="1"/>
    <col min="7" max="7" width="28.54296875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3" t="s">
        <v>124</v>
      </c>
      <c r="B2" s="3"/>
      <c r="C2" s="3"/>
      <c r="D2" s="3"/>
      <c r="E2" s="3"/>
      <c r="F2" s="3"/>
      <c r="G2" s="3"/>
    </row>
    <row r="3" spans="1:7" x14ac:dyDescent="0.35">
      <c r="A3" s="10" t="s">
        <v>125</v>
      </c>
      <c r="B3" s="11" t="s">
        <v>126</v>
      </c>
      <c r="C3" s="10" t="s">
        <v>46</v>
      </c>
      <c r="D3" s="11" t="s">
        <v>47</v>
      </c>
      <c r="E3" s="10"/>
      <c r="F3" s="11"/>
      <c r="G3" s="11" t="s">
        <v>104</v>
      </c>
    </row>
    <row r="4" spans="1:7" x14ac:dyDescent="0.35">
      <c r="A4" s="13" t="s">
        <v>127</v>
      </c>
      <c r="B4" s="14" t="s">
        <v>128</v>
      </c>
      <c r="C4" s="13" t="s">
        <v>56</v>
      </c>
      <c r="D4" s="14" t="s">
        <v>52</v>
      </c>
      <c r="E4" s="13">
        <v>7</v>
      </c>
      <c r="F4" s="14" t="s">
        <v>129</v>
      </c>
      <c r="G4" s="20" t="s">
        <v>104</v>
      </c>
    </row>
    <row r="5" spans="1:7" x14ac:dyDescent="0.35">
      <c r="A5" s="13" t="s">
        <v>130</v>
      </c>
      <c r="B5" s="14" t="s">
        <v>131</v>
      </c>
      <c r="C5" s="13" t="s">
        <v>56</v>
      </c>
      <c r="D5" s="14" t="s">
        <v>52</v>
      </c>
      <c r="E5" s="13">
        <v>8</v>
      </c>
      <c r="F5" s="14" t="s">
        <v>132</v>
      </c>
      <c r="G5" s="20" t="s">
        <v>104</v>
      </c>
    </row>
    <row r="6" spans="1:7" ht="29" x14ac:dyDescent="0.35">
      <c r="A6" s="13" t="s">
        <v>133</v>
      </c>
      <c r="B6" s="14" t="s">
        <v>134</v>
      </c>
      <c r="C6" s="13" t="s">
        <v>56</v>
      </c>
      <c r="D6" s="14" t="s">
        <v>52</v>
      </c>
      <c r="E6" s="13">
        <v>8</v>
      </c>
      <c r="F6" s="14" t="s">
        <v>135</v>
      </c>
      <c r="G6" s="20" t="s">
        <v>104</v>
      </c>
    </row>
    <row r="7" spans="1:7" x14ac:dyDescent="0.35">
      <c r="A7" s="13" t="s">
        <v>136</v>
      </c>
      <c r="B7" s="14" t="s">
        <v>137</v>
      </c>
      <c r="C7" s="13" t="s">
        <v>56</v>
      </c>
      <c r="D7" s="14" t="s">
        <v>52</v>
      </c>
      <c r="E7" s="13">
        <v>4</v>
      </c>
      <c r="F7" s="14" t="s">
        <v>138</v>
      </c>
      <c r="G7" s="20" t="s">
        <v>104</v>
      </c>
    </row>
    <row r="8" spans="1:7" x14ac:dyDescent="0.35">
      <c r="A8" s="13" t="s">
        <v>139</v>
      </c>
      <c r="B8" s="14" t="s">
        <v>140</v>
      </c>
      <c r="C8" s="13" t="s">
        <v>56</v>
      </c>
      <c r="D8" s="14" t="s">
        <v>52</v>
      </c>
      <c r="E8" s="13">
        <v>5</v>
      </c>
      <c r="F8" s="14" t="s">
        <v>141</v>
      </c>
      <c r="G8" s="20" t="s">
        <v>104</v>
      </c>
    </row>
    <row r="9" spans="1:7" x14ac:dyDescent="0.35">
      <c r="A9" s="13" t="s">
        <v>142</v>
      </c>
      <c r="B9" s="14" t="s">
        <v>143</v>
      </c>
      <c r="C9" s="13" t="s">
        <v>56</v>
      </c>
      <c r="D9" s="14" t="s">
        <v>52</v>
      </c>
      <c r="E9" s="13">
        <v>12</v>
      </c>
      <c r="F9" s="14" t="s">
        <v>144</v>
      </c>
      <c r="G9" s="20" t="s">
        <v>104</v>
      </c>
    </row>
    <row r="10" spans="1:7" x14ac:dyDescent="0.35">
      <c r="A10" s="10" t="s">
        <v>145</v>
      </c>
      <c r="B10" s="11" t="s">
        <v>146</v>
      </c>
      <c r="C10" s="10" t="s">
        <v>46</v>
      </c>
      <c r="D10" s="11" t="s">
        <v>47</v>
      </c>
      <c r="E10" s="10"/>
      <c r="F10" s="11"/>
      <c r="G10" s="11" t="s">
        <v>104</v>
      </c>
    </row>
    <row r="11" spans="1:7" x14ac:dyDescent="0.35">
      <c r="A11" s="13" t="s">
        <v>147</v>
      </c>
      <c r="B11" s="14" t="s">
        <v>148</v>
      </c>
      <c r="C11" s="13" t="s">
        <v>56</v>
      </c>
      <c r="D11" s="14" t="s">
        <v>52</v>
      </c>
      <c r="E11" s="13">
        <v>8</v>
      </c>
      <c r="F11" s="14" t="s">
        <v>149</v>
      </c>
      <c r="G11" s="20" t="s">
        <v>104</v>
      </c>
    </row>
    <row r="12" spans="1:7" x14ac:dyDescent="0.35">
      <c r="A12" s="13" t="s">
        <v>150</v>
      </c>
      <c r="B12" s="14" t="s">
        <v>151</v>
      </c>
      <c r="C12" s="13" t="s">
        <v>56</v>
      </c>
      <c r="D12" s="14" t="s">
        <v>52</v>
      </c>
      <c r="E12" s="13">
        <v>6</v>
      </c>
      <c r="F12" s="14" t="s">
        <v>152</v>
      </c>
      <c r="G12" s="20" t="s">
        <v>104</v>
      </c>
    </row>
    <row r="13" spans="1:7" x14ac:dyDescent="0.35">
      <c r="A13" s="13" t="s">
        <v>153</v>
      </c>
      <c r="B13" s="14" t="s">
        <v>154</v>
      </c>
      <c r="C13" s="13" t="s">
        <v>56</v>
      </c>
      <c r="D13" s="14" t="s">
        <v>52</v>
      </c>
      <c r="E13" s="13">
        <v>3</v>
      </c>
      <c r="F13" s="14" t="s">
        <v>155</v>
      </c>
      <c r="G13" s="20" t="s">
        <v>104</v>
      </c>
    </row>
    <row r="14" spans="1:7" x14ac:dyDescent="0.35">
      <c r="A14" s="13" t="s">
        <v>156</v>
      </c>
      <c r="B14" s="14" t="s">
        <v>157</v>
      </c>
      <c r="C14" s="13" t="s">
        <v>56</v>
      </c>
      <c r="D14" s="14" t="s">
        <v>52</v>
      </c>
      <c r="E14" s="13">
        <v>3</v>
      </c>
      <c r="F14" s="14" t="s">
        <v>158</v>
      </c>
      <c r="G14" s="20" t="s">
        <v>104</v>
      </c>
    </row>
    <row r="15" spans="1:7" x14ac:dyDescent="0.35">
      <c r="A15" s="10" t="s">
        <v>159</v>
      </c>
      <c r="B15" s="11" t="s">
        <v>160</v>
      </c>
      <c r="C15" s="10" t="s">
        <v>46</v>
      </c>
      <c r="D15" s="11" t="s">
        <v>47</v>
      </c>
      <c r="E15" s="10"/>
      <c r="F15" s="11"/>
      <c r="G15" s="11" t="s">
        <v>104</v>
      </c>
    </row>
    <row r="16" spans="1:7" ht="29" x14ac:dyDescent="0.35">
      <c r="A16" s="13" t="s">
        <v>161</v>
      </c>
      <c r="B16" s="14" t="s">
        <v>162</v>
      </c>
      <c r="C16" s="13" t="s">
        <v>56</v>
      </c>
      <c r="D16" s="14" t="s">
        <v>52</v>
      </c>
      <c r="E16" s="13">
        <v>8</v>
      </c>
      <c r="F16" s="14" t="s">
        <v>163</v>
      </c>
      <c r="G16" s="20" t="s">
        <v>104</v>
      </c>
    </row>
    <row r="17" spans="1:7" x14ac:dyDescent="0.35">
      <c r="A17" s="13" t="s">
        <v>164</v>
      </c>
      <c r="B17" s="14" t="s">
        <v>165</v>
      </c>
      <c r="C17" s="13" t="s">
        <v>56</v>
      </c>
      <c r="D17" s="14" t="s">
        <v>52</v>
      </c>
      <c r="E17" s="13">
        <v>5</v>
      </c>
      <c r="F17" s="14" t="s">
        <v>166</v>
      </c>
      <c r="G17" s="20" t="s">
        <v>104</v>
      </c>
    </row>
    <row r="18" spans="1:7" ht="29" x14ac:dyDescent="0.35">
      <c r="A18" s="13" t="s">
        <v>167</v>
      </c>
      <c r="B18" s="14" t="s">
        <v>168</v>
      </c>
      <c r="C18" s="13" t="s">
        <v>56</v>
      </c>
      <c r="D18" s="14" t="s">
        <v>52</v>
      </c>
      <c r="E18" s="13">
        <v>6</v>
      </c>
      <c r="F18" s="14" t="s">
        <v>169</v>
      </c>
      <c r="G18" s="20" t="s">
        <v>104</v>
      </c>
    </row>
    <row r="19" spans="1:7" ht="29" x14ac:dyDescent="0.35">
      <c r="A19" s="13" t="s">
        <v>170</v>
      </c>
      <c r="B19" s="14" t="s">
        <v>171</v>
      </c>
      <c r="C19" s="13" t="s">
        <v>56</v>
      </c>
      <c r="D19" s="14" t="s">
        <v>52</v>
      </c>
      <c r="E19" s="13">
        <v>6</v>
      </c>
      <c r="F19" s="14" t="s">
        <v>172</v>
      </c>
      <c r="G19" s="20" t="s">
        <v>104</v>
      </c>
    </row>
    <row r="20" spans="1:7" ht="29" x14ac:dyDescent="0.35">
      <c r="A20" s="13" t="s">
        <v>173</v>
      </c>
      <c r="B20" s="14" t="s">
        <v>174</v>
      </c>
      <c r="C20" s="13" t="s">
        <v>56</v>
      </c>
      <c r="D20" s="14" t="s">
        <v>52</v>
      </c>
      <c r="E20" s="13">
        <v>4</v>
      </c>
      <c r="F20" s="14" t="s">
        <v>175</v>
      </c>
      <c r="G20" s="20" t="s">
        <v>104</v>
      </c>
    </row>
    <row r="21" spans="1:7" x14ac:dyDescent="0.35">
      <c r="A21" s="17"/>
      <c r="B21" s="18" t="s">
        <v>176</v>
      </c>
      <c r="C21" s="17"/>
      <c r="D21" s="18"/>
      <c r="E21" s="17">
        <f>SUM(E3:E20)</f>
        <v>93</v>
      </c>
      <c r="F21" s="18"/>
      <c r="G21" s="18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6"/>
  <sheetViews>
    <sheetView topLeftCell="A2" zoomScale="70" zoomScaleNormal="70" workbookViewId="0">
      <selection activeCell="B19" sqref="B19"/>
    </sheetView>
  </sheetViews>
  <sheetFormatPr baseColWidth="10" defaultColWidth="8.6328125" defaultRowHeight="14.5" x14ac:dyDescent="0.35"/>
  <cols>
    <col min="1" max="1" width="10.7265625" customWidth="1"/>
    <col min="2" max="2" width="82" customWidth="1"/>
    <col min="3" max="3" width="12" customWidth="1"/>
    <col min="4" max="4" width="23.36328125" customWidth="1"/>
    <col min="5" max="5" width="16" style="7" customWidth="1"/>
    <col min="6" max="6" width="65" style="4" customWidth="1"/>
    <col min="7" max="7" width="26.08984375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3" t="s">
        <v>177</v>
      </c>
      <c r="B2" s="3"/>
      <c r="C2" s="3"/>
      <c r="D2" s="3"/>
      <c r="E2" s="3"/>
      <c r="F2" s="3"/>
      <c r="G2" s="3"/>
    </row>
    <row r="3" spans="1:7" x14ac:dyDescent="0.35">
      <c r="A3" s="10" t="s">
        <v>178</v>
      </c>
      <c r="B3" s="11" t="s">
        <v>179</v>
      </c>
      <c r="C3" s="10" t="s">
        <v>46</v>
      </c>
      <c r="D3" s="11" t="s">
        <v>47</v>
      </c>
      <c r="E3" s="10"/>
      <c r="F3" s="11"/>
      <c r="G3" s="11" t="s">
        <v>180</v>
      </c>
    </row>
    <row r="4" spans="1:7" ht="29" x14ac:dyDescent="0.35">
      <c r="A4" s="13" t="s">
        <v>181</v>
      </c>
      <c r="B4" s="14" t="s">
        <v>182</v>
      </c>
      <c r="C4" s="13" t="s">
        <v>56</v>
      </c>
      <c r="D4" s="14" t="s">
        <v>52</v>
      </c>
      <c r="E4" s="13">
        <v>5</v>
      </c>
      <c r="F4" s="14" t="s">
        <v>183</v>
      </c>
      <c r="G4" s="21" t="s">
        <v>180</v>
      </c>
    </row>
    <row r="5" spans="1:7" x14ac:dyDescent="0.35">
      <c r="A5" s="13" t="s">
        <v>184</v>
      </c>
      <c r="B5" s="14" t="s">
        <v>185</v>
      </c>
      <c r="C5" s="13" t="s">
        <v>56</v>
      </c>
      <c r="D5" s="14" t="s">
        <v>52</v>
      </c>
      <c r="E5" s="13">
        <v>8</v>
      </c>
      <c r="F5" s="14" t="s">
        <v>186</v>
      </c>
      <c r="G5" s="21" t="s">
        <v>180</v>
      </c>
    </row>
    <row r="6" spans="1:7" x14ac:dyDescent="0.35">
      <c r="A6" s="13" t="s">
        <v>187</v>
      </c>
      <c r="B6" s="14" t="s">
        <v>188</v>
      </c>
      <c r="C6" s="13" t="s">
        <v>56</v>
      </c>
      <c r="D6" s="14" t="s">
        <v>52</v>
      </c>
      <c r="E6" s="13">
        <v>8</v>
      </c>
      <c r="F6" s="14" t="s">
        <v>189</v>
      </c>
      <c r="G6" s="21" t="s">
        <v>180</v>
      </c>
    </row>
    <row r="7" spans="1:7" ht="29" x14ac:dyDescent="0.35">
      <c r="A7" s="13" t="s">
        <v>190</v>
      </c>
      <c r="B7" s="14" t="s">
        <v>191</v>
      </c>
      <c r="C7" s="13" t="s">
        <v>56</v>
      </c>
      <c r="D7" s="14" t="s">
        <v>52</v>
      </c>
      <c r="E7" s="13">
        <v>8</v>
      </c>
      <c r="F7" s="14" t="s">
        <v>192</v>
      </c>
      <c r="G7" s="21" t="s">
        <v>180</v>
      </c>
    </row>
    <row r="8" spans="1:7" x14ac:dyDescent="0.35">
      <c r="A8" s="13" t="s">
        <v>193</v>
      </c>
      <c r="B8" s="14" t="s">
        <v>194</v>
      </c>
      <c r="C8" s="13" t="s">
        <v>56</v>
      </c>
      <c r="D8" s="14" t="s">
        <v>52</v>
      </c>
      <c r="E8" s="13">
        <v>8</v>
      </c>
      <c r="F8" s="14" t="s">
        <v>195</v>
      </c>
      <c r="G8" s="21" t="s">
        <v>180</v>
      </c>
    </row>
    <row r="9" spans="1:7" ht="29" x14ac:dyDescent="0.35">
      <c r="A9" s="13" t="s">
        <v>196</v>
      </c>
      <c r="B9" s="14" t="s">
        <v>197</v>
      </c>
      <c r="C9" s="13" t="s">
        <v>56</v>
      </c>
      <c r="D9" s="14" t="s">
        <v>52</v>
      </c>
      <c r="E9" s="13">
        <v>8</v>
      </c>
      <c r="F9" s="14" t="s">
        <v>198</v>
      </c>
      <c r="G9" s="21" t="s">
        <v>180</v>
      </c>
    </row>
    <row r="10" spans="1:7" x14ac:dyDescent="0.35">
      <c r="A10" s="10" t="s">
        <v>199</v>
      </c>
      <c r="B10" s="11" t="s">
        <v>200</v>
      </c>
      <c r="C10" s="10" t="s">
        <v>46</v>
      </c>
      <c r="D10" s="11" t="s">
        <v>47</v>
      </c>
      <c r="E10" s="10"/>
      <c r="F10" s="11"/>
      <c r="G10" s="11" t="s">
        <v>180</v>
      </c>
    </row>
    <row r="11" spans="1:7" x14ac:dyDescent="0.35">
      <c r="A11" s="13" t="s">
        <v>201</v>
      </c>
      <c r="B11" s="14" t="s">
        <v>202</v>
      </c>
      <c r="C11" s="13" t="s">
        <v>56</v>
      </c>
      <c r="D11" s="14" t="s">
        <v>52</v>
      </c>
      <c r="E11" s="13">
        <v>6</v>
      </c>
      <c r="F11" s="14" t="s">
        <v>203</v>
      </c>
      <c r="G11" s="21" t="s">
        <v>180</v>
      </c>
    </row>
    <row r="12" spans="1:7" x14ac:dyDescent="0.35">
      <c r="A12" s="13" t="s">
        <v>204</v>
      </c>
      <c r="B12" s="14" t="s">
        <v>205</v>
      </c>
      <c r="C12" s="13" t="s">
        <v>56</v>
      </c>
      <c r="D12" s="14" t="s">
        <v>52</v>
      </c>
      <c r="E12" s="13">
        <v>6</v>
      </c>
      <c r="F12" s="14" t="s">
        <v>206</v>
      </c>
      <c r="G12" s="21" t="s">
        <v>180</v>
      </c>
    </row>
    <row r="13" spans="1:7" x14ac:dyDescent="0.35">
      <c r="A13" s="13" t="s">
        <v>207</v>
      </c>
      <c r="B13" s="14" t="s">
        <v>208</v>
      </c>
      <c r="C13" s="13" t="s">
        <v>56</v>
      </c>
      <c r="D13" s="14" t="s">
        <v>52</v>
      </c>
      <c r="E13" s="13">
        <v>8</v>
      </c>
      <c r="F13" s="14" t="s">
        <v>209</v>
      </c>
      <c r="G13" s="21" t="s">
        <v>180</v>
      </c>
    </row>
    <row r="14" spans="1:7" x14ac:dyDescent="0.35">
      <c r="A14" s="10" t="s">
        <v>210</v>
      </c>
      <c r="B14" s="11" t="s">
        <v>211</v>
      </c>
      <c r="C14" s="10" t="s">
        <v>46</v>
      </c>
      <c r="D14" s="11" t="s">
        <v>47</v>
      </c>
      <c r="E14" s="10"/>
      <c r="F14" s="11"/>
      <c r="G14" s="11" t="s">
        <v>212</v>
      </c>
    </row>
    <row r="15" spans="1:7" ht="29" x14ac:dyDescent="0.35">
      <c r="A15" s="13" t="s">
        <v>213</v>
      </c>
      <c r="B15" s="14" t="s">
        <v>214</v>
      </c>
      <c r="C15" s="13" t="s">
        <v>56</v>
      </c>
      <c r="D15" s="14" t="s">
        <v>52</v>
      </c>
      <c r="E15" s="13">
        <v>12</v>
      </c>
      <c r="F15" s="14" t="s">
        <v>215</v>
      </c>
      <c r="G15" s="22" t="s">
        <v>212</v>
      </c>
    </row>
    <row r="16" spans="1:7" x14ac:dyDescent="0.35">
      <c r="A16" s="13" t="s">
        <v>216</v>
      </c>
      <c r="B16" s="14" t="s">
        <v>217</v>
      </c>
      <c r="C16" s="13" t="s">
        <v>56</v>
      </c>
      <c r="D16" s="14" t="s">
        <v>52</v>
      </c>
      <c r="E16" s="13">
        <v>2</v>
      </c>
      <c r="F16" s="14" t="s">
        <v>218</v>
      </c>
      <c r="G16" s="22" t="s">
        <v>212</v>
      </c>
    </row>
    <row r="17" spans="1:7" x14ac:dyDescent="0.35">
      <c r="A17" s="13" t="s">
        <v>219</v>
      </c>
      <c r="B17" s="14" t="s">
        <v>220</v>
      </c>
      <c r="C17" s="13" t="s">
        <v>56</v>
      </c>
      <c r="D17" s="14" t="s">
        <v>52</v>
      </c>
      <c r="E17" s="13">
        <v>10</v>
      </c>
      <c r="F17" s="14" t="s">
        <v>221</v>
      </c>
      <c r="G17" s="22" t="s">
        <v>212</v>
      </c>
    </row>
    <row r="18" spans="1:7" ht="29" x14ac:dyDescent="0.35">
      <c r="A18" s="13" t="s">
        <v>222</v>
      </c>
      <c r="B18" s="14" t="s">
        <v>223</v>
      </c>
      <c r="C18" s="13" t="s">
        <v>56</v>
      </c>
      <c r="D18" s="14" t="s">
        <v>52</v>
      </c>
      <c r="E18" s="13">
        <v>8</v>
      </c>
      <c r="F18" s="14" t="s">
        <v>224</v>
      </c>
      <c r="G18" s="22" t="s">
        <v>212</v>
      </c>
    </row>
    <row r="19" spans="1:7" x14ac:dyDescent="0.35">
      <c r="A19" s="13" t="s">
        <v>225</v>
      </c>
      <c r="B19" s="14" t="s">
        <v>226</v>
      </c>
      <c r="C19" s="13" t="s">
        <v>56</v>
      </c>
      <c r="D19" s="14" t="s">
        <v>52</v>
      </c>
      <c r="E19" s="13">
        <v>6</v>
      </c>
      <c r="F19" s="14" t="s">
        <v>227</v>
      </c>
      <c r="G19" s="22" t="s">
        <v>212</v>
      </c>
    </row>
    <row r="20" spans="1:7" x14ac:dyDescent="0.35">
      <c r="A20" s="10" t="s">
        <v>228</v>
      </c>
      <c r="B20" s="11" t="s">
        <v>229</v>
      </c>
      <c r="C20" s="10" t="s">
        <v>46</v>
      </c>
      <c r="D20" s="11" t="s">
        <v>47</v>
      </c>
      <c r="E20" s="10"/>
      <c r="F20" s="11"/>
      <c r="G20" s="11" t="s">
        <v>230</v>
      </c>
    </row>
    <row r="21" spans="1:7" ht="29" x14ac:dyDescent="0.35">
      <c r="A21" s="13" t="s">
        <v>231</v>
      </c>
      <c r="B21" s="14" t="s">
        <v>232</v>
      </c>
      <c r="C21" s="13" t="s">
        <v>56</v>
      </c>
      <c r="D21" s="14" t="s">
        <v>52</v>
      </c>
      <c r="E21" s="13">
        <v>8</v>
      </c>
      <c r="F21" s="14" t="s">
        <v>233</v>
      </c>
      <c r="G21" s="23" t="s">
        <v>230</v>
      </c>
    </row>
    <row r="22" spans="1:7" x14ac:dyDescent="0.35">
      <c r="A22" s="13" t="s">
        <v>234</v>
      </c>
      <c r="B22" s="14" t="s">
        <v>235</v>
      </c>
      <c r="C22" s="13" t="s">
        <v>56</v>
      </c>
      <c r="D22" s="14" t="s">
        <v>52</v>
      </c>
      <c r="E22" s="13">
        <v>5</v>
      </c>
      <c r="F22" s="14" t="s">
        <v>236</v>
      </c>
      <c r="G22" s="23" t="s">
        <v>230</v>
      </c>
    </row>
    <row r="23" spans="1:7" ht="29" x14ac:dyDescent="0.35">
      <c r="A23" s="13" t="s">
        <v>237</v>
      </c>
      <c r="B23" s="14" t="s">
        <v>238</v>
      </c>
      <c r="C23" s="13" t="s">
        <v>56</v>
      </c>
      <c r="D23" s="14" t="s">
        <v>52</v>
      </c>
      <c r="E23" s="13">
        <v>6</v>
      </c>
      <c r="F23" s="14" t="s">
        <v>239</v>
      </c>
      <c r="G23" s="23" t="s">
        <v>230</v>
      </c>
    </row>
    <row r="24" spans="1:7" ht="29" x14ac:dyDescent="0.35">
      <c r="A24" s="13" t="s">
        <v>240</v>
      </c>
      <c r="B24" s="14" t="s">
        <v>241</v>
      </c>
      <c r="C24" s="13" t="s">
        <v>56</v>
      </c>
      <c r="D24" s="14" t="s">
        <v>52</v>
      </c>
      <c r="E24" s="13">
        <v>6</v>
      </c>
      <c r="F24" s="14" t="s">
        <v>242</v>
      </c>
      <c r="G24" s="23" t="s">
        <v>230</v>
      </c>
    </row>
    <row r="25" spans="1:7" ht="29" x14ac:dyDescent="0.35">
      <c r="A25" s="13" t="s">
        <v>243</v>
      </c>
      <c r="B25" s="14" t="s">
        <v>244</v>
      </c>
      <c r="C25" s="13" t="s">
        <v>56</v>
      </c>
      <c r="D25" s="14" t="s">
        <v>52</v>
      </c>
      <c r="E25" s="13">
        <v>4</v>
      </c>
      <c r="F25" s="14" t="s">
        <v>245</v>
      </c>
      <c r="G25" s="23" t="s">
        <v>230</v>
      </c>
    </row>
    <row r="26" spans="1:7" x14ac:dyDescent="0.35">
      <c r="A26" s="17"/>
      <c r="B26" s="18" t="s">
        <v>246</v>
      </c>
      <c r="C26" s="17"/>
      <c r="D26" s="18"/>
      <c r="E26" s="17">
        <f>SUM(E3:E25)</f>
        <v>132</v>
      </c>
      <c r="F26" s="18"/>
      <c r="G26" s="18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1"/>
  <sheetViews>
    <sheetView tabSelected="1" zoomScale="60" zoomScaleNormal="60" workbookViewId="0">
      <selection activeCell="B22" sqref="B22"/>
    </sheetView>
  </sheetViews>
  <sheetFormatPr baseColWidth="10" defaultColWidth="8.6328125" defaultRowHeight="14.5" x14ac:dyDescent="0.35"/>
  <cols>
    <col min="1" max="1" width="12" customWidth="1"/>
    <col min="2" max="2" width="77.6328125" customWidth="1"/>
    <col min="3" max="3" width="12" customWidth="1"/>
    <col min="4" max="4" width="26" customWidth="1"/>
    <col min="5" max="5" width="16" style="7" customWidth="1"/>
    <col min="6" max="6" width="65" style="4" customWidth="1"/>
    <col min="7" max="7" width="28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3" t="s">
        <v>247</v>
      </c>
      <c r="B2" s="3"/>
      <c r="C2" s="3"/>
      <c r="D2" s="3"/>
      <c r="E2" s="3"/>
      <c r="F2" s="3"/>
      <c r="G2" s="3"/>
    </row>
    <row r="3" spans="1:7" x14ac:dyDescent="0.35">
      <c r="A3" s="10" t="s">
        <v>248</v>
      </c>
      <c r="B3" s="11" t="s">
        <v>249</v>
      </c>
      <c r="C3" s="10" t="s">
        <v>46</v>
      </c>
      <c r="D3" s="11" t="s">
        <v>47</v>
      </c>
      <c r="E3" s="10"/>
      <c r="F3" s="11"/>
      <c r="G3" s="11" t="s">
        <v>230</v>
      </c>
    </row>
    <row r="4" spans="1:7" ht="29" x14ac:dyDescent="0.35">
      <c r="A4" s="13" t="s">
        <v>250</v>
      </c>
      <c r="B4" s="14" t="s">
        <v>251</v>
      </c>
      <c r="C4" s="13" t="s">
        <v>56</v>
      </c>
      <c r="D4" s="14" t="s">
        <v>52</v>
      </c>
      <c r="E4" s="13">
        <v>6</v>
      </c>
      <c r="F4" s="14" t="s">
        <v>252</v>
      </c>
      <c r="G4" s="23" t="s">
        <v>230</v>
      </c>
    </row>
    <row r="5" spans="1:7" ht="29" x14ac:dyDescent="0.35">
      <c r="A5" s="13" t="s">
        <v>253</v>
      </c>
      <c r="B5" s="14" t="s">
        <v>254</v>
      </c>
      <c r="C5" s="13" t="s">
        <v>56</v>
      </c>
      <c r="D5" s="14" t="s">
        <v>52</v>
      </c>
      <c r="E5" s="13">
        <v>8</v>
      </c>
      <c r="F5" s="14" t="s">
        <v>255</v>
      </c>
      <c r="G5" s="23" t="s">
        <v>230</v>
      </c>
    </row>
    <row r="6" spans="1:7" ht="29" x14ac:dyDescent="0.35">
      <c r="A6" s="13" t="s">
        <v>256</v>
      </c>
      <c r="B6" s="14" t="s">
        <v>257</v>
      </c>
      <c r="C6" s="13" t="s">
        <v>56</v>
      </c>
      <c r="D6" s="14" t="s">
        <v>52</v>
      </c>
      <c r="E6" s="13">
        <v>3</v>
      </c>
      <c r="F6" s="14" t="s">
        <v>258</v>
      </c>
      <c r="G6" s="23" t="s">
        <v>230</v>
      </c>
    </row>
    <row r="7" spans="1:7" x14ac:dyDescent="0.35">
      <c r="A7" s="10" t="s">
        <v>259</v>
      </c>
      <c r="B7" s="11" t="s">
        <v>260</v>
      </c>
      <c r="C7" s="10" t="s">
        <v>46</v>
      </c>
      <c r="D7" s="11" t="s">
        <v>47</v>
      </c>
      <c r="E7" s="10"/>
      <c r="F7" s="11"/>
      <c r="G7" s="11" t="s">
        <v>261</v>
      </c>
    </row>
    <row r="8" spans="1:7" x14ac:dyDescent="0.35">
      <c r="A8" s="13" t="s">
        <v>262</v>
      </c>
      <c r="B8" s="14" t="s">
        <v>263</v>
      </c>
      <c r="C8" s="13" t="s">
        <v>56</v>
      </c>
      <c r="D8" s="14" t="s">
        <v>52</v>
      </c>
      <c r="E8" s="13">
        <v>3</v>
      </c>
      <c r="F8" s="14" t="s">
        <v>264</v>
      </c>
      <c r="G8" s="24" t="s">
        <v>261</v>
      </c>
    </row>
    <row r="9" spans="1:7" ht="29" x14ac:dyDescent="0.35">
      <c r="A9" s="13" t="s">
        <v>265</v>
      </c>
      <c r="B9" s="14" t="s">
        <v>266</v>
      </c>
      <c r="C9" s="13" t="s">
        <v>56</v>
      </c>
      <c r="D9" s="14" t="s">
        <v>52</v>
      </c>
      <c r="E9" s="13">
        <v>6</v>
      </c>
      <c r="F9" s="14" t="s">
        <v>267</v>
      </c>
      <c r="G9" s="24" t="s">
        <v>261</v>
      </c>
    </row>
    <row r="10" spans="1:7" x14ac:dyDescent="0.35">
      <c r="A10" s="13" t="s">
        <v>268</v>
      </c>
      <c r="B10" s="14" t="s">
        <v>269</v>
      </c>
      <c r="C10" s="13" t="s">
        <v>56</v>
      </c>
      <c r="D10" s="14" t="s">
        <v>52</v>
      </c>
      <c r="E10" s="13">
        <v>5</v>
      </c>
      <c r="F10" s="14" t="s">
        <v>270</v>
      </c>
      <c r="G10" s="24" t="s">
        <v>261</v>
      </c>
    </row>
    <row r="11" spans="1:7" x14ac:dyDescent="0.35">
      <c r="A11" s="10" t="s">
        <v>271</v>
      </c>
      <c r="B11" s="11" t="s">
        <v>272</v>
      </c>
      <c r="C11" s="10" t="s">
        <v>46</v>
      </c>
      <c r="D11" s="11" t="s">
        <v>47</v>
      </c>
      <c r="E11" s="10"/>
      <c r="F11" s="11"/>
      <c r="G11" s="11" t="s">
        <v>261</v>
      </c>
    </row>
    <row r="12" spans="1:7" ht="29" x14ac:dyDescent="0.35">
      <c r="A12" s="13" t="s">
        <v>273</v>
      </c>
      <c r="B12" s="14" t="s">
        <v>274</v>
      </c>
      <c r="C12" s="13" t="s">
        <v>56</v>
      </c>
      <c r="D12" s="14" t="s">
        <v>52</v>
      </c>
      <c r="E12" s="13">
        <v>6</v>
      </c>
      <c r="F12" s="14" t="s">
        <v>275</v>
      </c>
      <c r="G12" s="24" t="s">
        <v>261</v>
      </c>
    </row>
    <row r="13" spans="1:7" x14ac:dyDescent="0.35">
      <c r="A13" s="13" t="s">
        <v>276</v>
      </c>
      <c r="B13" s="14" t="s">
        <v>277</v>
      </c>
      <c r="C13" s="13" t="s">
        <v>56</v>
      </c>
      <c r="D13" s="14" t="s">
        <v>52</v>
      </c>
      <c r="E13" s="13">
        <v>4</v>
      </c>
      <c r="F13" s="14" t="s">
        <v>278</v>
      </c>
      <c r="G13" s="24" t="s">
        <v>261</v>
      </c>
    </row>
    <row r="14" spans="1:7" x14ac:dyDescent="0.35">
      <c r="A14" s="13" t="s">
        <v>279</v>
      </c>
      <c r="B14" s="14" t="s">
        <v>280</v>
      </c>
      <c r="C14" s="13" t="s">
        <v>56</v>
      </c>
      <c r="D14" s="14" t="s">
        <v>52</v>
      </c>
      <c r="E14" s="13">
        <v>4</v>
      </c>
      <c r="F14" s="14" t="s">
        <v>281</v>
      </c>
      <c r="G14" s="24" t="s">
        <v>261</v>
      </c>
    </row>
    <row r="15" spans="1:7" ht="29" x14ac:dyDescent="0.35">
      <c r="A15" s="13" t="s">
        <v>282</v>
      </c>
      <c r="B15" s="14" t="s">
        <v>283</v>
      </c>
      <c r="C15" s="13" t="s">
        <v>56</v>
      </c>
      <c r="D15" s="14" t="s">
        <v>52</v>
      </c>
      <c r="E15" s="13">
        <v>6</v>
      </c>
      <c r="F15" s="14" t="s">
        <v>284</v>
      </c>
      <c r="G15" s="24" t="s">
        <v>261</v>
      </c>
    </row>
    <row r="16" spans="1:7" x14ac:dyDescent="0.35">
      <c r="A16" s="13" t="s">
        <v>285</v>
      </c>
      <c r="B16" s="14" t="s">
        <v>286</v>
      </c>
      <c r="C16" s="13" t="s">
        <v>56</v>
      </c>
      <c r="D16" s="14" t="s">
        <v>52</v>
      </c>
      <c r="E16" s="13">
        <v>6</v>
      </c>
      <c r="F16" s="14" t="s">
        <v>287</v>
      </c>
      <c r="G16" s="24" t="s">
        <v>261</v>
      </c>
    </row>
    <row r="17" spans="1:7" x14ac:dyDescent="0.35">
      <c r="A17" s="13" t="s">
        <v>288</v>
      </c>
      <c r="B17" s="14" t="s">
        <v>289</v>
      </c>
      <c r="C17" s="13" t="s">
        <v>56</v>
      </c>
      <c r="D17" s="14" t="s">
        <v>52</v>
      </c>
      <c r="E17" s="13">
        <v>5</v>
      </c>
      <c r="F17" s="14" t="s">
        <v>290</v>
      </c>
      <c r="G17" s="24" t="s">
        <v>261</v>
      </c>
    </row>
    <row r="18" spans="1:7" x14ac:dyDescent="0.35">
      <c r="A18" s="13" t="s">
        <v>291</v>
      </c>
      <c r="B18" s="14" t="s">
        <v>292</v>
      </c>
      <c r="C18" s="13" t="s">
        <v>56</v>
      </c>
      <c r="D18" s="14" t="s">
        <v>52</v>
      </c>
      <c r="E18" s="13">
        <v>3</v>
      </c>
      <c r="F18" s="14" t="s">
        <v>293</v>
      </c>
      <c r="G18" s="24" t="s">
        <v>261</v>
      </c>
    </row>
    <row r="19" spans="1:7" x14ac:dyDescent="0.35">
      <c r="A19" s="10" t="s">
        <v>294</v>
      </c>
      <c r="B19" s="11" t="s">
        <v>295</v>
      </c>
      <c r="C19" s="10" t="s">
        <v>46</v>
      </c>
      <c r="D19" s="11" t="s">
        <v>47</v>
      </c>
      <c r="E19" s="10"/>
      <c r="F19" s="11"/>
      <c r="G19" s="11" t="s">
        <v>261</v>
      </c>
    </row>
    <row r="20" spans="1:7" x14ac:dyDescent="0.35">
      <c r="A20" s="13" t="s">
        <v>296</v>
      </c>
      <c r="B20" s="14" t="s">
        <v>297</v>
      </c>
      <c r="C20" s="13" t="s">
        <v>56</v>
      </c>
      <c r="D20" s="14" t="s">
        <v>52</v>
      </c>
      <c r="E20" s="13">
        <v>8</v>
      </c>
      <c r="F20" s="14" t="s">
        <v>298</v>
      </c>
      <c r="G20" s="24" t="s">
        <v>261</v>
      </c>
    </row>
    <row r="21" spans="1:7" x14ac:dyDescent="0.35">
      <c r="A21" s="13" t="s">
        <v>299</v>
      </c>
      <c r="B21" s="14" t="s">
        <v>300</v>
      </c>
      <c r="C21" s="13" t="s">
        <v>56</v>
      </c>
      <c r="D21" s="14" t="s">
        <v>52</v>
      </c>
      <c r="E21" s="13">
        <v>4</v>
      </c>
      <c r="F21" s="14" t="s">
        <v>301</v>
      </c>
      <c r="G21" s="24" t="s">
        <v>261</v>
      </c>
    </row>
    <row r="22" spans="1:7" ht="29" x14ac:dyDescent="0.35">
      <c r="A22" s="13" t="s">
        <v>302</v>
      </c>
      <c r="B22" s="14" t="s">
        <v>303</v>
      </c>
      <c r="C22" s="13" t="s">
        <v>56</v>
      </c>
      <c r="D22" s="14" t="s">
        <v>52</v>
      </c>
      <c r="E22" s="13">
        <v>5</v>
      </c>
      <c r="F22" s="14" t="s">
        <v>304</v>
      </c>
      <c r="G22" s="24" t="s">
        <v>261</v>
      </c>
    </row>
    <row r="23" spans="1:7" ht="29" x14ac:dyDescent="0.35">
      <c r="A23" s="13" t="s">
        <v>305</v>
      </c>
      <c r="B23" s="14" t="s">
        <v>306</v>
      </c>
      <c r="C23" s="13" t="s">
        <v>56</v>
      </c>
      <c r="D23" s="14" t="s">
        <v>52</v>
      </c>
      <c r="E23" s="13">
        <v>5</v>
      </c>
      <c r="F23" s="14" t="s">
        <v>307</v>
      </c>
      <c r="G23" s="24" t="s">
        <v>261</v>
      </c>
    </row>
    <row r="24" spans="1:7" x14ac:dyDescent="0.35">
      <c r="A24" s="13" t="s">
        <v>308</v>
      </c>
      <c r="B24" s="14" t="s">
        <v>309</v>
      </c>
      <c r="C24" s="13" t="s">
        <v>56</v>
      </c>
      <c r="D24" s="14" t="s">
        <v>52</v>
      </c>
      <c r="E24" s="13">
        <v>4</v>
      </c>
      <c r="F24" s="14" t="s">
        <v>310</v>
      </c>
      <c r="G24" s="24" t="s">
        <v>261</v>
      </c>
    </row>
    <row r="25" spans="1:7" x14ac:dyDescent="0.35">
      <c r="A25" s="10" t="s">
        <v>311</v>
      </c>
      <c r="B25" s="11" t="s">
        <v>312</v>
      </c>
      <c r="C25" s="10" t="s">
        <v>46</v>
      </c>
      <c r="D25" s="11" t="s">
        <v>47</v>
      </c>
      <c r="E25" s="10"/>
      <c r="F25" s="11"/>
      <c r="G25" s="11" t="s">
        <v>313</v>
      </c>
    </row>
    <row r="26" spans="1:7" x14ac:dyDescent="0.35">
      <c r="A26" s="25" t="s">
        <v>314</v>
      </c>
      <c r="B26" s="26" t="s">
        <v>315</v>
      </c>
      <c r="C26" s="25" t="s">
        <v>56</v>
      </c>
      <c r="D26" s="26" t="s">
        <v>52</v>
      </c>
      <c r="E26" s="25">
        <v>5</v>
      </c>
      <c r="F26" s="26" t="s">
        <v>316</v>
      </c>
      <c r="G26" s="26" t="s">
        <v>313</v>
      </c>
    </row>
    <row r="27" spans="1:7" x14ac:dyDescent="0.35">
      <c r="A27" s="25" t="s">
        <v>317</v>
      </c>
      <c r="B27" s="26" t="s">
        <v>318</v>
      </c>
      <c r="C27" s="25" t="s">
        <v>56</v>
      </c>
      <c r="D27" s="26" t="s">
        <v>52</v>
      </c>
      <c r="E27" s="25">
        <v>6</v>
      </c>
      <c r="F27" s="26" t="s">
        <v>319</v>
      </c>
      <c r="G27" s="26" t="s">
        <v>313</v>
      </c>
    </row>
    <row r="28" spans="1:7" x14ac:dyDescent="0.35">
      <c r="A28" s="25" t="s">
        <v>320</v>
      </c>
      <c r="B28" s="26" t="s">
        <v>321</v>
      </c>
      <c r="C28" s="25" t="s">
        <v>56</v>
      </c>
      <c r="D28" s="26" t="s">
        <v>52</v>
      </c>
      <c r="E28" s="25">
        <v>8</v>
      </c>
      <c r="F28" s="26" t="s">
        <v>322</v>
      </c>
      <c r="G28" s="26" t="s">
        <v>313</v>
      </c>
    </row>
    <row r="29" spans="1:7" x14ac:dyDescent="0.35">
      <c r="A29" s="25" t="s">
        <v>323</v>
      </c>
      <c r="B29" s="26" t="s">
        <v>324</v>
      </c>
      <c r="C29" s="25" t="s">
        <v>56</v>
      </c>
      <c r="D29" s="26" t="s">
        <v>52</v>
      </c>
      <c r="E29" s="25">
        <v>5</v>
      </c>
      <c r="F29" s="26" t="s">
        <v>325</v>
      </c>
      <c r="G29" s="26" t="s">
        <v>313</v>
      </c>
    </row>
    <row r="30" spans="1:7" x14ac:dyDescent="0.35">
      <c r="A30" s="25" t="s">
        <v>326</v>
      </c>
      <c r="B30" s="26" t="s">
        <v>327</v>
      </c>
      <c r="C30" s="25" t="s">
        <v>56</v>
      </c>
      <c r="D30" s="26" t="s">
        <v>52</v>
      </c>
      <c r="E30" s="25">
        <v>3</v>
      </c>
      <c r="F30" s="26" t="s">
        <v>328</v>
      </c>
      <c r="G30" s="26" t="s">
        <v>313</v>
      </c>
    </row>
    <row r="31" spans="1:7" x14ac:dyDescent="0.35">
      <c r="A31" s="17"/>
      <c r="B31" s="18" t="s">
        <v>329</v>
      </c>
      <c r="C31" s="17"/>
      <c r="D31" s="18"/>
      <c r="E31" s="17">
        <f>SUM(E3:E30)</f>
        <v>118</v>
      </c>
      <c r="F31" s="18"/>
      <c r="G31" s="18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zoomScale="60" zoomScaleNormal="60" workbookViewId="0">
      <selection activeCell="B41" sqref="B41"/>
    </sheetView>
  </sheetViews>
  <sheetFormatPr baseColWidth="10" defaultColWidth="8.6328125" defaultRowHeight="14.5" x14ac:dyDescent="0.35"/>
  <cols>
    <col min="1" max="1" width="17.81640625" customWidth="1"/>
    <col min="2" max="2" width="41.81640625" customWidth="1"/>
    <col min="3" max="3" width="22" customWidth="1"/>
    <col min="4" max="4" width="32.453125" customWidth="1"/>
    <col min="5" max="5" width="34.26953125" customWidth="1"/>
    <col min="6" max="6" width="49.54296875" customWidth="1"/>
  </cols>
  <sheetData>
    <row r="1" spans="1:6" ht="21" customHeight="1" x14ac:dyDescent="0.5">
      <c r="A1" s="2" t="s">
        <v>330</v>
      </c>
      <c r="B1" s="2"/>
      <c r="C1" s="2"/>
      <c r="D1" s="2"/>
      <c r="E1" s="2"/>
      <c r="F1" s="2"/>
    </row>
    <row r="2" spans="1:6" ht="14.25" customHeight="1" x14ac:dyDescent="0.35">
      <c r="A2" s="1" t="s">
        <v>331</v>
      </c>
      <c r="B2" s="1"/>
      <c r="C2" s="1"/>
      <c r="D2" s="1"/>
      <c r="E2" s="1"/>
      <c r="F2" s="1"/>
    </row>
    <row r="4" spans="1:6" ht="14.25" customHeight="1" x14ac:dyDescent="0.35">
      <c r="A4" s="27" t="s">
        <v>332</v>
      </c>
      <c r="B4" s="27" t="s">
        <v>333</v>
      </c>
      <c r="C4" s="27" t="s">
        <v>334</v>
      </c>
      <c r="D4" s="27" t="s">
        <v>335</v>
      </c>
      <c r="E4" s="27" t="s">
        <v>336</v>
      </c>
      <c r="F4" s="27" t="s">
        <v>337</v>
      </c>
    </row>
    <row r="5" spans="1:6" ht="45.75" customHeight="1" x14ac:dyDescent="0.35">
      <c r="A5" s="28" t="s">
        <v>338</v>
      </c>
      <c r="B5" s="29">
        <f>Julio!E28</f>
        <v>103</v>
      </c>
      <c r="C5" s="29">
        <v>113.64</v>
      </c>
      <c r="D5" s="29">
        <f>B5-C5</f>
        <v>-10.64</v>
      </c>
      <c r="E5" s="30">
        <f>IFERROR(B5/C5,0)</f>
        <v>0.90637099612812388</v>
      </c>
      <c r="F5" s="31" t="s">
        <v>339</v>
      </c>
    </row>
    <row r="6" spans="1:6" ht="30.75" customHeight="1" x14ac:dyDescent="0.35">
      <c r="A6" s="32" t="s">
        <v>20</v>
      </c>
      <c r="B6" s="33">
        <f>Agosto!E21</f>
        <v>93</v>
      </c>
      <c r="C6" s="33">
        <v>151.88</v>
      </c>
      <c r="D6" s="33">
        <f>B6-C6</f>
        <v>-58.879999999999995</v>
      </c>
      <c r="E6" s="34">
        <f>IFERROR(B6/C6,0)</f>
        <v>0.61232552014748487</v>
      </c>
      <c r="F6" s="35" t="s">
        <v>340</v>
      </c>
    </row>
    <row r="7" spans="1:6" ht="30.75" customHeight="1" x14ac:dyDescent="0.35">
      <c r="A7" s="32" t="s">
        <v>28</v>
      </c>
      <c r="B7" s="33">
        <f>Septiembre!E27</f>
        <v>0</v>
      </c>
      <c r="C7" s="33">
        <v>164.5</v>
      </c>
      <c r="D7" s="33">
        <f>B7-C7</f>
        <v>-164.5</v>
      </c>
      <c r="E7" s="34">
        <f>IFERROR(B7/C7,0)</f>
        <v>0</v>
      </c>
      <c r="F7" s="35" t="s">
        <v>341</v>
      </c>
    </row>
    <row r="8" spans="1:6" ht="30.75" customHeight="1" x14ac:dyDescent="0.35">
      <c r="A8" s="32" t="s">
        <v>342</v>
      </c>
      <c r="B8" s="33">
        <f>Octubre!E31</f>
        <v>118</v>
      </c>
      <c r="C8" s="33">
        <v>220.51</v>
      </c>
      <c r="D8" s="33">
        <f>B8-C8</f>
        <v>-102.50999999999999</v>
      </c>
      <c r="E8" s="34">
        <f>IFERROR(B8/C8,0)</f>
        <v>0.53512312366786086</v>
      </c>
      <c r="F8" s="35" t="s">
        <v>343</v>
      </c>
    </row>
    <row r="9" spans="1:6" ht="30.75" customHeight="1" x14ac:dyDescent="0.35">
      <c r="A9" s="36" t="s">
        <v>344</v>
      </c>
      <c r="B9" s="37">
        <f>SUM(B5:B8)</f>
        <v>314</v>
      </c>
      <c r="C9" s="37">
        <v>650.53</v>
      </c>
      <c r="D9" s="37">
        <f>B9-C9</f>
        <v>-336.53</v>
      </c>
      <c r="E9" s="38">
        <f>IFERROR(B9/C9,0)</f>
        <v>0.48268335049882405</v>
      </c>
      <c r="F9" s="39" t="s">
        <v>345</v>
      </c>
    </row>
    <row r="12" spans="1:6" ht="14.25" customHeight="1" x14ac:dyDescent="0.35">
      <c r="A12" s="40" t="s">
        <v>346</v>
      </c>
      <c r="B12" s="41" t="s">
        <v>347</v>
      </c>
      <c r="C12" s="41" t="s">
        <v>348</v>
      </c>
      <c r="D12" s="42" t="s">
        <v>349</v>
      </c>
    </row>
    <row r="13" spans="1:6" ht="45.75" customHeight="1" x14ac:dyDescent="0.35">
      <c r="A13" s="43" t="s">
        <v>350</v>
      </c>
      <c r="B13" s="44" t="s">
        <v>351</v>
      </c>
      <c r="C13" s="44" t="s">
        <v>352</v>
      </c>
      <c r="D13" s="35" t="s">
        <v>353</v>
      </c>
    </row>
    <row r="14" spans="1:6" ht="60.75" customHeight="1" x14ac:dyDescent="0.35">
      <c r="A14" s="43" t="s">
        <v>354</v>
      </c>
      <c r="B14" s="44" t="s">
        <v>355</v>
      </c>
      <c r="C14" s="44" t="s">
        <v>356</v>
      </c>
      <c r="D14" s="35" t="s">
        <v>357</v>
      </c>
    </row>
    <row r="15" spans="1:6" ht="45.75" customHeight="1" x14ac:dyDescent="0.35">
      <c r="A15" s="43" t="s">
        <v>358</v>
      </c>
      <c r="B15" s="44" t="s">
        <v>359</v>
      </c>
      <c r="C15" s="44" t="s">
        <v>360</v>
      </c>
      <c r="D15" s="35" t="s">
        <v>361</v>
      </c>
    </row>
    <row r="16" spans="1:6" ht="45.75" customHeight="1" x14ac:dyDescent="0.35">
      <c r="A16" s="43" t="s">
        <v>362</v>
      </c>
      <c r="B16" s="44" t="s">
        <v>363</v>
      </c>
      <c r="C16" s="44" t="s">
        <v>364</v>
      </c>
      <c r="D16" s="35" t="s">
        <v>365</v>
      </c>
    </row>
    <row r="17" spans="1:5" ht="45.75" customHeight="1" x14ac:dyDescent="0.35">
      <c r="A17" s="43" t="s">
        <v>366</v>
      </c>
      <c r="B17" s="44" t="s">
        <v>367</v>
      </c>
      <c r="C17" s="44" t="s">
        <v>368</v>
      </c>
      <c r="D17" s="35" t="s">
        <v>369</v>
      </c>
    </row>
    <row r="18" spans="1:5" ht="45.75" customHeight="1" x14ac:dyDescent="0.35">
      <c r="A18" s="45" t="s">
        <v>370</v>
      </c>
      <c r="B18" s="46" t="s">
        <v>371</v>
      </c>
      <c r="C18" s="46" t="s">
        <v>372</v>
      </c>
      <c r="D18" s="47" t="s">
        <v>373</v>
      </c>
    </row>
    <row r="21" spans="1:5" ht="14.25" customHeight="1" x14ac:dyDescent="0.35">
      <c r="A21" s="40" t="s">
        <v>374</v>
      </c>
      <c r="B21" s="41" t="s">
        <v>375</v>
      </c>
      <c r="C21" s="41" t="s">
        <v>376</v>
      </c>
      <c r="D21" s="41" t="s">
        <v>336</v>
      </c>
      <c r="E21" s="42" t="s">
        <v>377</v>
      </c>
    </row>
    <row r="22" spans="1:5" ht="45.75" customHeight="1" x14ac:dyDescent="0.35">
      <c r="A22" s="32" t="s">
        <v>338</v>
      </c>
      <c r="B22" s="44" t="s">
        <v>378</v>
      </c>
      <c r="C22" s="48">
        <v>28.88</v>
      </c>
      <c r="D22" s="44" t="s">
        <v>379</v>
      </c>
      <c r="E22" s="35" t="s">
        <v>380</v>
      </c>
    </row>
    <row r="23" spans="1:5" ht="14.25" customHeight="1" x14ac:dyDescent="0.35">
      <c r="A23" s="32" t="s">
        <v>338</v>
      </c>
      <c r="B23" s="44" t="s">
        <v>381</v>
      </c>
      <c r="C23" s="48">
        <v>8.75</v>
      </c>
      <c r="D23" s="44" t="s">
        <v>382</v>
      </c>
      <c r="E23" s="35" t="s">
        <v>383</v>
      </c>
    </row>
    <row r="24" spans="1:5" ht="30.75" customHeight="1" x14ac:dyDescent="0.35">
      <c r="A24" s="32" t="s">
        <v>338</v>
      </c>
      <c r="B24" s="44" t="s">
        <v>384</v>
      </c>
      <c r="C24" s="48">
        <v>7</v>
      </c>
      <c r="D24" s="44" t="s">
        <v>382</v>
      </c>
      <c r="E24" s="35" t="s">
        <v>385</v>
      </c>
    </row>
    <row r="25" spans="1:5" ht="30.75" customHeight="1" x14ac:dyDescent="0.35">
      <c r="A25" s="32" t="s">
        <v>338</v>
      </c>
      <c r="B25" s="44" t="s">
        <v>386</v>
      </c>
      <c r="C25" s="48">
        <v>23.25</v>
      </c>
      <c r="D25" s="44" t="s">
        <v>379</v>
      </c>
      <c r="E25" s="35" t="s">
        <v>387</v>
      </c>
    </row>
    <row r="26" spans="1:5" ht="30.75" customHeight="1" x14ac:dyDescent="0.35">
      <c r="A26" s="32" t="s">
        <v>388</v>
      </c>
      <c r="B26" s="44" t="s">
        <v>389</v>
      </c>
      <c r="C26" s="48">
        <v>13.13</v>
      </c>
      <c r="D26" s="44" t="s">
        <v>379</v>
      </c>
      <c r="E26" s="35" t="s">
        <v>390</v>
      </c>
    </row>
    <row r="27" spans="1:5" ht="30.75" customHeight="1" x14ac:dyDescent="0.35">
      <c r="A27" s="32" t="s">
        <v>20</v>
      </c>
      <c r="B27" s="44" t="s">
        <v>391</v>
      </c>
      <c r="C27" s="48">
        <v>45.5</v>
      </c>
      <c r="D27" s="44" t="s">
        <v>379</v>
      </c>
      <c r="E27" s="35" t="s">
        <v>392</v>
      </c>
    </row>
    <row r="28" spans="1:5" ht="30.75" customHeight="1" x14ac:dyDescent="0.35">
      <c r="A28" s="32" t="s">
        <v>20</v>
      </c>
      <c r="B28" s="44" t="s">
        <v>393</v>
      </c>
      <c r="C28" s="48">
        <v>37.18</v>
      </c>
      <c r="D28" s="44" t="s">
        <v>382</v>
      </c>
      <c r="E28" s="35" t="s">
        <v>394</v>
      </c>
    </row>
    <row r="29" spans="1:5" ht="30.75" customHeight="1" x14ac:dyDescent="0.35">
      <c r="A29" s="32" t="s">
        <v>20</v>
      </c>
      <c r="B29" s="44" t="s">
        <v>395</v>
      </c>
      <c r="C29" s="48">
        <v>35</v>
      </c>
      <c r="D29" s="44" t="s">
        <v>382</v>
      </c>
      <c r="E29" s="35" t="s">
        <v>396</v>
      </c>
    </row>
    <row r="30" spans="1:5" ht="30.75" customHeight="1" x14ac:dyDescent="0.35">
      <c r="A30" s="32" t="s">
        <v>397</v>
      </c>
      <c r="B30" s="44" t="s">
        <v>398</v>
      </c>
      <c r="C30" s="48">
        <v>34.200000000000003</v>
      </c>
      <c r="D30" s="44" t="s">
        <v>379</v>
      </c>
      <c r="E30" s="35" t="s">
        <v>399</v>
      </c>
    </row>
    <row r="31" spans="1:5" ht="30.75" customHeight="1" x14ac:dyDescent="0.35">
      <c r="A31" s="32" t="s">
        <v>28</v>
      </c>
      <c r="B31" s="44" t="s">
        <v>400</v>
      </c>
      <c r="C31" s="48">
        <v>8.75</v>
      </c>
      <c r="D31" s="44" t="s">
        <v>382</v>
      </c>
      <c r="E31" s="35" t="s">
        <v>401</v>
      </c>
    </row>
    <row r="32" spans="1:5" ht="30.75" customHeight="1" x14ac:dyDescent="0.35">
      <c r="A32" s="32" t="s">
        <v>28</v>
      </c>
      <c r="B32" s="44" t="s">
        <v>402</v>
      </c>
      <c r="C32" s="48">
        <v>24.5</v>
      </c>
      <c r="D32" s="44" t="s">
        <v>379</v>
      </c>
      <c r="E32" s="35" t="s">
        <v>403</v>
      </c>
    </row>
    <row r="33" spans="1:6" ht="30.75" customHeight="1" x14ac:dyDescent="0.35">
      <c r="A33" s="32" t="s">
        <v>28</v>
      </c>
      <c r="B33" s="44" t="s">
        <v>404</v>
      </c>
      <c r="C33" s="48">
        <v>36.75</v>
      </c>
      <c r="D33" s="44" t="s">
        <v>379</v>
      </c>
      <c r="E33" s="35" t="s">
        <v>405</v>
      </c>
    </row>
    <row r="34" spans="1:6" ht="30.75" customHeight="1" x14ac:dyDescent="0.35">
      <c r="A34" s="32" t="s">
        <v>28</v>
      </c>
      <c r="B34" s="44" t="s">
        <v>406</v>
      </c>
      <c r="C34" s="48">
        <v>36.75</v>
      </c>
      <c r="D34" s="44" t="s">
        <v>379</v>
      </c>
      <c r="E34" s="35" t="s">
        <v>407</v>
      </c>
    </row>
    <row r="35" spans="1:6" ht="30.75" customHeight="1" x14ac:dyDescent="0.35">
      <c r="A35" s="32" t="s">
        <v>342</v>
      </c>
      <c r="B35" s="44" t="s">
        <v>408</v>
      </c>
      <c r="C35" s="48">
        <v>48.13</v>
      </c>
      <c r="D35" s="44" t="s">
        <v>379</v>
      </c>
      <c r="E35" s="35" t="s">
        <v>409</v>
      </c>
    </row>
    <row r="36" spans="1:6" ht="30.75" customHeight="1" x14ac:dyDescent="0.35">
      <c r="A36" s="32" t="s">
        <v>342</v>
      </c>
      <c r="B36" s="44" t="s">
        <v>410</v>
      </c>
      <c r="C36" s="48">
        <v>172.38</v>
      </c>
      <c r="D36" s="44" t="s">
        <v>379</v>
      </c>
      <c r="E36" s="35" t="s">
        <v>411</v>
      </c>
    </row>
    <row r="37" spans="1:6" ht="14.25" customHeight="1" x14ac:dyDescent="0.35">
      <c r="A37" s="49"/>
      <c r="B37" s="46"/>
      <c r="C37" s="50"/>
      <c r="D37" s="46"/>
      <c r="E37" s="47"/>
    </row>
    <row r="39" spans="1:6" ht="45.75" customHeight="1" x14ac:dyDescent="0.35">
      <c r="A39" s="51" t="s">
        <v>412</v>
      </c>
      <c r="B39" s="51" t="s">
        <v>413</v>
      </c>
      <c r="C39" s="51" t="s">
        <v>414</v>
      </c>
      <c r="D39" s="51" t="s">
        <v>415</v>
      </c>
      <c r="E39" s="51" t="s">
        <v>416</v>
      </c>
      <c r="F39" s="51" t="s">
        <v>417</v>
      </c>
    </row>
  </sheetData>
  <mergeCells count="2">
    <mergeCell ref="A1:F1"/>
    <mergeCell ref="A2:F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"/>
  <sheetViews>
    <sheetView zoomScale="70" zoomScaleNormal="70" workbookViewId="0">
      <selection activeCell="B19" sqref="B19"/>
    </sheetView>
  </sheetViews>
  <sheetFormatPr baseColWidth="10" defaultColWidth="8.6328125" defaultRowHeight="14.5" x14ac:dyDescent="0.35"/>
  <cols>
    <col min="1" max="1" width="27.54296875" customWidth="1"/>
    <col min="2" max="2" width="41.81640625" customWidth="1"/>
    <col min="3" max="3" width="36.1796875" customWidth="1"/>
    <col min="4" max="4" width="10" customWidth="1"/>
    <col min="5" max="5" width="9.54296875" customWidth="1"/>
    <col min="6" max="6" width="27.1796875" customWidth="1"/>
    <col min="7" max="7" width="49.54296875" customWidth="1"/>
  </cols>
  <sheetData>
    <row r="1" spans="1:7" ht="14.25" customHeight="1" x14ac:dyDescent="0.35">
      <c r="A1" s="52" t="s">
        <v>332</v>
      </c>
      <c r="B1" s="53" t="s">
        <v>418</v>
      </c>
      <c r="C1" s="53" t="s">
        <v>419</v>
      </c>
      <c r="D1" s="53" t="s">
        <v>420</v>
      </c>
      <c r="E1" s="53" t="s">
        <v>421</v>
      </c>
      <c r="F1" s="53" t="s">
        <v>422</v>
      </c>
      <c r="G1" s="54" t="s">
        <v>337</v>
      </c>
    </row>
    <row r="2" spans="1:7" ht="14.25" customHeight="1" x14ac:dyDescent="0.35">
      <c r="A2" s="32" t="s">
        <v>338</v>
      </c>
      <c r="B2" s="33">
        <f>Julio!E28</f>
        <v>103</v>
      </c>
      <c r="C2" s="33">
        <v>120</v>
      </c>
      <c r="D2" s="33">
        <f>B2-C2</f>
        <v>-17</v>
      </c>
      <c r="E2" s="55" t="str">
        <f>IF(D2&lt;=0,"Sí","No")</f>
        <v>Sí</v>
      </c>
      <c r="F2" s="33">
        <f>IFERROR(B2/60,0)</f>
        <v>1.7166666666666666</v>
      </c>
      <c r="G2" s="35" t="s">
        <v>423</v>
      </c>
    </row>
    <row r="3" spans="1:7" ht="14.25" customHeight="1" x14ac:dyDescent="0.35">
      <c r="A3" s="32" t="s">
        <v>20</v>
      </c>
      <c r="B3" s="33">
        <f>Agosto!E21</f>
        <v>93</v>
      </c>
      <c r="C3" s="33">
        <v>120</v>
      </c>
      <c r="D3" s="33">
        <f>B3-C3</f>
        <v>-27</v>
      </c>
      <c r="E3" s="55" t="str">
        <f>IF(D3&lt;=0,"Sí","No")</f>
        <v>Sí</v>
      </c>
      <c r="F3" s="33">
        <f>IFERROR(B3/60,0)</f>
        <v>1.55</v>
      </c>
      <c r="G3" s="35" t="s">
        <v>424</v>
      </c>
    </row>
    <row r="4" spans="1:7" ht="14.25" customHeight="1" x14ac:dyDescent="0.35">
      <c r="A4" s="32" t="s">
        <v>28</v>
      </c>
      <c r="B4" s="33">
        <f>Septiembre!E27</f>
        <v>0</v>
      </c>
      <c r="C4" s="33">
        <v>120</v>
      </c>
      <c r="D4" s="33">
        <f>B4-C4</f>
        <v>-120</v>
      </c>
      <c r="E4" s="55" t="str">
        <f>IF(D4&lt;=0,"Sí","No")</f>
        <v>Sí</v>
      </c>
      <c r="F4" s="33">
        <f>IFERROR(B4/60,0)</f>
        <v>0</v>
      </c>
      <c r="G4" s="35" t="s">
        <v>425</v>
      </c>
    </row>
    <row r="5" spans="1:7" ht="14.25" customHeight="1" x14ac:dyDescent="0.35">
      <c r="A5" s="32" t="s">
        <v>342</v>
      </c>
      <c r="B5" s="33">
        <f>Octubre!E31</f>
        <v>118</v>
      </c>
      <c r="C5" s="33">
        <v>120</v>
      </c>
      <c r="D5" s="33">
        <f>B5-C5</f>
        <v>-2</v>
      </c>
      <c r="E5" s="55" t="str">
        <f>IF(D5&lt;=0,"Sí","No")</f>
        <v>Sí</v>
      </c>
      <c r="F5" s="33">
        <f>IFERROR(B5/60,0)</f>
        <v>1.9666666666666666</v>
      </c>
      <c r="G5" s="35" t="s">
        <v>426</v>
      </c>
    </row>
    <row r="6" spans="1:7" ht="14.25" customHeight="1" x14ac:dyDescent="0.35">
      <c r="A6" s="36" t="s">
        <v>344</v>
      </c>
      <c r="B6" s="37">
        <f>SUM(B2:B5)</f>
        <v>314</v>
      </c>
      <c r="C6" s="37">
        <f>SUM(C2:C5)</f>
        <v>480</v>
      </c>
      <c r="D6" s="37">
        <f>B6-C6</f>
        <v>-166</v>
      </c>
      <c r="E6" s="56" t="str">
        <f>IF(B6&lt;=C6,"Sí","No")</f>
        <v>Sí</v>
      </c>
      <c r="F6" s="37">
        <f>IFERROR(B6/60,0)</f>
        <v>5.2333333333333334</v>
      </c>
      <c r="G6" s="39"/>
    </row>
    <row r="9" spans="1:7" ht="14.25" customHeight="1" x14ac:dyDescent="0.35">
      <c r="A9" s="57" t="s">
        <v>427</v>
      </c>
      <c r="B9" s="57" t="s">
        <v>428</v>
      </c>
    </row>
    <row r="10" spans="1:7" ht="14.25" customHeight="1" x14ac:dyDescent="0.35">
      <c r="A10" s="58" t="s">
        <v>429</v>
      </c>
      <c r="B10" s="59" t="s">
        <v>430</v>
      </c>
    </row>
    <row r="11" spans="1:7" ht="30.75" customHeight="1" x14ac:dyDescent="0.35">
      <c r="A11" s="58" t="s">
        <v>431</v>
      </c>
      <c r="B11" s="59" t="s">
        <v>432</v>
      </c>
    </row>
    <row r="12" spans="1:7" ht="14.25" customHeight="1" x14ac:dyDescent="0.35">
      <c r="A12" s="58" t="s">
        <v>433</v>
      </c>
      <c r="B12" s="59" t="s">
        <v>434</v>
      </c>
    </row>
    <row r="13" spans="1:7" ht="14.25" customHeight="1" x14ac:dyDescent="0.35">
      <c r="A13" s="58" t="s">
        <v>435</v>
      </c>
      <c r="B13" s="59" t="s">
        <v>436</v>
      </c>
    </row>
    <row r="14" spans="1:7" ht="45.75" customHeight="1" x14ac:dyDescent="0.35">
      <c r="A14" s="60" t="s">
        <v>437</v>
      </c>
      <c r="B14" s="61" t="s">
        <v>438</v>
      </c>
    </row>
    <row r="17" spans="1:3" ht="14.25" customHeight="1" x14ac:dyDescent="0.35">
      <c r="A17" s="57" t="s">
        <v>439</v>
      </c>
      <c r="B17" s="57" t="s">
        <v>440</v>
      </c>
      <c r="C17" s="57" t="s">
        <v>441</v>
      </c>
    </row>
    <row r="18" spans="1:3" ht="30.75" customHeight="1" x14ac:dyDescent="0.35">
      <c r="A18" s="58" t="s">
        <v>442</v>
      </c>
      <c r="B18" s="59" t="s">
        <v>443</v>
      </c>
      <c r="C18" s="59" t="s">
        <v>444</v>
      </c>
    </row>
    <row r="19" spans="1:3" ht="45.75" customHeight="1" x14ac:dyDescent="0.35">
      <c r="A19" s="58" t="s">
        <v>445</v>
      </c>
      <c r="B19" s="59" t="s">
        <v>446</v>
      </c>
      <c r="C19" s="59" t="s">
        <v>447</v>
      </c>
    </row>
    <row r="20" spans="1:3" ht="30.75" customHeight="1" x14ac:dyDescent="0.35">
      <c r="A20" s="58" t="s">
        <v>448</v>
      </c>
      <c r="B20" s="59" t="s">
        <v>449</v>
      </c>
      <c r="C20" s="59" t="s">
        <v>450</v>
      </c>
    </row>
    <row r="21" spans="1:3" ht="30.75" customHeight="1" x14ac:dyDescent="0.35">
      <c r="A21" s="60" t="s">
        <v>451</v>
      </c>
      <c r="B21" s="61" t="s">
        <v>452</v>
      </c>
      <c r="C21" s="61" t="s">
        <v>453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7"/>
  <sheetViews>
    <sheetView zoomScaleNormal="100" workbookViewId="0"/>
  </sheetViews>
  <sheetFormatPr baseColWidth="10" defaultColWidth="8.7265625" defaultRowHeight="14.5" x14ac:dyDescent="0.35"/>
  <sheetData>
    <row r="1" spans="1:2" ht="14.25" customHeight="1" x14ac:dyDescent="0.35">
      <c r="A1" s="62" t="s">
        <v>454</v>
      </c>
      <c r="B1" s="62" t="s">
        <v>455</v>
      </c>
    </row>
    <row r="2" spans="1:2" ht="14.25" customHeight="1" x14ac:dyDescent="0.35">
      <c r="A2" t="s">
        <v>456</v>
      </c>
      <c r="B2" t="s">
        <v>454</v>
      </c>
    </row>
    <row r="3" spans="1:2" ht="14.25" customHeight="1" x14ac:dyDescent="0.35">
      <c r="A3" t="s">
        <v>457</v>
      </c>
      <c r="B3" t="s">
        <v>454</v>
      </c>
    </row>
    <row r="4" spans="1:2" ht="14.25" customHeight="1" x14ac:dyDescent="0.35">
      <c r="A4" t="s">
        <v>458</v>
      </c>
      <c r="B4" t="s">
        <v>454</v>
      </c>
    </row>
    <row r="5" spans="1:2" ht="14.25" customHeight="1" x14ac:dyDescent="0.35">
      <c r="A5" t="s">
        <v>459</v>
      </c>
      <c r="B5" t="s">
        <v>454</v>
      </c>
    </row>
    <row r="6" spans="1:2" ht="14.25" customHeight="1" x14ac:dyDescent="0.35">
      <c r="A6" t="s">
        <v>460</v>
      </c>
      <c r="B6" t="s">
        <v>454</v>
      </c>
    </row>
    <row r="7" spans="1:2" ht="14.25" customHeight="1" x14ac:dyDescent="0.35">
      <c r="A7" t="s">
        <v>461</v>
      </c>
      <c r="B7" t="s">
        <v>454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"/>
  <sheetViews>
    <sheetView zoomScaleNormal="100" workbookViewId="0"/>
  </sheetViews>
  <sheetFormatPr baseColWidth="10" defaultColWidth="8.7265625" defaultRowHeight="14.5" x14ac:dyDescent="0.35"/>
  <sheetData>
    <row r="1" spans="1:3" ht="14.25" customHeight="1" x14ac:dyDescent="0.35">
      <c r="A1" s="62" t="s">
        <v>42</v>
      </c>
      <c r="B1" s="62" t="s">
        <v>332</v>
      </c>
      <c r="C1" s="62" t="s">
        <v>462</v>
      </c>
    </row>
    <row r="2" spans="1:3" ht="14.25" customHeight="1" x14ac:dyDescent="0.35">
      <c r="A2" t="s">
        <v>463</v>
      </c>
      <c r="B2" t="s">
        <v>338</v>
      </c>
      <c r="C2" t="s">
        <v>464</v>
      </c>
    </row>
    <row r="3" spans="1:3" ht="14.25" customHeight="1" x14ac:dyDescent="0.35">
      <c r="A3" t="s">
        <v>465</v>
      </c>
      <c r="B3" t="s">
        <v>20</v>
      </c>
      <c r="C3" t="s">
        <v>464</v>
      </c>
    </row>
    <row r="4" spans="1:3" ht="14.25" customHeight="1" x14ac:dyDescent="0.35">
      <c r="A4" t="s">
        <v>4</v>
      </c>
      <c r="B4" t="s">
        <v>28</v>
      </c>
      <c r="C4" t="s">
        <v>466</v>
      </c>
    </row>
    <row r="5" spans="1:3" ht="14.25" customHeight="1" x14ac:dyDescent="0.35">
      <c r="A5" t="s">
        <v>467</v>
      </c>
      <c r="B5" t="s">
        <v>28</v>
      </c>
      <c r="C5" t="s">
        <v>466</v>
      </c>
    </row>
    <row r="6" spans="1:3" ht="14.25" customHeight="1" x14ac:dyDescent="0.35">
      <c r="A6" t="s">
        <v>468</v>
      </c>
      <c r="B6" t="s">
        <v>28</v>
      </c>
      <c r="C6" t="s">
        <v>454</v>
      </c>
    </row>
    <row r="7" spans="1:3" ht="14.25" customHeight="1" x14ac:dyDescent="0.35">
      <c r="A7" t="s">
        <v>469</v>
      </c>
      <c r="B7" t="s">
        <v>342</v>
      </c>
      <c r="C7" t="s">
        <v>454</v>
      </c>
    </row>
    <row r="8" spans="1:3" ht="14.25" customHeight="1" x14ac:dyDescent="0.35">
      <c r="A8" t="s">
        <v>470</v>
      </c>
      <c r="B8" t="s">
        <v>342</v>
      </c>
      <c r="C8" t="s">
        <v>454</v>
      </c>
    </row>
    <row r="9" spans="1:3" ht="14.25" customHeight="1" x14ac:dyDescent="0.35">
      <c r="A9" t="s">
        <v>471</v>
      </c>
      <c r="B9" t="s">
        <v>342</v>
      </c>
      <c r="C9" t="s">
        <v>454</v>
      </c>
    </row>
    <row r="10" spans="1:3" ht="14.25" customHeight="1" x14ac:dyDescent="0.35">
      <c r="A10" t="s">
        <v>472</v>
      </c>
      <c r="B10" t="s">
        <v>342</v>
      </c>
      <c r="C10" t="s">
        <v>473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Draft</vt:lpstr>
      <vt:lpstr>Roadmap</vt:lpstr>
      <vt:lpstr>Julio</vt:lpstr>
      <vt:lpstr>Agosto</vt:lpstr>
      <vt:lpstr>Septiembre</vt:lpstr>
      <vt:lpstr>Octubre</vt:lpstr>
      <vt:lpstr>Comparación CTO</vt:lpstr>
      <vt:lpstr>Capacidad Sprints</vt:lpstr>
      <vt:lpstr>Pendientes_PO</vt:lpstr>
      <vt:lpstr>Trazabilidad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0</cp:revision>
  <dcterms:created xsi:type="dcterms:W3CDTF">2026-07-01T13:18:57Z</dcterms:created>
  <dcterms:modified xsi:type="dcterms:W3CDTF">2026-07-03T01:43:20Z</dcterms:modified>
  <dc:language>en-US</dc:language>
</cp:coreProperties>
</file>